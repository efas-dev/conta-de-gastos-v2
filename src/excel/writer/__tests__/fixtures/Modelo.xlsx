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s/Documents/conta_de_gastos/"/>
    </mc:Choice>
  </mc:AlternateContent>
  <xr:revisionPtr revIDLastSave="0" documentId="13_ncr:1_{20FF469F-73D0-E847-8E58-BFEB4239E055}" xr6:coauthVersionLast="47" xr6:coauthVersionMax="47" xr10:uidLastSave="{00000000-0000-0000-0000-000000000000}"/>
  <bookViews>
    <workbookView xWindow="80" yWindow="1060" windowWidth="29000" windowHeight="18060" xr2:uid="{00000000-000D-0000-FFFF-FFFF00000000}"/>
  </bookViews>
  <sheets>
    <sheet name="Extrato" sheetId="1" r:id="rId1"/>
    <sheet name="Dicionario" sheetId="2" r:id="rId2"/>
    <sheet name="Naturez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R9" i="1"/>
  <c r="S9" i="1"/>
  <c r="T9" i="1"/>
  <c r="U9" i="1"/>
  <c r="V9" i="1"/>
  <c r="W9" i="1"/>
  <c r="Y9" i="1"/>
  <c r="Z9" i="1"/>
  <c r="AB9" i="1"/>
  <c r="AC9" i="1"/>
  <c r="AD9" i="1"/>
  <c r="AE9" i="1"/>
  <c r="AG9" i="1"/>
  <c r="R10" i="1"/>
  <c r="S10" i="1"/>
  <c r="T10" i="1"/>
  <c r="U10" i="1"/>
  <c r="V10" i="1"/>
  <c r="W10" i="1"/>
  <c r="Y10" i="1"/>
  <c r="Z10" i="1"/>
  <c r="AB10" i="1"/>
  <c r="AC10" i="1"/>
  <c r="AD10" i="1"/>
  <c r="AE10" i="1"/>
  <c r="AG10" i="1"/>
  <c r="R11" i="1"/>
  <c r="S11" i="1"/>
  <c r="T11" i="1"/>
  <c r="U11" i="1"/>
  <c r="V11" i="1"/>
  <c r="W11" i="1"/>
  <c r="Y11" i="1"/>
  <c r="Z11" i="1"/>
  <c r="AB11" i="1"/>
  <c r="AC11" i="1"/>
  <c r="AD11" i="1"/>
  <c r="AE11" i="1"/>
  <c r="AG11" i="1"/>
  <c r="R12" i="1"/>
  <c r="S12" i="1"/>
  <c r="T12" i="1"/>
  <c r="U12" i="1"/>
  <c r="V12" i="1"/>
  <c r="W12" i="1"/>
  <c r="Y12" i="1"/>
  <c r="Z12" i="1"/>
  <c r="AB12" i="1"/>
  <c r="AC12" i="1"/>
  <c r="AD12" i="1"/>
  <c r="AE12" i="1"/>
  <c r="AG12" i="1"/>
  <c r="R13" i="1"/>
  <c r="S13" i="1"/>
  <c r="T13" i="1"/>
  <c r="U13" i="1"/>
  <c r="V13" i="1"/>
  <c r="W13" i="1"/>
  <c r="Y13" i="1"/>
  <c r="Z13" i="1"/>
  <c r="AB13" i="1"/>
  <c r="AC13" i="1"/>
  <c r="AD13" i="1"/>
  <c r="AE13" i="1"/>
  <c r="AG13" i="1"/>
  <c r="K8" i="1" a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B14" i="1"/>
  <c r="AC14" i="1"/>
  <c r="AD14" i="1"/>
  <c r="AG14" i="1"/>
  <c r="AB15" i="1"/>
  <c r="AC15" i="1"/>
  <c r="AD15" i="1"/>
  <c r="AG15" i="1"/>
  <c r="AB16" i="1"/>
  <c r="AC16" i="1"/>
  <c r="AD16" i="1"/>
  <c r="AG16" i="1"/>
  <c r="AB17" i="1"/>
  <c r="AC17" i="1"/>
  <c r="AD17" i="1"/>
  <c r="AG17" i="1"/>
  <c r="AB18" i="1"/>
  <c r="AC18" i="1"/>
  <c r="AD18" i="1"/>
  <c r="AG18" i="1"/>
  <c r="AB19" i="1"/>
  <c r="AC19" i="1"/>
  <c r="AD19" i="1"/>
  <c r="AG19" i="1"/>
  <c r="AB20" i="1"/>
  <c r="AC20" i="1"/>
  <c r="AD20" i="1"/>
  <c r="AG20" i="1"/>
  <c r="AB21" i="1"/>
  <c r="AC21" i="1"/>
  <c r="AD21" i="1"/>
  <c r="AG21" i="1"/>
  <c r="AB22" i="1"/>
  <c r="AC22" i="1"/>
  <c r="AD22" i="1"/>
  <c r="AG22" i="1"/>
  <c r="AB23" i="1"/>
  <c r="AC23" i="1"/>
  <c r="AD23" i="1"/>
  <c r="AG23" i="1"/>
  <c r="AB24" i="1"/>
  <c r="AC24" i="1"/>
  <c r="AD24" i="1"/>
  <c r="AG24" i="1"/>
  <c r="AB25" i="1"/>
  <c r="AC25" i="1"/>
  <c r="AD25" i="1"/>
  <c r="AG25" i="1"/>
  <c r="AB26" i="1"/>
  <c r="AC26" i="1"/>
  <c r="AD26" i="1"/>
  <c r="AG26" i="1"/>
  <c r="AB27" i="1"/>
  <c r="AC27" i="1"/>
  <c r="AD27" i="1"/>
  <c r="AG27" i="1"/>
  <c r="AB28" i="1"/>
  <c r="AC28" i="1"/>
  <c r="AD28" i="1"/>
  <c r="AG28" i="1"/>
  <c r="AB29" i="1"/>
  <c r="AC29" i="1"/>
  <c r="AD29" i="1"/>
  <c r="AG29" i="1"/>
  <c r="AB30" i="1"/>
  <c r="AC30" i="1"/>
  <c r="AD30" i="1"/>
  <c r="AG30" i="1"/>
  <c r="AB31" i="1"/>
  <c r="AC31" i="1"/>
  <c r="AD31" i="1"/>
  <c r="AG31" i="1"/>
  <c r="AB32" i="1"/>
  <c r="AC32" i="1"/>
  <c r="AD32" i="1"/>
  <c r="AG32" i="1"/>
  <c r="AB33" i="1"/>
  <c r="AC33" i="1"/>
  <c r="AD33" i="1"/>
  <c r="AG33" i="1"/>
  <c r="AB34" i="1"/>
  <c r="AC34" i="1"/>
  <c r="AD34" i="1"/>
  <c r="AG34" i="1"/>
  <c r="AB35" i="1"/>
  <c r="AC35" i="1"/>
  <c r="AD35" i="1"/>
  <c r="AG35" i="1"/>
  <c r="AB36" i="1"/>
  <c r="AC36" i="1"/>
  <c r="AD36" i="1"/>
  <c r="AG36" i="1"/>
  <c r="AB37" i="1"/>
  <c r="AC37" i="1"/>
  <c r="AD37" i="1"/>
  <c r="AG37" i="1"/>
  <c r="AB38" i="1"/>
  <c r="AC38" i="1"/>
  <c r="AD38" i="1"/>
  <c r="AG38" i="1"/>
  <c r="AB39" i="1"/>
  <c r="AC39" i="1"/>
  <c r="AD39" i="1"/>
  <c r="AG39" i="1"/>
  <c r="AB40" i="1"/>
  <c r="AC40" i="1"/>
  <c r="AD40" i="1"/>
  <c r="AG40" i="1"/>
  <c r="AB41" i="1"/>
  <c r="AC41" i="1"/>
  <c r="AD41" i="1"/>
  <c r="AG41" i="1"/>
  <c r="AB42" i="1"/>
  <c r="AC42" i="1"/>
  <c r="AD42" i="1"/>
  <c r="AG42" i="1"/>
  <c r="AB43" i="1"/>
  <c r="AC43" i="1"/>
  <c r="AD43" i="1"/>
  <c r="AG43" i="1"/>
  <c r="AB44" i="1"/>
  <c r="AC44" i="1"/>
  <c r="AD44" i="1"/>
  <c r="AG44" i="1"/>
  <c r="AB45" i="1"/>
  <c r="AC45" i="1"/>
  <c r="AD45" i="1"/>
  <c r="AG45" i="1"/>
  <c r="AB46" i="1"/>
  <c r="AC46" i="1"/>
  <c r="AD46" i="1"/>
  <c r="AG46" i="1"/>
  <c r="AB47" i="1"/>
  <c r="AC47" i="1"/>
  <c r="AD47" i="1"/>
  <c r="AG47" i="1"/>
  <c r="AB48" i="1"/>
  <c r="AC48" i="1"/>
  <c r="AD48" i="1"/>
  <c r="AG48" i="1"/>
  <c r="AB49" i="1"/>
  <c r="AC49" i="1"/>
  <c r="AD49" i="1"/>
  <c r="AG49" i="1"/>
  <c r="AB50" i="1"/>
  <c r="AC50" i="1"/>
  <c r="AD50" i="1"/>
  <c r="AG50" i="1"/>
  <c r="AB51" i="1"/>
  <c r="AC51" i="1"/>
  <c r="AD51" i="1"/>
  <c r="AG51" i="1"/>
  <c r="AB52" i="1"/>
  <c r="AC52" i="1"/>
  <c r="AD52" i="1"/>
  <c r="AG52" i="1"/>
  <c r="AB53" i="1"/>
  <c r="AC53" i="1"/>
  <c r="AD53" i="1"/>
  <c r="AG53" i="1"/>
  <c r="AB54" i="1"/>
  <c r="AC54" i="1"/>
  <c r="AD54" i="1"/>
  <c r="AG54" i="1"/>
  <c r="AB55" i="1"/>
  <c r="AC55" i="1"/>
  <c r="AD55" i="1"/>
  <c r="AG55" i="1"/>
  <c r="AB56" i="1"/>
  <c r="AC56" i="1"/>
  <c r="AD56" i="1"/>
  <c r="AG56" i="1"/>
  <c r="AB57" i="1"/>
  <c r="AC57" i="1"/>
  <c r="AD57" i="1"/>
  <c r="AG57" i="1"/>
  <c r="AB58" i="1"/>
  <c r="AC58" i="1"/>
  <c r="AD58" i="1"/>
  <c r="AG58" i="1"/>
  <c r="AB59" i="1"/>
  <c r="AC59" i="1"/>
  <c r="AD59" i="1"/>
  <c r="AG59" i="1"/>
  <c r="AB60" i="1"/>
  <c r="AC60" i="1"/>
  <c r="AD60" i="1"/>
  <c r="AG60" i="1"/>
  <c r="AB61" i="1"/>
  <c r="AC61" i="1"/>
  <c r="AD61" i="1"/>
  <c r="AG61" i="1"/>
  <c r="AB62" i="1"/>
  <c r="AC62" i="1"/>
  <c r="AD62" i="1"/>
  <c r="AG62" i="1"/>
  <c r="AB63" i="1"/>
  <c r="AC63" i="1"/>
  <c r="AD63" i="1"/>
  <c r="AG63" i="1"/>
  <c r="AB64" i="1"/>
  <c r="AC64" i="1"/>
  <c r="AD64" i="1"/>
  <c r="AG64" i="1"/>
  <c r="AB65" i="1"/>
  <c r="AC65" i="1"/>
  <c r="AD65" i="1"/>
  <c r="AG65" i="1"/>
  <c r="AB66" i="1"/>
  <c r="AC66" i="1"/>
  <c r="AD66" i="1"/>
  <c r="AG66" i="1"/>
  <c r="AB67" i="1"/>
  <c r="AC67" i="1"/>
  <c r="AD67" i="1"/>
  <c r="AG67" i="1"/>
  <c r="AB68" i="1"/>
  <c r="AC68" i="1"/>
  <c r="AD68" i="1"/>
  <c r="AG68" i="1"/>
  <c r="AB69" i="1"/>
  <c r="AC69" i="1"/>
  <c r="AD69" i="1"/>
  <c r="AG69" i="1"/>
  <c r="AB70" i="1"/>
  <c r="AC70" i="1"/>
  <c r="AD70" i="1"/>
  <c r="AG70" i="1"/>
  <c r="AB71" i="1"/>
  <c r="AC71" i="1"/>
  <c r="AD71" i="1"/>
  <c r="AG71" i="1"/>
  <c r="AB72" i="1"/>
  <c r="AC72" i="1"/>
  <c r="AD72" i="1"/>
  <c r="AG72" i="1"/>
  <c r="AB73" i="1"/>
  <c r="AC73" i="1"/>
  <c r="AD73" i="1"/>
  <c r="AG73" i="1"/>
  <c r="AB74" i="1"/>
  <c r="AC74" i="1"/>
  <c r="AD74" i="1"/>
  <c r="AG74" i="1"/>
  <c r="AB75" i="1"/>
  <c r="AC75" i="1"/>
  <c r="AD75" i="1"/>
  <c r="AG75" i="1"/>
  <c r="AB76" i="1"/>
  <c r="AC76" i="1"/>
  <c r="AD76" i="1"/>
  <c r="AG76" i="1"/>
  <c r="AB77" i="1"/>
  <c r="AC77" i="1"/>
  <c r="AD77" i="1"/>
  <c r="AG77" i="1"/>
  <c r="AB78" i="1"/>
  <c r="AC78" i="1"/>
  <c r="AD78" i="1"/>
  <c r="AG78" i="1"/>
  <c r="AB79" i="1"/>
  <c r="AC79" i="1"/>
  <c r="AD79" i="1"/>
  <c r="AG79" i="1"/>
  <c r="AB80" i="1"/>
  <c r="AC80" i="1"/>
  <c r="AD80" i="1"/>
  <c r="AG80" i="1"/>
  <c r="AB81" i="1"/>
  <c r="AC81" i="1"/>
  <c r="AD81" i="1"/>
  <c r="AG81" i="1"/>
  <c r="AB82" i="1"/>
  <c r="AC82" i="1"/>
  <c r="AD82" i="1"/>
  <c r="AG82" i="1"/>
  <c r="AB83" i="1"/>
  <c r="AC83" i="1"/>
  <c r="AD83" i="1"/>
  <c r="AG83" i="1"/>
  <c r="AB84" i="1"/>
  <c r="AC84" i="1"/>
  <c r="AD84" i="1"/>
  <c r="AG84" i="1"/>
  <c r="AB85" i="1"/>
  <c r="AC85" i="1"/>
  <c r="AD85" i="1"/>
  <c r="AG85" i="1"/>
  <c r="AB86" i="1"/>
  <c r="AC86" i="1"/>
  <c r="AD86" i="1"/>
  <c r="AG86" i="1"/>
  <c r="AB87" i="1"/>
  <c r="AC87" i="1"/>
  <c r="AD87" i="1"/>
  <c r="AG87" i="1"/>
  <c r="AB88" i="1"/>
  <c r="AC88" i="1"/>
  <c r="AD88" i="1"/>
  <c r="AG88" i="1"/>
  <c r="AB89" i="1"/>
  <c r="AC89" i="1"/>
  <c r="AD89" i="1"/>
  <c r="AG89" i="1"/>
  <c r="AB90" i="1"/>
  <c r="AC90" i="1"/>
  <c r="AD90" i="1"/>
  <c r="AG90" i="1"/>
  <c r="AB91" i="1"/>
  <c r="AC91" i="1"/>
  <c r="AD91" i="1"/>
  <c r="AG91" i="1"/>
  <c r="AB92" i="1"/>
  <c r="AC92" i="1"/>
  <c r="AD92" i="1"/>
  <c r="AG92" i="1"/>
  <c r="AB93" i="1"/>
  <c r="AC93" i="1"/>
  <c r="AD93" i="1"/>
  <c r="AG93" i="1"/>
  <c r="AB94" i="1"/>
  <c r="AC94" i="1"/>
  <c r="AD94" i="1"/>
  <c r="AG94" i="1"/>
  <c r="AB95" i="1"/>
  <c r="AC95" i="1"/>
  <c r="AD95" i="1"/>
  <c r="AG95" i="1"/>
  <c r="AB96" i="1"/>
  <c r="AC96" i="1"/>
  <c r="AD96" i="1"/>
  <c r="AG96" i="1"/>
  <c r="AB97" i="1"/>
  <c r="AC97" i="1"/>
  <c r="AD97" i="1"/>
  <c r="AG97" i="1"/>
  <c r="AB98" i="1"/>
  <c r="AC98" i="1"/>
  <c r="AD98" i="1"/>
  <c r="AG98" i="1"/>
  <c r="AB99" i="1"/>
  <c r="AC99" i="1"/>
  <c r="AD99" i="1"/>
  <c r="AG99" i="1"/>
  <c r="AB100" i="1"/>
  <c r="AC100" i="1"/>
  <c r="AD100" i="1"/>
  <c r="AG100" i="1"/>
  <c r="AB101" i="1"/>
  <c r="AC101" i="1"/>
  <c r="AD101" i="1"/>
  <c r="AG101" i="1"/>
  <c r="AB102" i="1"/>
  <c r="AC102" i="1"/>
  <c r="AD102" i="1"/>
  <c r="AG102" i="1"/>
  <c r="AB103" i="1"/>
  <c r="AC103" i="1"/>
  <c r="AD103" i="1"/>
  <c r="AG103" i="1"/>
  <c r="AB104" i="1"/>
  <c r="AC104" i="1"/>
  <c r="AD104" i="1"/>
  <c r="AG104" i="1"/>
  <c r="AB105" i="1"/>
  <c r="AC105" i="1"/>
  <c r="AD105" i="1"/>
  <c r="AG105" i="1"/>
  <c r="AB106" i="1"/>
  <c r="AC106" i="1"/>
  <c r="AD106" i="1"/>
  <c r="AG106" i="1"/>
  <c r="AB107" i="1"/>
  <c r="AC107" i="1"/>
  <c r="AD107" i="1"/>
  <c r="AG107" i="1"/>
  <c r="AB108" i="1"/>
  <c r="AC108" i="1"/>
  <c r="AD108" i="1"/>
  <c r="AG108" i="1"/>
  <c r="AB109" i="1"/>
  <c r="AC109" i="1"/>
  <c r="AD109" i="1"/>
  <c r="AG109" i="1"/>
  <c r="AB110" i="1"/>
  <c r="AC110" i="1"/>
  <c r="AD110" i="1"/>
  <c r="AG110" i="1"/>
  <c r="AB111" i="1"/>
  <c r="AC111" i="1"/>
  <c r="AD111" i="1"/>
  <c r="AG111" i="1"/>
  <c r="AB112" i="1"/>
  <c r="AC112" i="1"/>
  <c r="AD112" i="1"/>
  <c r="AG112" i="1"/>
  <c r="AB113" i="1"/>
  <c r="AC113" i="1"/>
  <c r="AD113" i="1"/>
  <c r="AG113" i="1"/>
  <c r="AB114" i="1"/>
  <c r="AC114" i="1"/>
  <c r="AD114" i="1"/>
  <c r="AG114" i="1"/>
  <c r="AB115" i="1"/>
  <c r="AC115" i="1"/>
  <c r="AD115" i="1"/>
  <c r="AG115" i="1"/>
  <c r="AB116" i="1"/>
  <c r="AC116" i="1"/>
  <c r="AD116" i="1"/>
  <c r="AG116" i="1"/>
  <c r="AB117" i="1"/>
  <c r="AC117" i="1"/>
  <c r="AD117" i="1"/>
  <c r="AG117" i="1"/>
  <c r="AB118" i="1"/>
  <c r="AC118" i="1"/>
  <c r="AD118" i="1"/>
  <c r="AG118" i="1"/>
  <c r="AB119" i="1"/>
  <c r="AC119" i="1"/>
  <c r="AD119" i="1"/>
  <c r="AG119" i="1"/>
  <c r="AB120" i="1"/>
  <c r="AC120" i="1"/>
  <c r="AD120" i="1"/>
  <c r="AG120" i="1"/>
  <c r="AB121" i="1"/>
  <c r="AC121" i="1"/>
  <c r="AD121" i="1"/>
  <c r="AG121" i="1"/>
  <c r="AB122" i="1"/>
  <c r="AC122" i="1"/>
  <c r="AD122" i="1"/>
  <c r="AG122" i="1"/>
  <c r="AB123" i="1"/>
  <c r="AC123" i="1"/>
  <c r="AD123" i="1"/>
  <c r="AG123" i="1"/>
  <c r="AB124" i="1"/>
  <c r="AC124" i="1"/>
  <c r="AD124" i="1"/>
  <c r="AG124" i="1"/>
  <c r="AB125" i="1"/>
  <c r="AC125" i="1"/>
  <c r="AD125" i="1"/>
  <c r="AG125" i="1"/>
  <c r="AB126" i="1"/>
  <c r="AC126" i="1"/>
  <c r="AD126" i="1"/>
  <c r="AG126" i="1"/>
  <c r="AB127" i="1"/>
  <c r="AC127" i="1"/>
  <c r="AD127" i="1"/>
  <c r="AG127" i="1"/>
  <c r="AB128" i="1"/>
  <c r="AC128" i="1"/>
  <c r="AD128" i="1"/>
  <c r="AG128" i="1"/>
  <c r="AB129" i="1"/>
  <c r="AC129" i="1"/>
  <c r="AD129" i="1"/>
  <c r="AG129" i="1"/>
  <c r="AB130" i="1"/>
  <c r="AC130" i="1"/>
  <c r="AD130" i="1"/>
  <c r="AG130" i="1"/>
  <c r="AB131" i="1"/>
  <c r="AC131" i="1"/>
  <c r="AD131" i="1"/>
  <c r="AG131" i="1"/>
  <c r="AB132" i="1"/>
  <c r="AC132" i="1"/>
  <c r="AD132" i="1"/>
  <c r="AG132" i="1"/>
  <c r="AB133" i="1"/>
  <c r="AC133" i="1"/>
  <c r="AD133" i="1"/>
  <c r="AG133" i="1"/>
  <c r="AB134" i="1"/>
  <c r="AC134" i="1"/>
  <c r="AD134" i="1"/>
  <c r="AG134" i="1"/>
  <c r="AB135" i="1"/>
  <c r="AC135" i="1"/>
  <c r="AD135" i="1"/>
  <c r="AG135" i="1"/>
  <c r="AB136" i="1"/>
  <c r="AC136" i="1"/>
  <c r="AD136" i="1"/>
  <c r="AG136" i="1"/>
  <c r="AB137" i="1"/>
  <c r="AC137" i="1"/>
  <c r="AD137" i="1"/>
  <c r="AG137" i="1"/>
  <c r="AB138" i="1"/>
  <c r="AC138" i="1"/>
  <c r="AD138" i="1"/>
  <c r="AG138" i="1"/>
  <c r="AB139" i="1"/>
  <c r="AC139" i="1"/>
  <c r="AD139" i="1"/>
  <c r="AG139" i="1"/>
  <c r="AB140" i="1"/>
  <c r="AC140" i="1"/>
  <c r="AD140" i="1"/>
  <c r="AG140" i="1"/>
  <c r="AB141" i="1"/>
  <c r="AC141" i="1"/>
  <c r="AD141" i="1"/>
  <c r="AG141" i="1"/>
  <c r="AB142" i="1"/>
  <c r="AC142" i="1"/>
  <c r="AD142" i="1"/>
  <c r="AG142" i="1"/>
  <c r="AB143" i="1"/>
  <c r="AC143" i="1"/>
  <c r="AD143" i="1"/>
  <c r="AG143" i="1"/>
  <c r="AB144" i="1"/>
  <c r="AC144" i="1"/>
  <c r="AD144" i="1"/>
  <c r="AG144" i="1"/>
  <c r="AB145" i="1"/>
  <c r="AC145" i="1"/>
  <c r="AD145" i="1"/>
  <c r="AG145" i="1"/>
  <c r="AB146" i="1"/>
  <c r="AC146" i="1"/>
  <c r="AD146" i="1"/>
  <c r="AG146" i="1"/>
  <c r="AB147" i="1"/>
  <c r="AC147" i="1"/>
  <c r="AD147" i="1"/>
  <c r="AG147" i="1"/>
  <c r="AB148" i="1"/>
  <c r="AC148" i="1"/>
  <c r="AD148" i="1"/>
  <c r="AG148" i="1"/>
  <c r="AB149" i="1"/>
  <c r="AC149" i="1"/>
  <c r="AD149" i="1"/>
  <c r="AG149" i="1"/>
  <c r="AB150" i="1"/>
  <c r="AC150" i="1"/>
  <c r="AD150" i="1"/>
  <c r="AG150" i="1"/>
  <c r="AB151" i="1"/>
  <c r="AC151" i="1"/>
  <c r="AD151" i="1"/>
  <c r="AG151" i="1"/>
  <c r="AB152" i="1"/>
  <c r="AC152" i="1"/>
  <c r="AD152" i="1"/>
  <c r="AG152" i="1"/>
  <c r="AB153" i="1"/>
  <c r="AC153" i="1"/>
  <c r="AD153" i="1"/>
  <c r="AG153" i="1"/>
  <c r="AB154" i="1"/>
  <c r="AC154" i="1"/>
  <c r="AD154" i="1"/>
  <c r="AG154" i="1"/>
  <c r="AB155" i="1"/>
  <c r="AC155" i="1"/>
  <c r="AD155" i="1"/>
  <c r="AG155" i="1"/>
  <c r="AB156" i="1"/>
  <c r="AC156" i="1"/>
  <c r="AD156" i="1"/>
  <c r="AG156" i="1"/>
  <c r="AB157" i="1"/>
  <c r="AC157" i="1"/>
  <c r="AD157" i="1"/>
  <c r="AG157" i="1"/>
  <c r="AB158" i="1"/>
  <c r="AC158" i="1"/>
  <c r="AD158" i="1"/>
  <c r="AG158" i="1"/>
  <c r="AB159" i="1"/>
  <c r="AC159" i="1"/>
  <c r="AD159" i="1"/>
  <c r="AG159" i="1"/>
  <c r="AB160" i="1"/>
  <c r="AC160" i="1"/>
  <c r="AD160" i="1"/>
  <c r="AG160" i="1"/>
  <c r="AB161" i="1"/>
  <c r="AC161" i="1"/>
  <c r="AD161" i="1"/>
  <c r="AG161" i="1"/>
  <c r="AB162" i="1"/>
  <c r="AC162" i="1"/>
  <c r="AD162" i="1"/>
  <c r="AG162" i="1"/>
  <c r="AB163" i="1"/>
  <c r="AC163" i="1"/>
  <c r="AD163" i="1"/>
  <c r="AG163" i="1"/>
  <c r="AB164" i="1"/>
  <c r="AC164" i="1"/>
  <c r="AD164" i="1"/>
  <c r="AG164" i="1"/>
  <c r="AB165" i="1"/>
  <c r="AC165" i="1"/>
  <c r="AD165" i="1"/>
  <c r="AG165" i="1"/>
  <c r="AB166" i="1"/>
  <c r="AC166" i="1"/>
  <c r="AD166" i="1"/>
  <c r="AG166" i="1"/>
  <c r="AB167" i="1"/>
  <c r="AC167" i="1"/>
  <c r="AD167" i="1"/>
  <c r="AG167" i="1"/>
  <c r="AB168" i="1"/>
  <c r="AC168" i="1"/>
  <c r="AD168" i="1"/>
  <c r="AG168" i="1"/>
  <c r="AB169" i="1"/>
  <c r="AC169" i="1"/>
  <c r="AD169" i="1"/>
  <c r="AG169" i="1"/>
  <c r="AB170" i="1"/>
  <c r="AC170" i="1"/>
  <c r="AD170" i="1"/>
  <c r="AG170" i="1"/>
  <c r="AB171" i="1"/>
  <c r="AC171" i="1"/>
  <c r="AD171" i="1"/>
  <c r="AG171" i="1"/>
  <c r="AB172" i="1"/>
  <c r="AC172" i="1"/>
  <c r="AD172" i="1"/>
  <c r="AG172" i="1"/>
  <c r="AB173" i="1"/>
  <c r="AC173" i="1"/>
  <c r="AD173" i="1"/>
  <c r="AG173" i="1"/>
  <c r="AB174" i="1"/>
  <c r="AC174" i="1"/>
  <c r="AD174" i="1"/>
  <c r="AG174" i="1"/>
  <c r="AB175" i="1"/>
  <c r="AC175" i="1"/>
  <c r="AD175" i="1"/>
  <c r="AG175" i="1"/>
  <c r="AB176" i="1"/>
  <c r="AC176" i="1"/>
  <c r="AD176" i="1"/>
  <c r="AG176" i="1"/>
  <c r="AB177" i="1"/>
  <c r="AC177" i="1"/>
  <c r="AD177" i="1"/>
  <c r="AG177" i="1"/>
  <c r="AB178" i="1"/>
  <c r="AC178" i="1"/>
  <c r="AD178" i="1"/>
  <c r="AG178" i="1"/>
  <c r="AB179" i="1"/>
  <c r="AC179" i="1"/>
  <c r="AD179" i="1"/>
  <c r="AG179" i="1"/>
  <c r="AB180" i="1"/>
  <c r="AC180" i="1"/>
  <c r="AD180" i="1"/>
  <c r="AG180" i="1"/>
  <c r="AB181" i="1"/>
  <c r="AC181" i="1"/>
  <c r="AD181" i="1"/>
  <c r="AG181" i="1"/>
  <c r="AB182" i="1"/>
  <c r="AC182" i="1"/>
  <c r="AD182" i="1"/>
  <c r="AG182" i="1"/>
  <c r="AB183" i="1"/>
  <c r="AC183" i="1"/>
  <c r="AD183" i="1"/>
  <c r="AG183" i="1"/>
  <c r="AB184" i="1"/>
  <c r="AC184" i="1"/>
  <c r="AD184" i="1"/>
  <c r="AG184" i="1"/>
  <c r="AB185" i="1"/>
  <c r="AC185" i="1"/>
  <c r="AD185" i="1"/>
  <c r="AG185" i="1"/>
  <c r="AB186" i="1"/>
  <c r="AC186" i="1"/>
  <c r="AD186" i="1"/>
  <c r="AG186" i="1"/>
  <c r="AB187" i="1"/>
  <c r="AC187" i="1"/>
  <c r="AD187" i="1"/>
  <c r="AG187" i="1"/>
  <c r="AB188" i="1"/>
  <c r="AC188" i="1"/>
  <c r="AD188" i="1"/>
  <c r="AG188" i="1"/>
  <c r="AB189" i="1"/>
  <c r="AC189" i="1"/>
  <c r="AD189" i="1"/>
  <c r="AG189" i="1"/>
  <c r="AB190" i="1"/>
  <c r="AC190" i="1"/>
  <c r="AD190" i="1"/>
  <c r="AG190" i="1"/>
  <c r="AB191" i="1"/>
  <c r="AC191" i="1"/>
  <c r="AD191" i="1"/>
  <c r="AG191" i="1"/>
  <c r="AB192" i="1"/>
  <c r="AC192" i="1"/>
  <c r="AD192" i="1"/>
  <c r="AG192" i="1"/>
  <c r="AB193" i="1"/>
  <c r="AC193" i="1"/>
  <c r="AD193" i="1"/>
  <c r="AG193" i="1"/>
  <c r="AB194" i="1"/>
  <c r="AC194" i="1"/>
  <c r="AD194" i="1"/>
  <c r="AG194" i="1"/>
  <c r="AB195" i="1"/>
  <c r="AC195" i="1"/>
  <c r="AD195" i="1"/>
  <c r="AG195" i="1"/>
  <c r="AB196" i="1"/>
  <c r="AC196" i="1"/>
  <c r="AD196" i="1"/>
  <c r="AG196" i="1"/>
  <c r="AB197" i="1"/>
  <c r="AC197" i="1"/>
  <c r="AD197" i="1"/>
  <c r="AG197" i="1"/>
  <c r="AB198" i="1"/>
  <c r="AC198" i="1"/>
  <c r="AD198" i="1"/>
  <c r="AG198" i="1"/>
  <c r="AB199" i="1"/>
  <c r="AC199" i="1"/>
  <c r="AD199" i="1"/>
  <c r="AG199" i="1"/>
  <c r="AB200" i="1"/>
  <c r="AC200" i="1"/>
  <c r="AD200" i="1"/>
  <c r="AG200" i="1"/>
  <c r="AB201" i="1"/>
  <c r="AC201" i="1"/>
  <c r="AD201" i="1"/>
  <c r="AG201" i="1"/>
  <c r="AB202" i="1"/>
  <c r="AC202" i="1"/>
  <c r="AD202" i="1"/>
  <c r="AG202" i="1"/>
  <c r="AB203" i="1"/>
  <c r="AC203" i="1"/>
  <c r="AD203" i="1"/>
  <c r="AG203" i="1"/>
  <c r="AB204" i="1"/>
  <c r="AC204" i="1"/>
  <c r="AD204" i="1"/>
  <c r="AG204" i="1"/>
  <c r="AB205" i="1"/>
  <c r="AC205" i="1"/>
  <c r="AD205" i="1"/>
  <c r="AG205" i="1"/>
  <c r="AB206" i="1"/>
  <c r="AC206" i="1"/>
  <c r="AD206" i="1"/>
  <c r="AG206" i="1"/>
  <c r="AB207" i="1"/>
  <c r="AC207" i="1"/>
  <c r="AD207" i="1"/>
  <c r="AG207" i="1"/>
  <c r="AB208" i="1"/>
  <c r="AC208" i="1"/>
  <c r="AD208" i="1"/>
  <c r="AG208" i="1"/>
  <c r="AB209" i="1"/>
  <c r="AC209" i="1"/>
  <c r="AD209" i="1"/>
  <c r="AG209" i="1"/>
  <c r="AB210" i="1"/>
  <c r="AC210" i="1"/>
  <c r="AD210" i="1"/>
  <c r="AG210" i="1"/>
  <c r="AB211" i="1"/>
  <c r="AC211" i="1"/>
  <c r="AD211" i="1"/>
  <c r="AG211" i="1"/>
  <c r="AB212" i="1"/>
  <c r="AC212" i="1"/>
  <c r="AD212" i="1"/>
  <c r="AG212" i="1"/>
  <c r="AB213" i="1"/>
  <c r="AC213" i="1"/>
  <c r="AD213" i="1"/>
  <c r="AG213" i="1"/>
  <c r="AB214" i="1"/>
  <c r="AC214" i="1"/>
  <c r="AD214" i="1"/>
  <c r="AG214" i="1"/>
  <c r="AB215" i="1"/>
  <c r="AC215" i="1"/>
  <c r="AD215" i="1"/>
  <c r="AG215" i="1"/>
  <c r="AB216" i="1"/>
  <c r="AC216" i="1"/>
  <c r="AD216" i="1"/>
  <c r="AG216" i="1"/>
  <c r="AB217" i="1"/>
  <c r="AC217" i="1"/>
  <c r="AD217" i="1"/>
  <c r="AG217" i="1"/>
  <c r="AB218" i="1"/>
  <c r="AC218" i="1"/>
  <c r="AD218" i="1"/>
  <c r="AG218" i="1"/>
  <c r="AB219" i="1"/>
  <c r="AC219" i="1"/>
  <c r="AD219" i="1"/>
  <c r="AG219" i="1"/>
  <c r="AB220" i="1"/>
  <c r="AC220" i="1"/>
  <c r="AD220" i="1"/>
  <c r="AG220" i="1"/>
  <c r="AB221" i="1"/>
  <c r="AC221" i="1"/>
  <c r="AD221" i="1"/>
  <c r="AG221" i="1"/>
  <c r="AB222" i="1"/>
  <c r="AC222" i="1"/>
  <c r="AD222" i="1"/>
  <c r="AG222" i="1"/>
  <c r="AB223" i="1"/>
  <c r="AC223" i="1"/>
  <c r="AD223" i="1"/>
  <c r="AG223" i="1"/>
  <c r="AB224" i="1"/>
  <c r="AC224" i="1"/>
  <c r="AD224" i="1"/>
  <c r="AG224" i="1"/>
  <c r="AB225" i="1"/>
  <c r="AC225" i="1"/>
  <c r="AD225" i="1"/>
  <c r="AG225" i="1"/>
  <c r="AB226" i="1"/>
  <c r="AC226" i="1"/>
  <c r="AD226" i="1"/>
  <c r="AG226" i="1"/>
  <c r="AB227" i="1"/>
  <c r="AC227" i="1"/>
  <c r="AD227" i="1"/>
  <c r="AG227" i="1"/>
  <c r="AB228" i="1"/>
  <c r="AC228" i="1"/>
  <c r="AD228" i="1"/>
  <c r="AG228" i="1"/>
  <c r="AB229" i="1"/>
  <c r="AC229" i="1"/>
  <c r="AD229" i="1"/>
  <c r="AG229" i="1"/>
  <c r="AB230" i="1"/>
  <c r="AC230" i="1"/>
  <c r="AD230" i="1"/>
  <c r="AG230" i="1"/>
  <c r="AB231" i="1"/>
  <c r="AC231" i="1"/>
  <c r="AD231" i="1"/>
  <c r="AG231" i="1"/>
  <c r="AB232" i="1"/>
  <c r="AC232" i="1"/>
  <c r="AD232" i="1"/>
  <c r="AG232" i="1"/>
  <c r="AB233" i="1"/>
  <c r="AC233" i="1"/>
  <c r="AD233" i="1"/>
  <c r="AG233" i="1"/>
  <c r="AB234" i="1"/>
  <c r="AC234" i="1"/>
  <c r="AD234" i="1"/>
  <c r="AG234" i="1"/>
  <c r="AB235" i="1"/>
  <c r="AC235" i="1"/>
  <c r="AD235" i="1"/>
  <c r="AG235" i="1"/>
  <c r="AB236" i="1"/>
  <c r="AC236" i="1"/>
  <c r="AD236" i="1"/>
  <c r="AG236" i="1"/>
  <c r="AB237" i="1"/>
  <c r="AC237" i="1"/>
  <c r="AD237" i="1"/>
  <c r="AG237" i="1"/>
  <c r="AB238" i="1"/>
  <c r="AC238" i="1"/>
  <c r="AD238" i="1"/>
  <c r="AG238" i="1"/>
  <c r="AB239" i="1"/>
  <c r="AC239" i="1"/>
  <c r="AD239" i="1"/>
  <c r="AG239" i="1"/>
  <c r="AB240" i="1"/>
  <c r="AC240" i="1"/>
  <c r="AD240" i="1"/>
  <c r="AG240" i="1"/>
  <c r="AB241" i="1"/>
  <c r="AC241" i="1"/>
  <c r="AD241" i="1"/>
  <c r="AG241" i="1"/>
  <c r="AB242" i="1"/>
  <c r="AC242" i="1"/>
  <c r="AD242" i="1"/>
  <c r="AG242" i="1"/>
  <c r="AB243" i="1"/>
  <c r="AC243" i="1"/>
  <c r="AD243" i="1"/>
  <c r="AG243" i="1"/>
  <c r="AB244" i="1"/>
  <c r="AC244" i="1"/>
  <c r="AD244" i="1"/>
  <c r="AG244" i="1"/>
  <c r="AB245" i="1"/>
  <c r="AC245" i="1"/>
  <c r="AD245" i="1"/>
  <c r="AG245" i="1"/>
  <c r="AB246" i="1"/>
  <c r="AC246" i="1"/>
  <c r="AD246" i="1"/>
  <c r="AG246" i="1"/>
  <c r="AB247" i="1"/>
  <c r="AC247" i="1"/>
  <c r="AD247" i="1"/>
  <c r="AG247" i="1"/>
  <c r="AB248" i="1"/>
  <c r="AC248" i="1"/>
  <c r="AD248" i="1"/>
  <c r="AG248" i="1"/>
  <c r="AB249" i="1"/>
  <c r="AC249" i="1"/>
  <c r="AD249" i="1"/>
  <c r="AG249" i="1"/>
  <c r="AB250" i="1"/>
  <c r="AC250" i="1"/>
  <c r="AD250" i="1"/>
  <c r="AG250" i="1"/>
  <c r="AB251" i="1"/>
  <c r="AC251" i="1"/>
  <c r="AD251" i="1"/>
  <c r="AG251" i="1"/>
  <c r="AB252" i="1"/>
  <c r="AC252" i="1"/>
  <c r="AD252" i="1"/>
  <c r="AG252" i="1"/>
  <c r="AB253" i="1"/>
  <c r="AC253" i="1"/>
  <c r="AD253" i="1"/>
  <c r="AG253" i="1"/>
  <c r="AB254" i="1"/>
  <c r="AC254" i="1"/>
  <c r="AD254" i="1"/>
  <c r="AG254" i="1"/>
  <c r="AB255" i="1"/>
  <c r="AC255" i="1"/>
  <c r="AD255" i="1"/>
  <c r="AG255" i="1"/>
  <c r="AB256" i="1"/>
  <c r="AC256" i="1"/>
  <c r="AD256" i="1"/>
  <c r="AG256" i="1"/>
  <c r="AB257" i="1"/>
  <c r="AC257" i="1"/>
  <c r="AD257" i="1"/>
  <c r="AG257" i="1"/>
  <c r="AB258" i="1"/>
  <c r="AC258" i="1"/>
  <c r="AD258" i="1"/>
  <c r="AG258" i="1"/>
  <c r="AB259" i="1"/>
  <c r="AC259" i="1"/>
  <c r="AD259" i="1"/>
  <c r="AG259" i="1"/>
  <c r="AB260" i="1"/>
  <c r="AC260" i="1"/>
  <c r="AD260" i="1"/>
  <c r="AG260" i="1"/>
  <c r="AB261" i="1"/>
  <c r="AC261" i="1"/>
  <c r="AD261" i="1"/>
  <c r="AG261" i="1"/>
  <c r="AB262" i="1"/>
  <c r="AC262" i="1"/>
  <c r="AD262" i="1"/>
  <c r="AG262" i="1"/>
  <c r="AB263" i="1"/>
  <c r="AC263" i="1"/>
  <c r="AD263" i="1"/>
  <c r="AG263" i="1"/>
  <c r="AB264" i="1"/>
  <c r="AC264" i="1"/>
  <c r="AD264" i="1"/>
  <c r="AG264" i="1"/>
  <c r="AB265" i="1"/>
  <c r="AC265" i="1"/>
  <c r="AD265" i="1"/>
  <c r="AG265" i="1"/>
  <c r="AB266" i="1"/>
  <c r="AC266" i="1"/>
  <c r="AD266" i="1"/>
  <c r="AG266" i="1"/>
  <c r="AB267" i="1"/>
  <c r="AC267" i="1"/>
  <c r="AD267" i="1"/>
  <c r="AG267" i="1"/>
  <c r="AB268" i="1"/>
  <c r="AC268" i="1"/>
  <c r="AD268" i="1"/>
  <c r="AG268" i="1"/>
  <c r="AB269" i="1"/>
  <c r="AC269" i="1"/>
  <c r="AD269" i="1"/>
  <c r="AG269" i="1"/>
  <c r="AB270" i="1"/>
  <c r="AC270" i="1"/>
  <c r="AD270" i="1"/>
  <c r="AG270" i="1"/>
  <c r="AB271" i="1"/>
  <c r="AC271" i="1"/>
  <c r="AD271" i="1"/>
  <c r="AG271" i="1"/>
  <c r="AB272" i="1"/>
  <c r="AC272" i="1"/>
  <c r="AD272" i="1"/>
  <c r="AG272" i="1"/>
  <c r="AB273" i="1"/>
  <c r="AC273" i="1"/>
  <c r="AD273" i="1"/>
  <c r="AG273" i="1"/>
  <c r="AB274" i="1"/>
  <c r="AC274" i="1"/>
  <c r="AD274" i="1"/>
  <c r="AG274" i="1"/>
  <c r="AB275" i="1"/>
  <c r="AC275" i="1"/>
  <c r="AD275" i="1"/>
  <c r="AG275" i="1"/>
  <c r="AB276" i="1"/>
  <c r="AC276" i="1"/>
  <c r="AD276" i="1"/>
  <c r="AG276" i="1"/>
  <c r="AB277" i="1"/>
  <c r="AC277" i="1"/>
  <c r="AD277" i="1"/>
  <c r="AG277" i="1"/>
  <c r="AB278" i="1"/>
  <c r="AC278" i="1"/>
  <c r="AD278" i="1"/>
  <c r="AG278" i="1"/>
  <c r="AB279" i="1"/>
  <c r="AC279" i="1"/>
  <c r="AD279" i="1"/>
  <c r="AG279" i="1"/>
  <c r="AB280" i="1"/>
  <c r="AC280" i="1"/>
  <c r="AD280" i="1"/>
  <c r="AG280" i="1"/>
  <c r="AB281" i="1"/>
  <c r="AC281" i="1"/>
  <c r="AD281" i="1"/>
  <c r="AG281" i="1"/>
  <c r="AB282" i="1"/>
  <c r="AC282" i="1"/>
  <c r="AD282" i="1"/>
  <c r="AG282" i="1"/>
  <c r="AB283" i="1"/>
  <c r="AC283" i="1"/>
  <c r="AD283" i="1"/>
  <c r="AG283" i="1"/>
  <c r="AB284" i="1"/>
  <c r="AC284" i="1"/>
  <c r="AD284" i="1"/>
  <c r="AG284" i="1"/>
  <c r="AB285" i="1"/>
  <c r="AC285" i="1"/>
  <c r="AD285" i="1"/>
  <c r="AG285" i="1"/>
  <c r="AB286" i="1"/>
  <c r="AC286" i="1"/>
  <c r="AD286" i="1"/>
  <c r="AG286" i="1"/>
  <c r="AB287" i="1"/>
  <c r="AC287" i="1"/>
  <c r="AD287" i="1"/>
  <c r="AG287" i="1"/>
  <c r="AB288" i="1"/>
  <c r="AC288" i="1"/>
  <c r="AD288" i="1"/>
  <c r="AG288" i="1"/>
  <c r="AB289" i="1"/>
  <c r="AC289" i="1"/>
  <c r="AD289" i="1"/>
  <c r="AG289" i="1"/>
  <c r="AB290" i="1"/>
  <c r="AC290" i="1"/>
  <c r="AD290" i="1"/>
  <c r="AG290" i="1"/>
  <c r="AB291" i="1"/>
  <c r="AC291" i="1"/>
  <c r="AD291" i="1"/>
  <c r="AG291" i="1"/>
  <c r="AB292" i="1"/>
  <c r="AC292" i="1"/>
  <c r="AD292" i="1"/>
  <c r="AG292" i="1"/>
  <c r="AB293" i="1"/>
  <c r="AC293" i="1"/>
  <c r="AD293" i="1"/>
  <c r="AG293" i="1"/>
  <c r="AB294" i="1"/>
  <c r="AC294" i="1"/>
  <c r="AD294" i="1"/>
  <c r="AG294" i="1"/>
  <c r="AB295" i="1"/>
  <c r="AC295" i="1"/>
  <c r="AD295" i="1"/>
  <c r="AG295" i="1"/>
  <c r="AB296" i="1"/>
  <c r="AC296" i="1"/>
  <c r="AD296" i="1"/>
  <c r="AG296" i="1"/>
  <c r="AB297" i="1"/>
  <c r="AC297" i="1"/>
  <c r="AD297" i="1"/>
  <c r="AG297" i="1"/>
  <c r="AB298" i="1"/>
  <c r="AC298" i="1"/>
  <c r="AD298" i="1"/>
  <c r="AG298" i="1"/>
  <c r="AB299" i="1"/>
  <c r="AC299" i="1"/>
  <c r="AD299" i="1"/>
  <c r="AG299" i="1"/>
  <c r="AB300" i="1"/>
  <c r="AC300" i="1"/>
  <c r="AD300" i="1"/>
  <c r="AG300" i="1"/>
  <c r="AB301" i="1"/>
  <c r="AC301" i="1"/>
  <c r="AD301" i="1"/>
  <c r="AG301" i="1"/>
  <c r="AB302" i="1"/>
  <c r="AC302" i="1"/>
  <c r="AD302" i="1"/>
  <c r="AG302" i="1"/>
  <c r="AB303" i="1"/>
  <c r="AC303" i="1"/>
  <c r="AD303" i="1"/>
  <c r="AG303" i="1"/>
  <c r="AB304" i="1"/>
  <c r="AC304" i="1"/>
  <c r="AD304" i="1"/>
  <c r="AG304" i="1"/>
  <c r="AB305" i="1"/>
  <c r="AC305" i="1"/>
  <c r="AD305" i="1"/>
  <c r="AG305" i="1"/>
  <c r="AB306" i="1"/>
  <c r="AC306" i="1"/>
  <c r="AD306" i="1"/>
  <c r="AG306" i="1"/>
  <c r="AB307" i="1"/>
  <c r="AC307" i="1"/>
  <c r="AD307" i="1"/>
  <c r="AG307" i="1"/>
  <c r="AB308" i="1"/>
  <c r="AC308" i="1"/>
  <c r="AD308" i="1"/>
  <c r="AG308" i="1"/>
  <c r="AB309" i="1"/>
  <c r="AC309" i="1"/>
  <c r="AD309" i="1"/>
  <c r="AG309" i="1"/>
  <c r="AB310" i="1"/>
  <c r="AC310" i="1"/>
  <c r="AD310" i="1"/>
  <c r="AG310" i="1"/>
  <c r="AB311" i="1"/>
  <c r="AC311" i="1"/>
  <c r="AD311" i="1"/>
  <c r="AG311" i="1"/>
  <c r="AB312" i="1"/>
  <c r="AC312" i="1"/>
  <c r="AD312" i="1"/>
  <c r="AG312" i="1"/>
  <c r="AB313" i="1"/>
  <c r="AC313" i="1"/>
  <c r="AD313" i="1"/>
  <c r="AG313" i="1"/>
  <c r="AB314" i="1"/>
  <c r="AC314" i="1"/>
  <c r="AD314" i="1"/>
  <c r="AG314" i="1"/>
  <c r="AB315" i="1"/>
  <c r="AC315" i="1"/>
  <c r="AD315" i="1"/>
  <c r="AG315" i="1"/>
  <c r="AB316" i="1"/>
  <c r="AC316" i="1"/>
  <c r="AD316" i="1"/>
  <c r="AG316" i="1"/>
  <c r="AB317" i="1"/>
  <c r="AC317" i="1"/>
  <c r="AD317" i="1"/>
  <c r="AG317" i="1"/>
  <c r="AB318" i="1"/>
  <c r="AC318" i="1"/>
  <c r="AD318" i="1"/>
  <c r="AG318" i="1"/>
  <c r="AB319" i="1"/>
  <c r="AC319" i="1"/>
  <c r="AD319" i="1"/>
  <c r="AG319" i="1"/>
  <c r="AB320" i="1"/>
  <c r="AC320" i="1"/>
  <c r="AD320" i="1"/>
  <c r="AG320" i="1"/>
  <c r="AB321" i="1"/>
  <c r="AC321" i="1"/>
  <c r="AD321" i="1"/>
  <c r="AG321" i="1"/>
  <c r="AB322" i="1"/>
  <c r="AC322" i="1"/>
  <c r="AD322" i="1"/>
  <c r="AG322" i="1"/>
  <c r="AB323" i="1"/>
  <c r="AC323" i="1"/>
  <c r="AD323" i="1"/>
  <c r="AG323" i="1"/>
  <c r="AB324" i="1"/>
  <c r="AC324" i="1"/>
  <c r="AD324" i="1"/>
  <c r="AG324" i="1"/>
  <c r="AB325" i="1"/>
  <c r="AC325" i="1"/>
  <c r="AD325" i="1"/>
  <c r="AG325" i="1"/>
  <c r="AB326" i="1"/>
  <c r="AC326" i="1"/>
  <c r="AD326" i="1"/>
  <c r="AG326" i="1"/>
  <c r="AB327" i="1"/>
  <c r="AC327" i="1"/>
  <c r="AD327" i="1"/>
  <c r="AG327" i="1"/>
  <c r="AB328" i="1"/>
  <c r="AC328" i="1"/>
  <c r="AD328" i="1"/>
  <c r="AG328" i="1"/>
  <c r="AB329" i="1"/>
  <c r="AC329" i="1"/>
  <c r="AD329" i="1"/>
  <c r="AG329" i="1"/>
  <c r="AB330" i="1"/>
  <c r="AC330" i="1"/>
  <c r="AD330" i="1"/>
  <c r="AG330" i="1"/>
  <c r="AB331" i="1"/>
  <c r="AC331" i="1"/>
  <c r="AD331" i="1"/>
  <c r="AG331" i="1"/>
  <c r="AB332" i="1"/>
  <c r="AC332" i="1"/>
  <c r="AD332" i="1"/>
  <c r="AG332" i="1"/>
  <c r="AB333" i="1"/>
  <c r="AC333" i="1"/>
  <c r="AD333" i="1"/>
  <c r="AG333" i="1"/>
  <c r="AB334" i="1"/>
  <c r="AC334" i="1"/>
  <c r="AD334" i="1"/>
  <c r="AG334" i="1"/>
  <c r="AB335" i="1"/>
  <c r="AC335" i="1"/>
  <c r="AD335" i="1"/>
  <c r="AG335" i="1"/>
  <c r="AB336" i="1"/>
  <c r="AC336" i="1"/>
  <c r="AD336" i="1"/>
  <c r="AG336" i="1"/>
  <c r="AB337" i="1"/>
  <c r="AC337" i="1"/>
  <c r="AD337" i="1"/>
  <c r="AG337" i="1"/>
  <c r="AB338" i="1"/>
  <c r="AC338" i="1"/>
  <c r="AD338" i="1"/>
  <c r="AG338" i="1"/>
  <c r="AB339" i="1"/>
  <c r="AC339" i="1"/>
  <c r="AD339" i="1"/>
  <c r="AG339" i="1"/>
  <c r="AB340" i="1"/>
  <c r="AC340" i="1"/>
  <c r="AD340" i="1"/>
  <c r="AG340" i="1"/>
  <c r="AB341" i="1"/>
  <c r="AC341" i="1"/>
  <c r="AD341" i="1"/>
  <c r="AG341" i="1"/>
  <c r="AB342" i="1"/>
  <c r="AC342" i="1"/>
  <c r="AD342" i="1"/>
  <c r="AG342" i="1"/>
  <c r="AB343" i="1"/>
  <c r="AC343" i="1"/>
  <c r="AD343" i="1"/>
  <c r="AG343" i="1"/>
  <c r="AB344" i="1"/>
  <c r="AC344" i="1"/>
  <c r="AD344" i="1"/>
  <c r="AG344" i="1"/>
  <c r="AB345" i="1"/>
  <c r="AC345" i="1"/>
  <c r="AD345" i="1"/>
  <c r="AG345" i="1"/>
  <c r="AB346" i="1"/>
  <c r="AC346" i="1"/>
  <c r="AD346" i="1"/>
  <c r="AG346" i="1"/>
  <c r="AB347" i="1"/>
  <c r="AC347" i="1"/>
  <c r="AD347" i="1"/>
  <c r="AG347" i="1"/>
  <c r="AB348" i="1"/>
  <c r="AC348" i="1"/>
  <c r="AD348" i="1"/>
  <c r="AG348" i="1"/>
  <c r="AB349" i="1"/>
  <c r="AC349" i="1"/>
  <c r="AD349" i="1"/>
  <c r="AG349" i="1"/>
  <c r="AB350" i="1"/>
  <c r="AC350" i="1"/>
  <c r="AD350" i="1"/>
  <c r="AG350" i="1"/>
  <c r="AB351" i="1"/>
  <c r="AC351" i="1"/>
  <c r="AD351" i="1"/>
  <c r="AG351" i="1"/>
  <c r="AB352" i="1"/>
  <c r="AC352" i="1"/>
  <c r="AD352" i="1"/>
  <c r="AG352" i="1"/>
  <c r="AB353" i="1"/>
  <c r="AC353" i="1"/>
  <c r="AD353" i="1"/>
  <c r="AG353" i="1"/>
  <c r="AB354" i="1"/>
  <c r="AC354" i="1"/>
  <c r="AD354" i="1"/>
  <c r="AG354" i="1"/>
  <c r="AB355" i="1"/>
  <c r="AC355" i="1"/>
  <c r="AD355" i="1"/>
  <c r="AG355" i="1"/>
  <c r="AB356" i="1"/>
  <c r="AC356" i="1"/>
  <c r="AD356" i="1"/>
  <c r="AG356" i="1"/>
  <c r="AB357" i="1"/>
  <c r="AC357" i="1"/>
  <c r="AD357" i="1"/>
  <c r="AG357" i="1"/>
  <c r="AB358" i="1"/>
  <c r="AC358" i="1"/>
  <c r="AD358" i="1"/>
  <c r="AG358" i="1"/>
  <c r="AB359" i="1"/>
  <c r="AC359" i="1"/>
  <c r="AD359" i="1"/>
  <c r="AG359" i="1"/>
  <c r="AB360" i="1"/>
  <c r="AC360" i="1"/>
  <c r="AD360" i="1"/>
  <c r="AG360" i="1"/>
  <c r="AB361" i="1"/>
  <c r="AC361" i="1"/>
  <c r="AD361" i="1"/>
  <c r="AG361" i="1"/>
  <c r="AB362" i="1"/>
  <c r="AC362" i="1"/>
  <c r="AD362" i="1"/>
  <c r="AG362" i="1"/>
  <c r="AB363" i="1"/>
  <c r="AC363" i="1"/>
  <c r="AD363" i="1"/>
  <c r="AG363" i="1"/>
  <c r="AB364" i="1"/>
  <c r="AC364" i="1"/>
  <c r="AD364" i="1"/>
  <c r="AG364" i="1"/>
  <c r="AB365" i="1"/>
  <c r="AC365" i="1"/>
  <c r="AD365" i="1"/>
  <c r="AG365" i="1"/>
  <c r="AB366" i="1"/>
  <c r="AC366" i="1"/>
  <c r="AD366" i="1"/>
  <c r="AG366" i="1"/>
  <c r="AB367" i="1"/>
  <c r="AC367" i="1"/>
  <c r="AD367" i="1"/>
  <c r="AG367" i="1"/>
  <c r="AB368" i="1"/>
  <c r="AC368" i="1"/>
  <c r="AD368" i="1"/>
  <c r="AG368" i="1"/>
  <c r="AB369" i="1"/>
  <c r="AC369" i="1"/>
  <c r="AD369" i="1"/>
  <c r="AG369" i="1"/>
  <c r="AB370" i="1"/>
  <c r="AC370" i="1"/>
  <c r="AD370" i="1"/>
  <c r="AG370" i="1"/>
  <c r="AB371" i="1"/>
  <c r="AC371" i="1"/>
  <c r="AD371" i="1"/>
  <c r="AG371" i="1"/>
  <c r="AB372" i="1"/>
  <c r="AC372" i="1"/>
  <c r="AD372" i="1"/>
  <c r="AG372" i="1"/>
  <c r="AB373" i="1"/>
  <c r="AC373" i="1"/>
  <c r="AD373" i="1"/>
  <c r="AG373" i="1"/>
  <c r="AB374" i="1"/>
  <c r="AC374" i="1"/>
  <c r="AD374" i="1"/>
  <c r="AG374" i="1"/>
  <c r="AB375" i="1"/>
  <c r="AC375" i="1"/>
  <c r="AD375" i="1"/>
  <c r="AG375" i="1"/>
  <c r="AB376" i="1"/>
  <c r="AC376" i="1"/>
  <c r="AD376" i="1"/>
  <c r="AG376" i="1"/>
  <c r="AB377" i="1"/>
  <c r="AC377" i="1"/>
  <c r="AD377" i="1"/>
  <c r="AG377" i="1"/>
  <c r="AB378" i="1"/>
  <c r="AC378" i="1"/>
  <c r="AD378" i="1"/>
  <c r="AG378" i="1"/>
  <c r="AB379" i="1"/>
  <c r="AC379" i="1"/>
  <c r="AD379" i="1"/>
  <c r="AG379" i="1"/>
  <c r="AB380" i="1"/>
  <c r="AC380" i="1"/>
  <c r="AD380" i="1"/>
  <c r="AG380" i="1"/>
  <c r="AB381" i="1"/>
  <c r="AC381" i="1"/>
  <c r="AD381" i="1"/>
  <c r="AG381" i="1"/>
  <c r="AB382" i="1"/>
  <c r="AC382" i="1"/>
  <c r="AD382" i="1"/>
  <c r="AG382" i="1"/>
  <c r="AB383" i="1"/>
  <c r="AC383" i="1"/>
  <c r="AD383" i="1"/>
  <c r="AG383" i="1"/>
  <c r="AB384" i="1"/>
  <c r="AC384" i="1"/>
  <c r="AD384" i="1"/>
  <c r="AG384" i="1"/>
  <c r="AB385" i="1"/>
  <c r="AC385" i="1"/>
  <c r="AD385" i="1"/>
  <c r="AG385" i="1"/>
  <c r="AB386" i="1"/>
  <c r="AC386" i="1"/>
  <c r="AD386" i="1"/>
  <c r="AG386" i="1"/>
  <c r="AB387" i="1"/>
  <c r="AC387" i="1"/>
  <c r="AD387" i="1"/>
  <c r="AG387" i="1"/>
  <c r="AB388" i="1"/>
  <c r="AC388" i="1"/>
  <c r="AD388" i="1"/>
  <c r="AG388" i="1"/>
  <c r="AB389" i="1"/>
  <c r="AC389" i="1"/>
  <c r="AD389" i="1"/>
  <c r="AG389" i="1"/>
  <c r="AB390" i="1"/>
  <c r="AC390" i="1"/>
  <c r="AD390" i="1"/>
  <c r="AG390" i="1"/>
  <c r="AB391" i="1"/>
  <c r="AC391" i="1"/>
  <c r="AD391" i="1"/>
  <c r="AG391" i="1"/>
  <c r="AB392" i="1"/>
  <c r="AC392" i="1"/>
  <c r="AD392" i="1"/>
  <c r="AG392" i="1"/>
  <c r="AB393" i="1"/>
  <c r="AC393" i="1"/>
  <c r="AD393" i="1"/>
  <c r="AG393" i="1"/>
  <c r="AB394" i="1"/>
  <c r="AC394" i="1"/>
  <c r="AD394" i="1"/>
  <c r="AG394" i="1"/>
  <c r="AB395" i="1"/>
  <c r="AC395" i="1"/>
  <c r="AD395" i="1"/>
  <c r="AG395" i="1"/>
  <c r="AB396" i="1"/>
  <c r="AC396" i="1"/>
  <c r="AD396" i="1"/>
  <c r="AG396" i="1"/>
  <c r="AB397" i="1"/>
  <c r="AC397" i="1"/>
  <c r="AD397" i="1"/>
  <c r="AG397" i="1"/>
  <c r="AB398" i="1"/>
  <c r="AC398" i="1"/>
  <c r="AD398" i="1"/>
  <c r="AG398" i="1"/>
  <c r="AB399" i="1"/>
  <c r="AC399" i="1"/>
  <c r="AD399" i="1"/>
  <c r="AG399" i="1"/>
  <c r="AB400" i="1"/>
  <c r="AC400" i="1"/>
  <c r="AD400" i="1"/>
  <c r="AG400" i="1"/>
  <c r="AB401" i="1"/>
  <c r="AC401" i="1"/>
  <c r="AD401" i="1"/>
  <c r="AG401" i="1"/>
  <c r="AB402" i="1"/>
  <c r="AC402" i="1"/>
  <c r="AD402" i="1"/>
  <c r="AG402" i="1"/>
  <c r="AB403" i="1"/>
  <c r="AC403" i="1"/>
  <c r="AD403" i="1"/>
  <c r="AG403" i="1"/>
  <c r="AB404" i="1"/>
  <c r="AC404" i="1"/>
  <c r="AD404" i="1"/>
  <c r="AG404" i="1"/>
  <c r="AB405" i="1"/>
  <c r="AC405" i="1"/>
  <c r="AD405" i="1"/>
  <c r="AG405" i="1"/>
  <c r="AB406" i="1"/>
  <c r="AC406" i="1"/>
  <c r="AD406" i="1"/>
  <c r="AG406" i="1"/>
  <c r="AB407" i="1"/>
  <c r="AC407" i="1"/>
  <c r="AD407" i="1"/>
  <c r="AG407" i="1"/>
  <c r="AB408" i="1"/>
  <c r="AC408" i="1"/>
  <c r="AD408" i="1"/>
  <c r="AG408" i="1"/>
  <c r="AB409" i="1"/>
  <c r="AC409" i="1"/>
  <c r="AD409" i="1"/>
  <c r="AG409" i="1"/>
  <c r="AB410" i="1"/>
  <c r="AC410" i="1"/>
  <c r="AD410" i="1"/>
  <c r="AG410" i="1"/>
  <c r="AB411" i="1"/>
  <c r="AC411" i="1"/>
  <c r="AD411" i="1"/>
  <c r="AG411" i="1"/>
  <c r="AB412" i="1"/>
  <c r="AC412" i="1"/>
  <c r="AD412" i="1"/>
  <c r="AG412" i="1"/>
  <c r="AB413" i="1"/>
  <c r="AC413" i="1"/>
  <c r="AD413" i="1"/>
  <c r="AG413" i="1"/>
  <c r="AB414" i="1"/>
  <c r="AC414" i="1"/>
  <c r="AD414" i="1"/>
  <c r="AG414" i="1"/>
  <c r="AB415" i="1"/>
  <c r="AC415" i="1"/>
  <c r="AD415" i="1"/>
  <c r="AG415" i="1"/>
  <c r="AB416" i="1"/>
  <c r="AC416" i="1"/>
  <c r="AD416" i="1"/>
  <c r="AG416" i="1"/>
  <c r="AB417" i="1"/>
  <c r="AC417" i="1"/>
  <c r="AD417" i="1"/>
  <c r="AG417" i="1"/>
  <c r="AB418" i="1"/>
  <c r="AC418" i="1"/>
  <c r="AD418" i="1"/>
  <c r="AG418" i="1"/>
  <c r="AB419" i="1"/>
  <c r="AC419" i="1"/>
  <c r="AD419" i="1"/>
  <c r="AG419" i="1"/>
  <c r="AB420" i="1"/>
  <c r="AC420" i="1"/>
  <c r="AD420" i="1"/>
  <c r="AG420" i="1"/>
  <c r="AB421" i="1"/>
  <c r="AC421" i="1"/>
  <c r="AD421" i="1"/>
  <c r="AG421" i="1"/>
  <c r="AB422" i="1"/>
  <c r="AC422" i="1"/>
  <c r="AD422" i="1"/>
  <c r="AG422" i="1"/>
  <c r="AB423" i="1"/>
  <c r="AC423" i="1"/>
  <c r="AD423" i="1"/>
  <c r="AG423" i="1"/>
  <c r="AB424" i="1"/>
  <c r="AC424" i="1"/>
  <c r="AD424" i="1"/>
  <c r="AG424" i="1"/>
  <c r="AB425" i="1"/>
  <c r="AC425" i="1"/>
  <c r="AD425" i="1"/>
  <c r="AG425" i="1"/>
  <c r="AB426" i="1"/>
  <c r="AC426" i="1"/>
  <c r="AD426" i="1"/>
  <c r="AG426" i="1"/>
  <c r="AB427" i="1"/>
  <c r="AC427" i="1"/>
  <c r="AD427" i="1"/>
  <c r="AG427" i="1"/>
  <c r="AB428" i="1"/>
  <c r="AC428" i="1"/>
  <c r="AD428" i="1"/>
  <c r="AG428" i="1"/>
  <c r="AB429" i="1"/>
  <c r="AC429" i="1"/>
  <c r="AD429" i="1"/>
  <c r="AG429" i="1"/>
  <c r="AB430" i="1"/>
  <c r="AC430" i="1"/>
  <c r="AD430" i="1"/>
  <c r="AG430" i="1"/>
  <c r="AB431" i="1"/>
  <c r="AC431" i="1"/>
  <c r="AD431" i="1"/>
  <c r="AG431" i="1"/>
  <c r="AB432" i="1"/>
  <c r="AC432" i="1"/>
  <c r="AD432" i="1"/>
  <c r="AG432" i="1"/>
  <c r="AB433" i="1"/>
  <c r="AC433" i="1"/>
  <c r="AD433" i="1"/>
  <c r="AG433" i="1"/>
  <c r="AB434" i="1"/>
  <c r="AC434" i="1"/>
  <c r="AD434" i="1"/>
  <c r="AG434" i="1"/>
  <c r="AB435" i="1"/>
  <c r="AC435" i="1"/>
  <c r="AD435" i="1"/>
  <c r="AG435" i="1"/>
  <c r="AB436" i="1"/>
  <c r="AC436" i="1"/>
  <c r="AD436" i="1"/>
  <c r="AG436" i="1"/>
  <c r="AB437" i="1"/>
  <c r="AC437" i="1"/>
  <c r="AD437" i="1"/>
  <c r="AG437" i="1"/>
  <c r="AB438" i="1"/>
  <c r="AC438" i="1"/>
  <c r="AD438" i="1"/>
  <c r="AG438" i="1"/>
  <c r="AB439" i="1"/>
  <c r="AC439" i="1"/>
  <c r="AD439" i="1"/>
  <c r="AG439" i="1"/>
  <c r="AB440" i="1"/>
  <c r="AC440" i="1"/>
  <c r="AD440" i="1"/>
  <c r="AG440" i="1"/>
  <c r="AB441" i="1"/>
  <c r="AC441" i="1"/>
  <c r="AD441" i="1"/>
  <c r="AG441" i="1"/>
  <c r="AB442" i="1"/>
  <c r="AC442" i="1"/>
  <c r="AD442" i="1"/>
  <c r="AG442" i="1"/>
  <c r="AB443" i="1"/>
  <c r="AC443" i="1"/>
  <c r="AD443" i="1"/>
  <c r="AG443" i="1"/>
  <c r="AB444" i="1"/>
  <c r="AC444" i="1"/>
  <c r="AD444" i="1"/>
  <c r="AG444" i="1"/>
  <c r="AB445" i="1"/>
  <c r="AC445" i="1"/>
  <c r="AD445" i="1"/>
  <c r="AG445" i="1"/>
  <c r="AB446" i="1"/>
  <c r="AC446" i="1"/>
  <c r="AD446" i="1"/>
  <c r="AG446" i="1"/>
  <c r="AB447" i="1"/>
  <c r="AC447" i="1"/>
  <c r="AD447" i="1"/>
  <c r="AG447" i="1"/>
  <c r="AB448" i="1"/>
  <c r="AC448" i="1"/>
  <c r="AD448" i="1"/>
  <c r="AG448" i="1"/>
  <c r="AB449" i="1"/>
  <c r="AC449" i="1"/>
  <c r="AD449" i="1"/>
  <c r="AG449" i="1"/>
  <c r="AB450" i="1"/>
  <c r="AC450" i="1"/>
  <c r="AD450" i="1"/>
  <c r="AG450" i="1"/>
  <c r="AB451" i="1"/>
  <c r="AC451" i="1"/>
  <c r="AD451" i="1"/>
  <c r="AG451" i="1"/>
  <c r="AB452" i="1"/>
  <c r="AC452" i="1"/>
  <c r="AD452" i="1"/>
  <c r="AG452" i="1"/>
  <c r="AB453" i="1"/>
  <c r="AC453" i="1"/>
  <c r="AD453" i="1"/>
  <c r="AG453" i="1"/>
  <c r="AB454" i="1"/>
  <c r="AC454" i="1"/>
  <c r="AD454" i="1"/>
  <c r="AG454" i="1"/>
  <c r="AB455" i="1"/>
  <c r="AC455" i="1"/>
  <c r="AD455" i="1"/>
  <c r="AG455" i="1"/>
  <c r="AB456" i="1"/>
  <c r="AC456" i="1"/>
  <c r="AD456" i="1"/>
  <c r="AG456" i="1"/>
  <c r="AB457" i="1"/>
  <c r="AC457" i="1"/>
  <c r="AD457" i="1"/>
  <c r="AG457" i="1"/>
  <c r="AB458" i="1"/>
  <c r="AC458" i="1"/>
  <c r="AD458" i="1"/>
  <c r="AG458" i="1"/>
  <c r="AB459" i="1"/>
  <c r="AC459" i="1"/>
  <c r="AD459" i="1"/>
  <c r="AG459" i="1"/>
  <c r="AB460" i="1"/>
  <c r="AC460" i="1"/>
  <c r="AD460" i="1"/>
  <c r="AG460" i="1"/>
  <c r="AB461" i="1"/>
  <c r="AC461" i="1"/>
  <c r="AD461" i="1"/>
  <c r="AG461" i="1"/>
  <c r="AB462" i="1"/>
  <c r="AC462" i="1"/>
  <c r="AD462" i="1"/>
  <c r="AG462" i="1"/>
  <c r="AB463" i="1"/>
  <c r="AC463" i="1"/>
  <c r="AD463" i="1"/>
  <c r="AG463" i="1"/>
  <c r="AB464" i="1"/>
  <c r="AC464" i="1"/>
  <c r="AD464" i="1"/>
  <c r="AG464" i="1"/>
  <c r="AB465" i="1"/>
  <c r="AC465" i="1"/>
  <c r="AD465" i="1"/>
  <c r="AG465" i="1"/>
  <c r="AB466" i="1"/>
  <c r="AC466" i="1"/>
  <c r="AD466" i="1"/>
  <c r="AG466" i="1"/>
  <c r="AB467" i="1"/>
  <c r="AC467" i="1"/>
  <c r="AD467" i="1"/>
  <c r="AG467" i="1"/>
  <c r="AB468" i="1"/>
  <c r="AC468" i="1"/>
  <c r="AD468" i="1"/>
  <c r="AG468" i="1"/>
  <c r="AB469" i="1"/>
  <c r="AC469" i="1"/>
  <c r="AD469" i="1"/>
  <c r="AG469" i="1"/>
  <c r="AB470" i="1"/>
  <c r="AC470" i="1"/>
  <c r="AD470" i="1"/>
  <c r="AG470" i="1"/>
  <c r="AB471" i="1"/>
  <c r="AC471" i="1"/>
  <c r="AD471" i="1"/>
  <c r="AG471" i="1"/>
  <c r="AB472" i="1"/>
  <c r="AC472" i="1"/>
  <c r="AD472" i="1"/>
  <c r="AG472" i="1"/>
  <c r="AB473" i="1"/>
  <c r="AC473" i="1"/>
  <c r="AD473" i="1"/>
  <c r="AG473" i="1"/>
  <c r="AB474" i="1"/>
  <c r="AC474" i="1"/>
  <c r="AD474" i="1"/>
  <c r="AG474" i="1"/>
  <c r="AB475" i="1"/>
  <c r="AC475" i="1"/>
  <c r="AD475" i="1"/>
  <c r="AG475" i="1"/>
  <c r="AB476" i="1"/>
  <c r="AC476" i="1"/>
  <c r="AD476" i="1"/>
  <c r="AG476" i="1"/>
  <c r="AB477" i="1"/>
  <c r="AC477" i="1"/>
  <c r="AD477" i="1"/>
  <c r="AG477" i="1"/>
  <c r="AB478" i="1"/>
  <c r="AC478" i="1"/>
  <c r="AD478" i="1"/>
  <c r="AG478" i="1"/>
  <c r="AB479" i="1"/>
  <c r="AC479" i="1"/>
  <c r="AD479" i="1"/>
  <c r="AG479" i="1"/>
  <c r="AB480" i="1"/>
  <c r="AC480" i="1"/>
  <c r="AD480" i="1"/>
  <c r="AG480" i="1"/>
  <c r="AB481" i="1"/>
  <c r="AC481" i="1"/>
  <c r="AD481" i="1"/>
  <c r="AG481" i="1"/>
  <c r="AB482" i="1"/>
  <c r="AC482" i="1"/>
  <c r="AD482" i="1"/>
  <c r="AG482" i="1"/>
  <c r="AB483" i="1"/>
  <c r="AC483" i="1"/>
  <c r="AD483" i="1"/>
  <c r="AG483" i="1"/>
  <c r="AB484" i="1"/>
  <c r="AC484" i="1"/>
  <c r="AD484" i="1"/>
  <c r="AG484" i="1"/>
  <c r="AB485" i="1"/>
  <c r="AC485" i="1"/>
  <c r="AD485" i="1"/>
  <c r="AG485" i="1"/>
  <c r="AB486" i="1"/>
  <c r="AC486" i="1"/>
  <c r="AD486" i="1"/>
  <c r="AG486" i="1"/>
  <c r="AB487" i="1"/>
  <c r="AC487" i="1"/>
  <c r="AD487" i="1"/>
  <c r="AG487" i="1"/>
  <c r="AB488" i="1"/>
  <c r="AC488" i="1"/>
  <c r="AD488" i="1"/>
  <c r="AG488" i="1"/>
  <c r="AB489" i="1"/>
  <c r="AC489" i="1"/>
  <c r="AD489" i="1"/>
  <c r="AG489" i="1"/>
  <c r="AB490" i="1"/>
  <c r="AC490" i="1"/>
  <c r="AD490" i="1"/>
  <c r="AG490" i="1"/>
  <c r="AB491" i="1"/>
  <c r="AC491" i="1"/>
  <c r="AD491" i="1"/>
  <c r="AG491" i="1"/>
  <c r="AB492" i="1"/>
  <c r="AC492" i="1"/>
  <c r="AD492" i="1"/>
  <c r="AG492" i="1"/>
  <c r="AB493" i="1"/>
  <c r="AC493" i="1"/>
  <c r="AD493" i="1"/>
  <c r="AG493" i="1"/>
  <c r="AB494" i="1"/>
  <c r="AC494" i="1"/>
  <c r="AD494" i="1"/>
  <c r="AG494" i="1"/>
  <c r="AB495" i="1"/>
  <c r="AC495" i="1"/>
  <c r="AD495" i="1"/>
  <c r="AG495" i="1"/>
  <c r="AB496" i="1"/>
  <c r="AC496" i="1"/>
  <c r="AD496" i="1"/>
  <c r="AG496" i="1"/>
  <c r="AB497" i="1"/>
  <c r="AC497" i="1"/>
  <c r="AD497" i="1"/>
  <c r="AG497" i="1"/>
  <c r="AB498" i="1"/>
  <c r="AC498" i="1"/>
  <c r="AD498" i="1"/>
  <c r="AG498" i="1"/>
  <c r="AB499" i="1"/>
  <c r="AC499" i="1"/>
  <c r="AD499" i="1"/>
  <c r="AG499" i="1"/>
  <c r="AB500" i="1"/>
  <c r="AC500" i="1"/>
  <c r="AD500" i="1"/>
  <c r="AG500" i="1"/>
  <c r="AB501" i="1"/>
  <c r="AC501" i="1"/>
  <c r="AD501" i="1"/>
  <c r="AG501" i="1"/>
  <c r="AB502" i="1"/>
  <c r="AC502" i="1"/>
  <c r="AD502" i="1"/>
  <c r="AG502" i="1"/>
  <c r="AB503" i="1"/>
  <c r="AC503" i="1"/>
  <c r="AD503" i="1"/>
  <c r="AG503" i="1"/>
  <c r="AB504" i="1"/>
  <c r="AC504" i="1"/>
  <c r="AD504" i="1"/>
  <c r="AG504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7" i="1"/>
  <c r="S137" i="1"/>
  <c r="T137" i="1"/>
  <c r="U137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1" i="1"/>
  <c r="S151" i="1"/>
  <c r="T151" i="1"/>
  <c r="U151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7" i="1"/>
  <c r="S187" i="1"/>
  <c r="T187" i="1"/>
  <c r="U187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5" i="1"/>
  <c r="S195" i="1"/>
  <c r="T195" i="1"/>
  <c r="U195" i="1"/>
  <c r="R196" i="1"/>
  <c r="S196" i="1"/>
  <c r="T196" i="1"/>
  <c r="U196" i="1"/>
  <c r="R197" i="1"/>
  <c r="S197" i="1"/>
  <c r="T197" i="1"/>
  <c r="U197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5" i="1"/>
  <c r="S205" i="1"/>
  <c r="T205" i="1"/>
  <c r="U205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2" i="1"/>
  <c r="S222" i="1"/>
  <c r="T222" i="1"/>
  <c r="U222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4" i="1"/>
  <c r="S234" i="1"/>
  <c r="T234" i="1"/>
  <c r="U234" i="1"/>
  <c r="R235" i="1"/>
  <c r="S235" i="1"/>
  <c r="T235" i="1"/>
  <c r="U235" i="1"/>
  <c r="R236" i="1"/>
  <c r="S236" i="1"/>
  <c r="T236" i="1"/>
  <c r="U236" i="1"/>
  <c r="R237" i="1"/>
  <c r="S237" i="1"/>
  <c r="T237" i="1"/>
  <c r="U237" i="1"/>
  <c r="R238" i="1"/>
  <c r="S238" i="1"/>
  <c r="T238" i="1"/>
  <c r="U238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5" i="1"/>
  <c r="S245" i="1"/>
  <c r="T245" i="1"/>
  <c r="U245" i="1"/>
  <c r="R246" i="1"/>
  <c r="S246" i="1"/>
  <c r="T246" i="1"/>
  <c r="U246" i="1"/>
  <c r="R247" i="1"/>
  <c r="S247" i="1"/>
  <c r="T247" i="1"/>
  <c r="U247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4" i="1"/>
  <c r="S254" i="1"/>
  <c r="T254" i="1"/>
  <c r="U254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0" i="1"/>
  <c r="S280" i="1"/>
  <c r="T280" i="1"/>
  <c r="U280" i="1"/>
  <c r="R281" i="1"/>
  <c r="S281" i="1"/>
  <c r="T281" i="1"/>
  <c r="U281" i="1"/>
  <c r="R282" i="1"/>
  <c r="S282" i="1"/>
  <c r="T282" i="1"/>
  <c r="U282" i="1"/>
  <c r="R283" i="1"/>
  <c r="S283" i="1"/>
  <c r="T283" i="1"/>
  <c r="U283" i="1"/>
  <c r="R284" i="1"/>
  <c r="S284" i="1"/>
  <c r="T284" i="1"/>
  <c r="U284" i="1"/>
  <c r="R285" i="1"/>
  <c r="S285" i="1"/>
  <c r="T285" i="1"/>
  <c r="U285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2" i="1"/>
  <c r="S292" i="1"/>
  <c r="T292" i="1"/>
  <c r="U292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8" i="1"/>
  <c r="S298" i="1"/>
  <c r="T298" i="1"/>
  <c r="U298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3" i="1"/>
  <c r="S303" i="1"/>
  <c r="T303" i="1"/>
  <c r="U303" i="1"/>
  <c r="R304" i="1"/>
  <c r="S304" i="1"/>
  <c r="T304" i="1"/>
  <c r="U304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09" i="1"/>
  <c r="S309" i="1"/>
  <c r="T309" i="1"/>
  <c r="U309" i="1"/>
  <c r="R310" i="1"/>
  <c r="S310" i="1"/>
  <c r="T310" i="1"/>
  <c r="U310" i="1"/>
  <c r="R311" i="1"/>
  <c r="S311" i="1"/>
  <c r="T311" i="1"/>
  <c r="U311" i="1"/>
  <c r="R312" i="1"/>
  <c r="S312" i="1"/>
  <c r="T312" i="1"/>
  <c r="U312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6" i="1"/>
  <c r="S316" i="1"/>
  <c r="T316" i="1"/>
  <c r="U316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2" i="1"/>
  <c r="S322" i="1"/>
  <c r="T322" i="1"/>
  <c r="U322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6" i="1"/>
  <c r="S326" i="1"/>
  <c r="T326" i="1"/>
  <c r="U326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0" i="1"/>
  <c r="S330" i="1"/>
  <c r="T330" i="1"/>
  <c r="U330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7" i="1"/>
  <c r="S337" i="1"/>
  <c r="T337" i="1"/>
  <c r="U337" i="1"/>
  <c r="R338" i="1"/>
  <c r="S338" i="1"/>
  <c r="T338" i="1"/>
  <c r="U338" i="1"/>
  <c r="R339" i="1"/>
  <c r="S339" i="1"/>
  <c r="T339" i="1"/>
  <c r="U339" i="1"/>
  <c r="R340" i="1"/>
  <c r="S340" i="1"/>
  <c r="T340" i="1"/>
  <c r="U340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4" i="1"/>
  <c r="S344" i="1"/>
  <c r="T344" i="1"/>
  <c r="U344" i="1"/>
  <c r="R345" i="1"/>
  <c r="S345" i="1"/>
  <c r="T345" i="1"/>
  <c r="U345" i="1"/>
  <c r="R346" i="1"/>
  <c r="S346" i="1"/>
  <c r="T346" i="1"/>
  <c r="U346" i="1"/>
  <c r="R347" i="1"/>
  <c r="S347" i="1"/>
  <c r="T347" i="1"/>
  <c r="U347" i="1"/>
  <c r="R348" i="1"/>
  <c r="S348" i="1"/>
  <c r="T348" i="1"/>
  <c r="U348" i="1"/>
  <c r="R349" i="1"/>
  <c r="S349" i="1"/>
  <c r="T349" i="1"/>
  <c r="U349" i="1"/>
  <c r="R350" i="1"/>
  <c r="S350" i="1"/>
  <c r="T350" i="1"/>
  <c r="U350" i="1"/>
  <c r="R351" i="1"/>
  <c r="S351" i="1"/>
  <c r="T351" i="1"/>
  <c r="U351" i="1"/>
  <c r="R352" i="1"/>
  <c r="S352" i="1"/>
  <c r="T352" i="1"/>
  <c r="U352" i="1"/>
  <c r="R353" i="1"/>
  <c r="S353" i="1"/>
  <c r="T353" i="1"/>
  <c r="U353" i="1"/>
  <c r="R354" i="1"/>
  <c r="S354" i="1"/>
  <c r="T354" i="1"/>
  <c r="U354" i="1"/>
  <c r="R355" i="1"/>
  <c r="S355" i="1"/>
  <c r="T355" i="1"/>
  <c r="U355" i="1"/>
  <c r="R356" i="1"/>
  <c r="S356" i="1"/>
  <c r="T356" i="1"/>
  <c r="U356" i="1"/>
  <c r="R357" i="1"/>
  <c r="S357" i="1"/>
  <c r="T357" i="1"/>
  <c r="U357" i="1"/>
  <c r="R358" i="1"/>
  <c r="S358" i="1"/>
  <c r="T358" i="1"/>
  <c r="U358" i="1"/>
  <c r="R359" i="1"/>
  <c r="S359" i="1"/>
  <c r="T359" i="1"/>
  <c r="U359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3" i="1"/>
  <c r="S363" i="1"/>
  <c r="T363" i="1"/>
  <c r="U363" i="1"/>
  <c r="R364" i="1"/>
  <c r="S364" i="1"/>
  <c r="T364" i="1"/>
  <c r="U364" i="1"/>
  <c r="R365" i="1"/>
  <c r="S365" i="1"/>
  <c r="T365" i="1"/>
  <c r="U365" i="1"/>
  <c r="R366" i="1"/>
  <c r="S366" i="1"/>
  <c r="T366" i="1"/>
  <c r="U366" i="1"/>
  <c r="R367" i="1"/>
  <c r="S367" i="1"/>
  <c r="T367" i="1"/>
  <c r="U367" i="1"/>
  <c r="R368" i="1"/>
  <c r="S368" i="1"/>
  <c r="T368" i="1"/>
  <c r="U368" i="1"/>
  <c r="R369" i="1"/>
  <c r="S369" i="1"/>
  <c r="T369" i="1"/>
  <c r="U369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R373" i="1"/>
  <c r="S373" i="1"/>
  <c r="T373" i="1"/>
  <c r="U373" i="1"/>
  <c r="R374" i="1"/>
  <c r="S374" i="1"/>
  <c r="T374" i="1"/>
  <c r="U374" i="1"/>
  <c r="R375" i="1"/>
  <c r="S375" i="1"/>
  <c r="T375" i="1"/>
  <c r="U375" i="1"/>
  <c r="R376" i="1"/>
  <c r="S376" i="1"/>
  <c r="T376" i="1"/>
  <c r="U376" i="1"/>
  <c r="R377" i="1"/>
  <c r="S377" i="1"/>
  <c r="T377" i="1"/>
  <c r="U377" i="1"/>
  <c r="R378" i="1"/>
  <c r="S378" i="1"/>
  <c r="T378" i="1"/>
  <c r="U378" i="1"/>
  <c r="R379" i="1"/>
  <c r="S379" i="1"/>
  <c r="T379" i="1"/>
  <c r="U379" i="1"/>
  <c r="R380" i="1"/>
  <c r="S380" i="1"/>
  <c r="T380" i="1"/>
  <c r="U380" i="1"/>
  <c r="R381" i="1"/>
  <c r="S381" i="1"/>
  <c r="T381" i="1"/>
  <c r="U381" i="1"/>
  <c r="R382" i="1"/>
  <c r="S382" i="1"/>
  <c r="T382" i="1"/>
  <c r="U382" i="1"/>
  <c r="R383" i="1"/>
  <c r="S383" i="1"/>
  <c r="T383" i="1"/>
  <c r="U383" i="1"/>
  <c r="R384" i="1"/>
  <c r="S384" i="1"/>
  <c r="T384" i="1"/>
  <c r="U384" i="1"/>
  <c r="R385" i="1"/>
  <c r="S385" i="1"/>
  <c r="T385" i="1"/>
  <c r="U385" i="1"/>
  <c r="R386" i="1"/>
  <c r="S386" i="1"/>
  <c r="T386" i="1"/>
  <c r="U386" i="1"/>
  <c r="R387" i="1"/>
  <c r="S387" i="1"/>
  <c r="T387" i="1"/>
  <c r="U387" i="1"/>
  <c r="R388" i="1"/>
  <c r="S388" i="1"/>
  <c r="T388" i="1"/>
  <c r="U388" i="1"/>
  <c r="R389" i="1"/>
  <c r="S389" i="1"/>
  <c r="T389" i="1"/>
  <c r="U389" i="1"/>
  <c r="R390" i="1"/>
  <c r="S390" i="1"/>
  <c r="T390" i="1"/>
  <c r="U390" i="1"/>
  <c r="R391" i="1"/>
  <c r="S391" i="1"/>
  <c r="T391" i="1"/>
  <c r="U391" i="1"/>
  <c r="R392" i="1"/>
  <c r="S392" i="1"/>
  <c r="T392" i="1"/>
  <c r="U392" i="1"/>
  <c r="R393" i="1"/>
  <c r="S393" i="1"/>
  <c r="T393" i="1"/>
  <c r="U393" i="1"/>
  <c r="R394" i="1"/>
  <c r="S394" i="1"/>
  <c r="T394" i="1"/>
  <c r="U394" i="1"/>
  <c r="R395" i="1"/>
  <c r="S395" i="1"/>
  <c r="T395" i="1"/>
  <c r="U395" i="1"/>
  <c r="R396" i="1"/>
  <c r="S396" i="1"/>
  <c r="T396" i="1"/>
  <c r="U396" i="1"/>
  <c r="R397" i="1"/>
  <c r="S397" i="1"/>
  <c r="T397" i="1"/>
  <c r="U397" i="1"/>
  <c r="R398" i="1"/>
  <c r="S398" i="1"/>
  <c r="T398" i="1"/>
  <c r="U398" i="1"/>
  <c r="R399" i="1"/>
  <c r="S399" i="1"/>
  <c r="T399" i="1"/>
  <c r="U399" i="1"/>
  <c r="R400" i="1"/>
  <c r="S400" i="1"/>
  <c r="T400" i="1"/>
  <c r="U400" i="1"/>
  <c r="R401" i="1"/>
  <c r="S401" i="1"/>
  <c r="T401" i="1"/>
  <c r="U401" i="1"/>
  <c r="R402" i="1"/>
  <c r="S402" i="1"/>
  <c r="T402" i="1"/>
  <c r="U402" i="1"/>
  <c r="R403" i="1"/>
  <c r="S403" i="1"/>
  <c r="T403" i="1"/>
  <c r="U403" i="1"/>
  <c r="R404" i="1"/>
  <c r="S404" i="1"/>
  <c r="T404" i="1"/>
  <c r="U404" i="1"/>
  <c r="R405" i="1"/>
  <c r="S405" i="1"/>
  <c r="T405" i="1"/>
  <c r="U405" i="1"/>
  <c r="R406" i="1"/>
  <c r="S406" i="1"/>
  <c r="T406" i="1"/>
  <c r="U406" i="1"/>
  <c r="R407" i="1"/>
  <c r="S407" i="1"/>
  <c r="T407" i="1"/>
  <c r="U407" i="1"/>
  <c r="R408" i="1"/>
  <c r="S408" i="1"/>
  <c r="T408" i="1"/>
  <c r="U408" i="1"/>
  <c r="R409" i="1"/>
  <c r="S409" i="1"/>
  <c r="T409" i="1"/>
  <c r="U409" i="1"/>
  <c r="R410" i="1"/>
  <c r="S410" i="1"/>
  <c r="T410" i="1"/>
  <c r="U410" i="1"/>
  <c r="R411" i="1"/>
  <c r="S411" i="1"/>
  <c r="T411" i="1"/>
  <c r="U411" i="1"/>
  <c r="R412" i="1"/>
  <c r="S412" i="1"/>
  <c r="T412" i="1"/>
  <c r="U412" i="1"/>
  <c r="R413" i="1"/>
  <c r="S413" i="1"/>
  <c r="T413" i="1"/>
  <c r="U413" i="1"/>
  <c r="R414" i="1"/>
  <c r="S414" i="1"/>
  <c r="T414" i="1"/>
  <c r="U414" i="1"/>
  <c r="R415" i="1"/>
  <c r="S415" i="1"/>
  <c r="T415" i="1"/>
  <c r="U415" i="1"/>
  <c r="R416" i="1"/>
  <c r="S416" i="1"/>
  <c r="T416" i="1"/>
  <c r="U416" i="1"/>
  <c r="R417" i="1"/>
  <c r="S417" i="1"/>
  <c r="T417" i="1"/>
  <c r="U417" i="1"/>
  <c r="R418" i="1"/>
  <c r="S418" i="1"/>
  <c r="T418" i="1"/>
  <c r="U418" i="1"/>
  <c r="R419" i="1"/>
  <c r="S419" i="1"/>
  <c r="T419" i="1"/>
  <c r="U419" i="1"/>
  <c r="R420" i="1"/>
  <c r="S420" i="1"/>
  <c r="T420" i="1"/>
  <c r="U420" i="1"/>
  <c r="R421" i="1"/>
  <c r="S421" i="1"/>
  <c r="T421" i="1"/>
  <c r="U421" i="1"/>
  <c r="R422" i="1"/>
  <c r="S422" i="1"/>
  <c r="T422" i="1"/>
  <c r="U422" i="1"/>
  <c r="R423" i="1"/>
  <c r="S423" i="1"/>
  <c r="T423" i="1"/>
  <c r="U423" i="1"/>
  <c r="R424" i="1"/>
  <c r="S424" i="1"/>
  <c r="T424" i="1"/>
  <c r="U424" i="1"/>
  <c r="R425" i="1"/>
  <c r="S425" i="1"/>
  <c r="T425" i="1"/>
  <c r="U425" i="1"/>
  <c r="R426" i="1"/>
  <c r="S426" i="1"/>
  <c r="T426" i="1"/>
  <c r="U426" i="1"/>
  <c r="R427" i="1"/>
  <c r="S427" i="1"/>
  <c r="T427" i="1"/>
  <c r="U427" i="1"/>
  <c r="R428" i="1"/>
  <c r="S428" i="1"/>
  <c r="T428" i="1"/>
  <c r="U428" i="1"/>
  <c r="R429" i="1"/>
  <c r="S429" i="1"/>
  <c r="T429" i="1"/>
  <c r="U429" i="1"/>
  <c r="R430" i="1"/>
  <c r="S430" i="1"/>
  <c r="T430" i="1"/>
  <c r="U430" i="1"/>
  <c r="R431" i="1"/>
  <c r="S431" i="1"/>
  <c r="T431" i="1"/>
  <c r="U431" i="1"/>
  <c r="R432" i="1"/>
  <c r="S432" i="1"/>
  <c r="T432" i="1"/>
  <c r="U432" i="1"/>
  <c r="R433" i="1"/>
  <c r="S433" i="1"/>
  <c r="T433" i="1"/>
  <c r="U433" i="1"/>
  <c r="R434" i="1"/>
  <c r="S434" i="1"/>
  <c r="T434" i="1"/>
  <c r="U434" i="1"/>
  <c r="R435" i="1"/>
  <c r="S435" i="1"/>
  <c r="T435" i="1"/>
  <c r="U435" i="1"/>
  <c r="R436" i="1"/>
  <c r="S436" i="1"/>
  <c r="T436" i="1"/>
  <c r="U436" i="1"/>
  <c r="R437" i="1"/>
  <c r="S437" i="1"/>
  <c r="T437" i="1"/>
  <c r="U437" i="1"/>
  <c r="R438" i="1"/>
  <c r="S438" i="1"/>
  <c r="T438" i="1"/>
  <c r="U438" i="1"/>
  <c r="R439" i="1"/>
  <c r="S439" i="1"/>
  <c r="T439" i="1"/>
  <c r="U439" i="1"/>
  <c r="R440" i="1"/>
  <c r="S440" i="1"/>
  <c r="T440" i="1"/>
  <c r="U440" i="1"/>
  <c r="R441" i="1"/>
  <c r="S441" i="1"/>
  <c r="T441" i="1"/>
  <c r="U441" i="1"/>
  <c r="R442" i="1"/>
  <c r="S442" i="1"/>
  <c r="T442" i="1"/>
  <c r="U442" i="1"/>
  <c r="R443" i="1"/>
  <c r="S443" i="1"/>
  <c r="T443" i="1"/>
  <c r="U443" i="1"/>
  <c r="R444" i="1"/>
  <c r="S444" i="1"/>
  <c r="T444" i="1"/>
  <c r="U444" i="1"/>
  <c r="R445" i="1"/>
  <c r="S445" i="1"/>
  <c r="T445" i="1"/>
  <c r="U445" i="1"/>
  <c r="R446" i="1"/>
  <c r="S446" i="1"/>
  <c r="T446" i="1"/>
  <c r="U446" i="1"/>
  <c r="R447" i="1"/>
  <c r="S447" i="1"/>
  <c r="T447" i="1"/>
  <c r="U447" i="1"/>
  <c r="R448" i="1"/>
  <c r="S448" i="1"/>
  <c r="T448" i="1"/>
  <c r="U448" i="1"/>
  <c r="R449" i="1"/>
  <c r="S449" i="1"/>
  <c r="T449" i="1"/>
  <c r="U449" i="1"/>
  <c r="R450" i="1"/>
  <c r="S450" i="1"/>
  <c r="T450" i="1"/>
  <c r="U450" i="1"/>
  <c r="R451" i="1"/>
  <c r="S451" i="1"/>
  <c r="T451" i="1"/>
  <c r="U451" i="1"/>
  <c r="R452" i="1"/>
  <c r="S452" i="1"/>
  <c r="T452" i="1"/>
  <c r="U452" i="1"/>
  <c r="R453" i="1"/>
  <c r="S453" i="1"/>
  <c r="T453" i="1"/>
  <c r="U453" i="1"/>
  <c r="R454" i="1"/>
  <c r="S454" i="1"/>
  <c r="T454" i="1"/>
  <c r="U454" i="1"/>
  <c r="R455" i="1"/>
  <c r="S455" i="1"/>
  <c r="T455" i="1"/>
  <c r="U455" i="1"/>
  <c r="R456" i="1"/>
  <c r="S456" i="1"/>
  <c r="T456" i="1"/>
  <c r="U456" i="1"/>
  <c r="R457" i="1"/>
  <c r="S457" i="1"/>
  <c r="T457" i="1"/>
  <c r="U457" i="1"/>
  <c r="R458" i="1"/>
  <c r="S458" i="1"/>
  <c r="T458" i="1"/>
  <c r="U458" i="1"/>
  <c r="R459" i="1"/>
  <c r="S459" i="1"/>
  <c r="T459" i="1"/>
  <c r="U459" i="1"/>
  <c r="R460" i="1"/>
  <c r="S460" i="1"/>
  <c r="T460" i="1"/>
  <c r="U460" i="1"/>
  <c r="R461" i="1"/>
  <c r="S461" i="1"/>
  <c r="T461" i="1"/>
  <c r="U461" i="1"/>
  <c r="R462" i="1"/>
  <c r="S462" i="1"/>
  <c r="T462" i="1"/>
  <c r="U462" i="1"/>
  <c r="R463" i="1"/>
  <c r="S463" i="1"/>
  <c r="T463" i="1"/>
  <c r="U463" i="1"/>
  <c r="R464" i="1"/>
  <c r="S464" i="1"/>
  <c r="T464" i="1"/>
  <c r="U464" i="1"/>
  <c r="R465" i="1"/>
  <c r="S465" i="1"/>
  <c r="T465" i="1"/>
  <c r="U465" i="1"/>
  <c r="R466" i="1"/>
  <c r="S466" i="1"/>
  <c r="T466" i="1"/>
  <c r="U466" i="1"/>
  <c r="R467" i="1"/>
  <c r="S467" i="1"/>
  <c r="T467" i="1"/>
  <c r="U467" i="1"/>
  <c r="R468" i="1"/>
  <c r="S468" i="1"/>
  <c r="T468" i="1"/>
  <c r="U468" i="1"/>
  <c r="R469" i="1"/>
  <c r="S469" i="1"/>
  <c r="T469" i="1"/>
  <c r="U469" i="1"/>
  <c r="R470" i="1"/>
  <c r="S470" i="1"/>
  <c r="T470" i="1"/>
  <c r="U470" i="1"/>
  <c r="R471" i="1"/>
  <c r="S471" i="1"/>
  <c r="T471" i="1"/>
  <c r="U471" i="1"/>
  <c r="R472" i="1"/>
  <c r="S472" i="1"/>
  <c r="T472" i="1"/>
  <c r="U472" i="1"/>
  <c r="R473" i="1"/>
  <c r="S473" i="1"/>
  <c r="T473" i="1"/>
  <c r="U473" i="1"/>
  <c r="R474" i="1"/>
  <c r="S474" i="1"/>
  <c r="T474" i="1"/>
  <c r="U474" i="1"/>
  <c r="R475" i="1"/>
  <c r="S475" i="1"/>
  <c r="T475" i="1"/>
  <c r="U475" i="1"/>
  <c r="R476" i="1"/>
  <c r="S476" i="1"/>
  <c r="T476" i="1"/>
  <c r="U476" i="1"/>
  <c r="R477" i="1"/>
  <c r="S477" i="1"/>
  <c r="T477" i="1"/>
  <c r="U477" i="1"/>
  <c r="R478" i="1"/>
  <c r="S478" i="1"/>
  <c r="T478" i="1"/>
  <c r="U478" i="1"/>
  <c r="R479" i="1"/>
  <c r="S479" i="1"/>
  <c r="T479" i="1"/>
  <c r="U479" i="1"/>
  <c r="R480" i="1"/>
  <c r="S480" i="1"/>
  <c r="T480" i="1"/>
  <c r="U480" i="1"/>
  <c r="R481" i="1"/>
  <c r="S481" i="1"/>
  <c r="T481" i="1"/>
  <c r="U481" i="1"/>
  <c r="R482" i="1"/>
  <c r="S482" i="1"/>
  <c r="T482" i="1"/>
  <c r="U482" i="1"/>
  <c r="R483" i="1"/>
  <c r="S483" i="1"/>
  <c r="T483" i="1"/>
  <c r="U483" i="1"/>
  <c r="R484" i="1"/>
  <c r="S484" i="1"/>
  <c r="T484" i="1"/>
  <c r="U484" i="1"/>
  <c r="R485" i="1"/>
  <c r="S485" i="1"/>
  <c r="T485" i="1"/>
  <c r="U485" i="1"/>
  <c r="R486" i="1"/>
  <c r="S486" i="1"/>
  <c r="T486" i="1"/>
  <c r="U486" i="1"/>
  <c r="R487" i="1"/>
  <c r="S487" i="1"/>
  <c r="T487" i="1"/>
  <c r="U487" i="1"/>
  <c r="R488" i="1"/>
  <c r="S488" i="1"/>
  <c r="T488" i="1"/>
  <c r="U488" i="1"/>
  <c r="R489" i="1"/>
  <c r="S489" i="1"/>
  <c r="T489" i="1"/>
  <c r="U489" i="1"/>
  <c r="R490" i="1"/>
  <c r="S490" i="1"/>
  <c r="T490" i="1"/>
  <c r="U490" i="1"/>
  <c r="R491" i="1"/>
  <c r="S491" i="1"/>
  <c r="T491" i="1"/>
  <c r="U491" i="1"/>
  <c r="R492" i="1"/>
  <c r="S492" i="1"/>
  <c r="T492" i="1"/>
  <c r="U492" i="1"/>
  <c r="R493" i="1"/>
  <c r="S493" i="1"/>
  <c r="T493" i="1"/>
  <c r="U493" i="1"/>
  <c r="R494" i="1"/>
  <c r="S494" i="1"/>
  <c r="T494" i="1"/>
  <c r="U494" i="1"/>
  <c r="R495" i="1"/>
  <c r="S495" i="1"/>
  <c r="T495" i="1"/>
  <c r="U495" i="1"/>
  <c r="R496" i="1"/>
  <c r="S496" i="1"/>
  <c r="T496" i="1"/>
  <c r="U496" i="1"/>
  <c r="R497" i="1"/>
  <c r="S497" i="1"/>
  <c r="T497" i="1"/>
  <c r="U497" i="1"/>
  <c r="R498" i="1"/>
  <c r="S498" i="1"/>
  <c r="T498" i="1"/>
  <c r="U498" i="1"/>
  <c r="R499" i="1"/>
  <c r="S499" i="1"/>
  <c r="T499" i="1"/>
  <c r="U499" i="1"/>
  <c r="R500" i="1"/>
  <c r="S500" i="1"/>
  <c r="T500" i="1"/>
  <c r="U500" i="1"/>
  <c r="R501" i="1"/>
  <c r="S501" i="1"/>
  <c r="T501" i="1"/>
  <c r="U501" i="1"/>
  <c r="R502" i="1"/>
  <c r="S502" i="1"/>
  <c r="T502" i="1"/>
  <c r="U502" i="1"/>
  <c r="R503" i="1"/>
  <c r="S503" i="1"/>
  <c r="T503" i="1"/>
  <c r="U503" i="1"/>
  <c r="R504" i="1"/>
  <c r="S504" i="1"/>
  <c r="T504" i="1"/>
  <c r="U504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Y504" i="1"/>
  <c r="W504" i="1"/>
  <c r="Y503" i="1"/>
  <c r="W503" i="1"/>
  <c r="Y502" i="1"/>
  <c r="W502" i="1"/>
  <c r="Y501" i="1"/>
  <c r="W501" i="1"/>
  <c r="Y500" i="1"/>
  <c r="W500" i="1"/>
  <c r="Y499" i="1"/>
  <c r="W499" i="1"/>
  <c r="Y498" i="1"/>
  <c r="W498" i="1"/>
  <c r="Y497" i="1"/>
  <c r="W497" i="1"/>
  <c r="Y496" i="1"/>
  <c r="W496" i="1"/>
  <c r="Y495" i="1"/>
  <c r="W495" i="1"/>
  <c r="Y494" i="1"/>
  <c r="W494" i="1"/>
  <c r="Y493" i="1"/>
  <c r="W493" i="1"/>
  <c r="Y492" i="1"/>
  <c r="W492" i="1"/>
  <c r="Y491" i="1"/>
  <c r="W491" i="1"/>
  <c r="Y490" i="1"/>
  <c r="W490" i="1"/>
  <c r="Y489" i="1"/>
  <c r="W489" i="1"/>
  <c r="Y488" i="1"/>
  <c r="W488" i="1"/>
  <c r="Y487" i="1"/>
  <c r="W487" i="1"/>
  <c r="Y486" i="1"/>
  <c r="W486" i="1"/>
  <c r="Y485" i="1"/>
  <c r="W485" i="1"/>
  <c r="Y484" i="1"/>
  <c r="W484" i="1"/>
  <c r="Y483" i="1"/>
  <c r="W483" i="1"/>
  <c r="Y482" i="1"/>
  <c r="W482" i="1"/>
  <c r="Y481" i="1"/>
  <c r="W481" i="1"/>
  <c r="Y480" i="1"/>
  <c r="W480" i="1"/>
  <c r="Y479" i="1"/>
  <c r="W479" i="1"/>
  <c r="Y478" i="1"/>
  <c r="W478" i="1"/>
  <c r="Y477" i="1"/>
  <c r="W477" i="1"/>
  <c r="Y476" i="1"/>
  <c r="W476" i="1"/>
  <c r="Y475" i="1"/>
  <c r="W475" i="1"/>
  <c r="Y474" i="1"/>
  <c r="W474" i="1"/>
  <c r="Y473" i="1"/>
  <c r="W473" i="1"/>
  <c r="Y472" i="1"/>
  <c r="W472" i="1"/>
  <c r="Y471" i="1"/>
  <c r="W471" i="1"/>
  <c r="Y470" i="1"/>
  <c r="W470" i="1"/>
  <c r="Y469" i="1"/>
  <c r="W469" i="1"/>
  <c r="Y468" i="1"/>
  <c r="W468" i="1"/>
  <c r="Y467" i="1"/>
  <c r="W467" i="1"/>
  <c r="Y466" i="1"/>
  <c r="W466" i="1"/>
  <c r="Y465" i="1"/>
  <c r="W465" i="1"/>
  <c r="Y464" i="1"/>
  <c r="W464" i="1"/>
  <c r="Y463" i="1"/>
  <c r="W463" i="1"/>
  <c r="Y462" i="1"/>
  <c r="W462" i="1"/>
  <c r="Y461" i="1"/>
  <c r="W461" i="1"/>
  <c r="Y460" i="1"/>
  <c r="W460" i="1"/>
  <c r="Y459" i="1"/>
  <c r="W459" i="1"/>
  <c r="Y458" i="1"/>
  <c r="W458" i="1"/>
  <c r="Y457" i="1"/>
  <c r="W457" i="1"/>
  <c r="Y456" i="1"/>
  <c r="W456" i="1"/>
  <c r="Y455" i="1"/>
  <c r="W455" i="1"/>
  <c r="Y454" i="1"/>
  <c r="W454" i="1"/>
  <c r="Y453" i="1"/>
  <c r="W453" i="1"/>
  <c r="Y452" i="1"/>
  <c r="W452" i="1"/>
  <c r="Y451" i="1"/>
  <c r="W451" i="1"/>
  <c r="Y450" i="1"/>
  <c r="W450" i="1"/>
  <c r="Y449" i="1"/>
  <c r="W449" i="1"/>
  <c r="Y448" i="1"/>
  <c r="W448" i="1"/>
  <c r="Y447" i="1"/>
  <c r="W447" i="1"/>
  <c r="Y446" i="1"/>
  <c r="W446" i="1"/>
  <c r="Y445" i="1"/>
  <c r="W445" i="1"/>
  <c r="Y444" i="1"/>
  <c r="W444" i="1"/>
  <c r="Y443" i="1"/>
  <c r="W443" i="1"/>
  <c r="Y442" i="1"/>
  <c r="W442" i="1"/>
  <c r="Y441" i="1"/>
  <c r="W441" i="1"/>
  <c r="Y440" i="1"/>
  <c r="W440" i="1"/>
  <c r="Y439" i="1"/>
  <c r="W439" i="1"/>
  <c r="Y438" i="1"/>
  <c r="W438" i="1"/>
  <c r="Y437" i="1"/>
  <c r="W437" i="1"/>
  <c r="Y436" i="1"/>
  <c r="W436" i="1"/>
  <c r="Y435" i="1"/>
  <c r="W435" i="1"/>
  <c r="Y434" i="1"/>
  <c r="W434" i="1"/>
  <c r="Y433" i="1"/>
  <c r="W433" i="1"/>
  <c r="Y432" i="1"/>
  <c r="W432" i="1"/>
  <c r="Y431" i="1"/>
  <c r="W431" i="1"/>
  <c r="Y430" i="1"/>
  <c r="W430" i="1"/>
  <c r="Y429" i="1"/>
  <c r="W429" i="1"/>
  <c r="Y428" i="1"/>
  <c r="W428" i="1"/>
  <c r="Y427" i="1"/>
  <c r="W427" i="1"/>
  <c r="Y426" i="1"/>
  <c r="W426" i="1"/>
  <c r="Y425" i="1"/>
  <c r="W425" i="1"/>
  <c r="Y424" i="1"/>
  <c r="W424" i="1"/>
  <c r="Y423" i="1"/>
  <c r="W423" i="1"/>
  <c r="Y422" i="1"/>
  <c r="W422" i="1"/>
  <c r="Y421" i="1"/>
  <c r="W421" i="1"/>
  <c r="Y420" i="1"/>
  <c r="W420" i="1"/>
  <c r="Y419" i="1"/>
  <c r="W419" i="1"/>
  <c r="Y418" i="1"/>
  <c r="W418" i="1"/>
  <c r="Y417" i="1"/>
  <c r="W417" i="1"/>
  <c r="Y416" i="1"/>
  <c r="W416" i="1"/>
  <c r="Y415" i="1"/>
  <c r="W415" i="1"/>
  <c r="Y414" i="1"/>
  <c r="W414" i="1"/>
  <c r="Y413" i="1"/>
  <c r="W413" i="1"/>
  <c r="Y412" i="1"/>
  <c r="W412" i="1"/>
  <c r="Y411" i="1"/>
  <c r="W411" i="1"/>
  <c r="Y410" i="1"/>
  <c r="W410" i="1"/>
  <c r="Y409" i="1"/>
  <c r="W409" i="1"/>
  <c r="Y408" i="1"/>
  <c r="W408" i="1"/>
  <c r="Y407" i="1"/>
  <c r="W407" i="1"/>
  <c r="Y406" i="1"/>
  <c r="W406" i="1"/>
  <c r="Y405" i="1"/>
  <c r="W405" i="1"/>
  <c r="Y404" i="1"/>
  <c r="W404" i="1"/>
  <c r="Y403" i="1"/>
  <c r="W403" i="1"/>
  <c r="Y402" i="1"/>
  <c r="W402" i="1"/>
  <c r="Y401" i="1"/>
  <c r="W401" i="1"/>
  <c r="Y400" i="1"/>
  <c r="W400" i="1"/>
  <c r="Y399" i="1"/>
  <c r="W399" i="1"/>
  <c r="Y398" i="1"/>
  <c r="W398" i="1"/>
  <c r="Y397" i="1"/>
  <c r="W397" i="1"/>
  <c r="Y396" i="1"/>
  <c r="W396" i="1"/>
  <c r="Y395" i="1"/>
  <c r="W395" i="1"/>
  <c r="Y394" i="1"/>
  <c r="W394" i="1"/>
  <c r="Y393" i="1"/>
  <c r="W393" i="1"/>
  <c r="Y392" i="1"/>
  <c r="W392" i="1"/>
  <c r="Y391" i="1"/>
  <c r="W391" i="1"/>
  <c r="Y390" i="1"/>
  <c r="W390" i="1"/>
  <c r="Y389" i="1"/>
  <c r="W389" i="1"/>
  <c r="Y388" i="1"/>
  <c r="W388" i="1"/>
  <c r="Y387" i="1"/>
  <c r="W387" i="1"/>
  <c r="Y386" i="1"/>
  <c r="W386" i="1"/>
  <c r="Y385" i="1"/>
  <c r="W385" i="1"/>
  <c r="Y384" i="1"/>
  <c r="W384" i="1"/>
  <c r="Y383" i="1"/>
  <c r="W383" i="1"/>
  <c r="Y382" i="1"/>
  <c r="W382" i="1"/>
  <c r="Y381" i="1"/>
  <c r="W381" i="1"/>
  <c r="Y380" i="1"/>
  <c r="W380" i="1"/>
  <c r="Y379" i="1"/>
  <c r="W379" i="1"/>
  <c r="Y378" i="1"/>
  <c r="W378" i="1"/>
  <c r="Y377" i="1"/>
  <c r="W377" i="1"/>
  <c r="Y376" i="1"/>
  <c r="W376" i="1"/>
  <c r="Y375" i="1"/>
  <c r="W375" i="1"/>
  <c r="Y374" i="1"/>
  <c r="W374" i="1"/>
  <c r="Y373" i="1"/>
  <c r="W373" i="1"/>
  <c r="Y372" i="1"/>
  <c r="W372" i="1"/>
  <c r="Y371" i="1"/>
  <c r="W371" i="1"/>
  <c r="Y370" i="1"/>
  <c r="W370" i="1"/>
  <c r="Y369" i="1"/>
  <c r="W369" i="1"/>
  <c r="Y368" i="1"/>
  <c r="W368" i="1"/>
  <c r="Y367" i="1"/>
  <c r="W367" i="1"/>
  <c r="Y366" i="1"/>
  <c r="W366" i="1"/>
  <c r="Y365" i="1"/>
  <c r="W365" i="1"/>
  <c r="Y364" i="1"/>
  <c r="W364" i="1"/>
  <c r="Y363" i="1"/>
  <c r="W363" i="1"/>
  <c r="Y362" i="1"/>
  <c r="W362" i="1"/>
  <c r="Y361" i="1"/>
  <c r="W361" i="1"/>
  <c r="Y360" i="1"/>
  <c r="W360" i="1"/>
  <c r="Y359" i="1"/>
  <c r="W359" i="1"/>
  <c r="Y358" i="1"/>
  <c r="W358" i="1"/>
  <c r="Y357" i="1"/>
  <c r="W357" i="1"/>
  <c r="Y356" i="1"/>
  <c r="W356" i="1"/>
  <c r="Y355" i="1"/>
  <c r="W355" i="1"/>
  <c r="Y354" i="1"/>
  <c r="W354" i="1"/>
  <c r="Y353" i="1"/>
  <c r="W353" i="1"/>
  <c r="Y352" i="1"/>
  <c r="W352" i="1"/>
  <c r="Y351" i="1"/>
  <c r="W351" i="1"/>
  <c r="Y350" i="1"/>
  <c r="W350" i="1"/>
  <c r="Y349" i="1"/>
  <c r="W349" i="1"/>
  <c r="Y348" i="1"/>
  <c r="W348" i="1"/>
  <c r="Y347" i="1"/>
  <c r="W347" i="1"/>
  <c r="Y346" i="1"/>
  <c r="W346" i="1"/>
  <c r="Y345" i="1"/>
  <c r="W345" i="1"/>
  <c r="Y344" i="1"/>
  <c r="W344" i="1"/>
  <c r="Y343" i="1"/>
  <c r="W343" i="1"/>
  <c r="Y342" i="1"/>
  <c r="W342" i="1"/>
  <c r="Y341" i="1"/>
  <c r="W341" i="1"/>
  <c r="Y340" i="1"/>
  <c r="W340" i="1"/>
  <c r="Y339" i="1"/>
  <c r="W339" i="1"/>
  <c r="Y338" i="1"/>
  <c r="W338" i="1"/>
  <c r="Y337" i="1"/>
  <c r="W337" i="1"/>
  <c r="Y336" i="1"/>
  <c r="W336" i="1"/>
  <c r="Y335" i="1"/>
  <c r="W335" i="1"/>
  <c r="Y334" i="1"/>
  <c r="W334" i="1"/>
  <c r="Y333" i="1"/>
  <c r="W333" i="1"/>
  <c r="Y332" i="1"/>
  <c r="W332" i="1"/>
  <c r="Y331" i="1"/>
  <c r="W331" i="1"/>
  <c r="Y330" i="1"/>
  <c r="W330" i="1"/>
  <c r="Y329" i="1"/>
  <c r="W329" i="1"/>
  <c r="Y328" i="1"/>
  <c r="W328" i="1"/>
  <c r="Y327" i="1"/>
  <c r="W327" i="1"/>
  <c r="Y326" i="1"/>
  <c r="W326" i="1"/>
  <c r="Y325" i="1"/>
  <c r="W325" i="1"/>
  <c r="Y324" i="1"/>
  <c r="W324" i="1"/>
  <c r="Y323" i="1"/>
  <c r="W323" i="1"/>
  <c r="Y322" i="1"/>
  <c r="W322" i="1"/>
  <c r="Y321" i="1"/>
  <c r="W321" i="1"/>
  <c r="Y320" i="1"/>
  <c r="W320" i="1"/>
  <c r="Y319" i="1"/>
  <c r="W319" i="1"/>
  <c r="Y318" i="1"/>
  <c r="W318" i="1"/>
  <c r="Y317" i="1"/>
  <c r="W317" i="1"/>
  <c r="Y316" i="1"/>
  <c r="W316" i="1"/>
  <c r="Y315" i="1"/>
  <c r="W315" i="1"/>
  <c r="Y314" i="1"/>
  <c r="W314" i="1"/>
  <c r="Y313" i="1"/>
  <c r="W313" i="1"/>
  <c r="Y312" i="1"/>
  <c r="W312" i="1"/>
  <c r="Y311" i="1"/>
  <c r="W311" i="1"/>
  <c r="Y310" i="1"/>
  <c r="W310" i="1"/>
  <c r="Y309" i="1"/>
  <c r="W309" i="1"/>
  <c r="Y308" i="1"/>
  <c r="W308" i="1"/>
  <c r="Y307" i="1"/>
  <c r="W307" i="1"/>
  <c r="Y306" i="1"/>
  <c r="W306" i="1"/>
  <c r="Y305" i="1"/>
  <c r="W305" i="1"/>
  <c r="Y304" i="1"/>
  <c r="W304" i="1"/>
  <c r="Y303" i="1"/>
  <c r="W303" i="1"/>
  <c r="Y302" i="1"/>
  <c r="W302" i="1"/>
  <c r="Y301" i="1"/>
  <c r="W301" i="1"/>
  <c r="Y300" i="1"/>
  <c r="W300" i="1"/>
  <c r="Y299" i="1"/>
  <c r="W299" i="1"/>
  <c r="Y298" i="1"/>
  <c r="W298" i="1"/>
  <c r="Y297" i="1"/>
  <c r="W297" i="1"/>
  <c r="Y296" i="1"/>
  <c r="W296" i="1"/>
  <c r="Y295" i="1"/>
  <c r="W295" i="1"/>
  <c r="Y294" i="1"/>
  <c r="W294" i="1"/>
  <c r="Y293" i="1"/>
  <c r="W293" i="1"/>
  <c r="Y292" i="1"/>
  <c r="W292" i="1"/>
  <c r="Y291" i="1"/>
  <c r="W291" i="1"/>
  <c r="Y290" i="1"/>
  <c r="W290" i="1"/>
  <c r="Y289" i="1"/>
  <c r="W289" i="1"/>
  <c r="Y288" i="1"/>
  <c r="W288" i="1"/>
  <c r="Y287" i="1"/>
  <c r="W287" i="1"/>
  <c r="Y286" i="1"/>
  <c r="W286" i="1"/>
  <c r="Y285" i="1"/>
  <c r="W285" i="1"/>
  <c r="Y284" i="1"/>
  <c r="W284" i="1"/>
  <c r="Y283" i="1"/>
  <c r="W283" i="1"/>
  <c r="Y282" i="1"/>
  <c r="W282" i="1"/>
  <c r="Y281" i="1"/>
  <c r="W281" i="1"/>
  <c r="Y280" i="1"/>
  <c r="W280" i="1"/>
  <c r="Y279" i="1"/>
  <c r="W279" i="1"/>
  <c r="Y278" i="1"/>
  <c r="W278" i="1"/>
  <c r="Y277" i="1"/>
  <c r="W277" i="1"/>
  <c r="Y276" i="1"/>
  <c r="W276" i="1"/>
  <c r="Y275" i="1"/>
  <c r="W275" i="1"/>
  <c r="Y274" i="1"/>
  <c r="W274" i="1"/>
  <c r="Y273" i="1"/>
  <c r="W273" i="1"/>
  <c r="Y272" i="1"/>
  <c r="W272" i="1"/>
  <c r="Y271" i="1"/>
  <c r="W271" i="1"/>
  <c r="Y270" i="1"/>
  <c r="W270" i="1"/>
  <c r="Y269" i="1"/>
  <c r="W269" i="1"/>
  <c r="Y268" i="1"/>
  <c r="W268" i="1"/>
  <c r="Y267" i="1"/>
  <c r="W267" i="1"/>
  <c r="Y266" i="1"/>
  <c r="W266" i="1"/>
  <c r="Y265" i="1"/>
  <c r="W265" i="1"/>
  <c r="Y264" i="1"/>
  <c r="W264" i="1"/>
  <c r="Y263" i="1"/>
  <c r="W263" i="1"/>
  <c r="Y262" i="1"/>
  <c r="W262" i="1"/>
  <c r="Y261" i="1"/>
  <c r="W261" i="1"/>
  <c r="Y260" i="1"/>
  <c r="W260" i="1"/>
  <c r="Y259" i="1"/>
  <c r="W259" i="1"/>
  <c r="Y258" i="1"/>
  <c r="W258" i="1"/>
  <c r="Y257" i="1"/>
  <c r="W257" i="1"/>
  <c r="Y256" i="1"/>
  <c r="W256" i="1"/>
  <c r="Y255" i="1"/>
  <c r="W255" i="1"/>
  <c r="Y254" i="1"/>
  <c r="W254" i="1"/>
  <c r="Y253" i="1"/>
  <c r="W253" i="1"/>
  <c r="Y252" i="1"/>
  <c r="W252" i="1"/>
  <c r="Y251" i="1"/>
  <c r="W251" i="1"/>
  <c r="Y250" i="1"/>
  <c r="W250" i="1"/>
  <c r="Y249" i="1"/>
  <c r="W249" i="1"/>
  <c r="Y248" i="1"/>
  <c r="W248" i="1"/>
  <c r="Y247" i="1"/>
  <c r="W247" i="1"/>
  <c r="Y246" i="1"/>
  <c r="W246" i="1"/>
  <c r="Y245" i="1"/>
  <c r="W245" i="1"/>
  <c r="Y244" i="1"/>
  <c r="W244" i="1"/>
  <c r="Y243" i="1"/>
  <c r="W243" i="1"/>
  <c r="Y242" i="1"/>
  <c r="W242" i="1"/>
  <c r="Y241" i="1"/>
  <c r="W241" i="1"/>
  <c r="Y240" i="1"/>
  <c r="W240" i="1"/>
  <c r="Y239" i="1"/>
  <c r="W239" i="1"/>
  <c r="Y238" i="1"/>
  <c r="W238" i="1"/>
  <c r="Y237" i="1"/>
  <c r="W237" i="1"/>
  <c r="Y236" i="1"/>
  <c r="W236" i="1"/>
  <c r="Y235" i="1"/>
  <c r="W235" i="1"/>
  <c r="Y234" i="1"/>
  <c r="W234" i="1"/>
  <c r="Y233" i="1"/>
  <c r="W233" i="1"/>
  <c r="Y232" i="1"/>
  <c r="W232" i="1"/>
  <c r="Y231" i="1"/>
  <c r="W231" i="1"/>
  <c r="Y230" i="1"/>
  <c r="W230" i="1"/>
  <c r="Y229" i="1"/>
  <c r="W229" i="1"/>
  <c r="Y228" i="1"/>
  <c r="W228" i="1"/>
  <c r="Y227" i="1"/>
  <c r="W227" i="1"/>
  <c r="Y226" i="1"/>
  <c r="W226" i="1"/>
  <c r="Y225" i="1"/>
  <c r="W225" i="1"/>
  <c r="Y224" i="1"/>
  <c r="W224" i="1"/>
  <c r="Y223" i="1"/>
  <c r="W223" i="1"/>
  <c r="Y222" i="1"/>
  <c r="W222" i="1"/>
  <c r="Y221" i="1"/>
  <c r="W221" i="1"/>
  <c r="Y220" i="1"/>
  <c r="W220" i="1"/>
  <c r="Y219" i="1"/>
  <c r="W219" i="1"/>
  <c r="Y218" i="1"/>
  <c r="W218" i="1"/>
  <c r="Y217" i="1"/>
  <c r="W217" i="1"/>
  <c r="Y216" i="1"/>
  <c r="W216" i="1"/>
  <c r="Y215" i="1"/>
  <c r="W215" i="1"/>
  <c r="Y214" i="1"/>
  <c r="W214" i="1"/>
  <c r="Y213" i="1"/>
  <c r="W213" i="1"/>
  <c r="Y212" i="1"/>
  <c r="W212" i="1"/>
  <c r="Y211" i="1"/>
  <c r="W211" i="1"/>
  <c r="Y210" i="1"/>
  <c r="W210" i="1"/>
  <c r="Y209" i="1"/>
  <c r="W209" i="1"/>
  <c r="Y208" i="1"/>
  <c r="W208" i="1"/>
  <c r="Y207" i="1"/>
  <c r="W207" i="1"/>
  <c r="Y206" i="1"/>
  <c r="W206" i="1"/>
  <c r="Y205" i="1"/>
  <c r="W205" i="1"/>
  <c r="Y204" i="1"/>
  <c r="W204" i="1"/>
  <c r="Y203" i="1"/>
  <c r="W203" i="1"/>
  <c r="Y202" i="1"/>
  <c r="W202" i="1"/>
  <c r="Y201" i="1"/>
  <c r="W201" i="1"/>
  <c r="Y200" i="1"/>
  <c r="W200" i="1"/>
  <c r="Y199" i="1"/>
  <c r="W199" i="1"/>
  <c r="Y198" i="1"/>
  <c r="W198" i="1"/>
  <c r="Y197" i="1"/>
  <c r="W197" i="1"/>
  <c r="Y196" i="1"/>
  <c r="W196" i="1"/>
  <c r="Y195" i="1"/>
  <c r="W195" i="1"/>
  <c r="Y194" i="1"/>
  <c r="W194" i="1"/>
  <c r="Y193" i="1"/>
  <c r="W193" i="1"/>
  <c r="Y192" i="1"/>
  <c r="W192" i="1"/>
  <c r="Y191" i="1"/>
  <c r="W191" i="1"/>
  <c r="Y190" i="1"/>
  <c r="W190" i="1"/>
  <c r="Y189" i="1"/>
  <c r="W189" i="1"/>
  <c r="Y188" i="1"/>
  <c r="W188" i="1"/>
  <c r="Y187" i="1"/>
  <c r="W187" i="1"/>
  <c r="Y186" i="1"/>
  <c r="W186" i="1"/>
  <c r="Y185" i="1"/>
  <c r="W185" i="1"/>
  <c r="Y184" i="1"/>
  <c r="W184" i="1"/>
  <c r="Y183" i="1"/>
  <c r="W183" i="1"/>
  <c r="Y182" i="1"/>
  <c r="W182" i="1"/>
  <c r="Y181" i="1"/>
  <c r="W181" i="1"/>
  <c r="Y180" i="1"/>
  <c r="W180" i="1"/>
  <c r="Y179" i="1"/>
  <c r="W179" i="1"/>
  <c r="Y178" i="1"/>
  <c r="W178" i="1"/>
  <c r="Y177" i="1"/>
  <c r="W177" i="1"/>
  <c r="Y176" i="1"/>
  <c r="W176" i="1"/>
  <c r="Y175" i="1"/>
  <c r="W175" i="1"/>
  <c r="Y174" i="1"/>
  <c r="W174" i="1"/>
  <c r="Y173" i="1"/>
  <c r="W173" i="1"/>
  <c r="Y172" i="1"/>
  <c r="W172" i="1"/>
  <c r="Y171" i="1"/>
  <c r="W171" i="1"/>
  <c r="Y170" i="1"/>
  <c r="W170" i="1"/>
  <c r="Y169" i="1"/>
  <c r="W169" i="1"/>
  <c r="Y168" i="1"/>
  <c r="W168" i="1"/>
  <c r="Y167" i="1"/>
  <c r="W167" i="1"/>
  <c r="Y166" i="1"/>
  <c r="W166" i="1"/>
  <c r="Y165" i="1"/>
  <c r="W165" i="1"/>
  <c r="Y164" i="1"/>
  <c r="W164" i="1"/>
  <c r="Y163" i="1"/>
  <c r="W163" i="1"/>
  <c r="Y162" i="1"/>
  <c r="W162" i="1"/>
  <c r="Y161" i="1"/>
  <c r="W161" i="1"/>
  <c r="Y160" i="1"/>
  <c r="W160" i="1"/>
  <c r="Y159" i="1"/>
  <c r="W159" i="1"/>
  <c r="Y158" i="1"/>
  <c r="W158" i="1"/>
  <c r="Y157" i="1"/>
  <c r="W157" i="1"/>
  <c r="Y156" i="1"/>
  <c r="W156" i="1"/>
  <c r="Y155" i="1"/>
  <c r="W155" i="1"/>
  <c r="Y154" i="1"/>
  <c r="W154" i="1"/>
  <c r="Y153" i="1"/>
  <c r="W153" i="1"/>
  <c r="Y152" i="1"/>
  <c r="W152" i="1"/>
  <c r="Y151" i="1"/>
  <c r="W151" i="1"/>
  <c r="Y150" i="1"/>
  <c r="W150" i="1"/>
  <c r="Y149" i="1"/>
  <c r="W149" i="1"/>
  <c r="Y148" i="1"/>
  <c r="W148" i="1"/>
  <c r="Y147" i="1"/>
  <c r="W147" i="1"/>
  <c r="Y146" i="1"/>
  <c r="W146" i="1"/>
  <c r="Y145" i="1"/>
  <c r="W145" i="1"/>
  <c r="Y144" i="1"/>
  <c r="W144" i="1"/>
  <c r="Y143" i="1"/>
  <c r="W143" i="1"/>
  <c r="Y142" i="1"/>
  <c r="W142" i="1"/>
  <c r="Y141" i="1"/>
  <c r="W141" i="1"/>
  <c r="Y140" i="1"/>
  <c r="W140" i="1"/>
  <c r="Y139" i="1"/>
  <c r="W139" i="1"/>
  <c r="Y138" i="1"/>
  <c r="W138" i="1"/>
  <c r="Y137" i="1"/>
  <c r="W137" i="1"/>
  <c r="Y136" i="1"/>
  <c r="W136" i="1"/>
  <c r="Y135" i="1"/>
  <c r="W135" i="1"/>
  <c r="Y134" i="1"/>
  <c r="W134" i="1"/>
  <c r="Y133" i="1"/>
  <c r="W133" i="1"/>
  <c r="Y132" i="1"/>
  <c r="W132" i="1"/>
  <c r="Y131" i="1"/>
  <c r="W131" i="1"/>
  <c r="Y130" i="1"/>
  <c r="W130" i="1"/>
  <c r="Y129" i="1"/>
  <c r="W129" i="1"/>
  <c r="Y128" i="1"/>
  <c r="W128" i="1"/>
  <c r="Y127" i="1"/>
  <c r="W127" i="1"/>
  <c r="Y126" i="1"/>
  <c r="W126" i="1"/>
  <c r="Y125" i="1"/>
  <c r="W125" i="1"/>
  <c r="Y124" i="1"/>
  <c r="W124" i="1"/>
  <c r="Y123" i="1"/>
  <c r="W123" i="1"/>
  <c r="Y122" i="1"/>
  <c r="W122" i="1"/>
  <c r="Y121" i="1"/>
  <c r="W121" i="1"/>
  <c r="Y120" i="1"/>
  <c r="W120" i="1"/>
  <c r="Y119" i="1"/>
  <c r="W119" i="1"/>
  <c r="Y118" i="1"/>
  <c r="W118" i="1"/>
  <c r="Y117" i="1"/>
  <c r="W117" i="1"/>
  <c r="Y116" i="1"/>
  <c r="W116" i="1"/>
  <c r="Y115" i="1"/>
  <c r="W115" i="1"/>
  <c r="Y114" i="1"/>
  <c r="W114" i="1"/>
  <c r="Y113" i="1"/>
  <c r="W113" i="1"/>
  <c r="Y112" i="1"/>
  <c r="W112" i="1"/>
  <c r="Y111" i="1"/>
  <c r="W111" i="1"/>
  <c r="Y110" i="1"/>
  <c r="W110" i="1"/>
  <c r="Y109" i="1"/>
  <c r="W109" i="1"/>
  <c r="Y108" i="1"/>
  <c r="W108" i="1"/>
  <c r="Y107" i="1"/>
  <c r="W107" i="1"/>
  <c r="Y106" i="1"/>
  <c r="W106" i="1"/>
  <c r="Y105" i="1"/>
  <c r="W105" i="1"/>
  <c r="Y104" i="1"/>
  <c r="W104" i="1"/>
  <c r="Y103" i="1"/>
  <c r="W103" i="1"/>
  <c r="Y102" i="1"/>
  <c r="W102" i="1"/>
  <c r="Y101" i="1"/>
  <c r="W101" i="1"/>
  <c r="Y100" i="1"/>
  <c r="W100" i="1"/>
  <c r="Y99" i="1"/>
  <c r="W99" i="1"/>
  <c r="Y98" i="1"/>
  <c r="W98" i="1"/>
  <c r="Y97" i="1"/>
  <c r="W97" i="1"/>
  <c r="Y96" i="1"/>
  <c r="W96" i="1"/>
  <c r="Y95" i="1"/>
  <c r="W95" i="1"/>
  <c r="Y94" i="1"/>
  <c r="W94" i="1"/>
  <c r="Y93" i="1"/>
  <c r="W93" i="1"/>
  <c r="Y92" i="1"/>
  <c r="W92" i="1"/>
  <c r="Y91" i="1"/>
  <c r="W91" i="1"/>
  <c r="Y90" i="1"/>
  <c r="W90" i="1"/>
  <c r="Y89" i="1"/>
  <c r="W89" i="1"/>
  <c r="Y88" i="1"/>
  <c r="W88" i="1"/>
  <c r="Y87" i="1"/>
  <c r="W87" i="1"/>
  <c r="Y86" i="1"/>
  <c r="W86" i="1"/>
  <c r="Y85" i="1"/>
  <c r="W85" i="1"/>
  <c r="Y84" i="1"/>
  <c r="W84" i="1"/>
  <c r="Y83" i="1"/>
  <c r="W83" i="1"/>
  <c r="Y82" i="1"/>
  <c r="W82" i="1"/>
  <c r="Y81" i="1"/>
  <c r="W81" i="1"/>
  <c r="Y80" i="1"/>
  <c r="W80" i="1"/>
  <c r="Y79" i="1"/>
  <c r="W79" i="1"/>
  <c r="Y78" i="1"/>
  <c r="W78" i="1"/>
  <c r="Y77" i="1"/>
  <c r="W77" i="1"/>
  <c r="Y76" i="1"/>
  <c r="W76" i="1"/>
  <c r="Y75" i="1"/>
  <c r="W75" i="1"/>
  <c r="Y74" i="1"/>
  <c r="W74" i="1"/>
  <c r="Y73" i="1"/>
  <c r="W73" i="1"/>
  <c r="Y72" i="1"/>
  <c r="W72" i="1"/>
  <c r="Y71" i="1"/>
  <c r="W71" i="1"/>
  <c r="Y70" i="1"/>
  <c r="W70" i="1"/>
  <c r="Y69" i="1"/>
  <c r="W69" i="1"/>
  <c r="Y68" i="1"/>
  <c r="W68" i="1"/>
  <c r="Y67" i="1"/>
  <c r="W67" i="1"/>
  <c r="Y66" i="1"/>
  <c r="W66" i="1"/>
  <c r="Y65" i="1"/>
  <c r="W65" i="1"/>
  <c r="Y64" i="1"/>
  <c r="W64" i="1"/>
  <c r="Y63" i="1"/>
  <c r="W63" i="1"/>
  <c r="Y62" i="1"/>
  <c r="W62" i="1"/>
  <c r="Y61" i="1"/>
  <c r="W61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Y49" i="1"/>
  <c r="W49" i="1"/>
  <c r="Y48" i="1"/>
  <c r="W48" i="1"/>
  <c r="Y47" i="1"/>
  <c r="W47" i="1"/>
  <c r="Y46" i="1"/>
  <c r="W46" i="1"/>
  <c r="Y45" i="1"/>
  <c r="W45" i="1"/>
  <c r="Y44" i="1"/>
  <c r="W44" i="1"/>
  <c r="Y43" i="1"/>
  <c r="W43" i="1"/>
  <c r="Y42" i="1"/>
  <c r="W42" i="1"/>
  <c r="Y41" i="1"/>
  <c r="W41" i="1"/>
  <c r="Y40" i="1"/>
  <c r="W40" i="1"/>
  <c r="Y39" i="1"/>
  <c r="W39" i="1"/>
  <c r="Y38" i="1"/>
  <c r="W38" i="1"/>
  <c r="Y37" i="1"/>
  <c r="W37" i="1"/>
  <c r="Y36" i="1"/>
  <c r="W36" i="1"/>
  <c r="Y35" i="1"/>
  <c r="W35" i="1"/>
  <c r="Y34" i="1"/>
  <c r="W34" i="1"/>
  <c r="Y33" i="1"/>
  <c r="W33" i="1"/>
  <c r="Y32" i="1"/>
  <c r="W32" i="1"/>
  <c r="Y31" i="1"/>
  <c r="W31" i="1"/>
  <c r="Y30" i="1"/>
  <c r="W30" i="1"/>
  <c r="Y29" i="1"/>
  <c r="W29" i="1"/>
  <c r="Y28" i="1"/>
  <c r="W28" i="1"/>
  <c r="Y27" i="1"/>
  <c r="W27" i="1"/>
  <c r="Y26" i="1"/>
  <c r="W26" i="1"/>
  <c r="Y25" i="1"/>
  <c r="W25" i="1"/>
  <c r="Y24" i="1"/>
  <c r="W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N8" i="1" l="1" a="1"/>
  <c r="N8" i="1" s="1"/>
  <c r="K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<sst xmlns="http://schemas.openxmlformats.org/spreadsheetml/2006/main" count="208" uniqueCount="111">
  <si>
    <t>Saldo inicial</t>
  </si>
  <si>
    <t>Saldo final</t>
  </si>
  <si>
    <t>Fonte</t>
  </si>
  <si>
    <t>Data</t>
  </si>
  <si>
    <t>Natureza</t>
  </si>
  <si>
    <t>Descrição</t>
  </si>
  <si>
    <t>Transcrição</t>
  </si>
  <si>
    <t>Valor</t>
  </si>
  <si>
    <t>Caixa</t>
  </si>
  <si>
    <t>E/S</t>
  </si>
  <si>
    <t>Vlr</t>
  </si>
  <si>
    <t>Tipo</t>
  </si>
  <si>
    <t>Desc</t>
  </si>
  <si>
    <t>Ass</t>
  </si>
  <si>
    <t>Residentes</t>
  </si>
  <si>
    <t>RR</t>
  </si>
  <si>
    <t>entrada</t>
  </si>
  <si>
    <t>E</t>
  </si>
  <si>
    <t>B</t>
  </si>
  <si>
    <t>Adjuntos</t>
  </si>
  <si>
    <t>AR</t>
  </si>
  <si>
    <t>Subvenções</t>
  </si>
  <si>
    <t>DN</t>
  </si>
  <si>
    <t>Pensões</t>
  </si>
  <si>
    <t>PS</t>
  </si>
  <si>
    <t>saída</t>
  </si>
  <si>
    <t>S</t>
  </si>
  <si>
    <t>Gastos Ordinários</t>
  </si>
  <si>
    <t>GO</t>
  </si>
  <si>
    <t>Roupas</t>
  </si>
  <si>
    <t>RP</t>
  </si>
  <si>
    <t>Médicos e Remédios</t>
  </si>
  <si>
    <t>MR</t>
  </si>
  <si>
    <t>Diversos Pessoais</t>
  </si>
  <si>
    <t>DV</t>
  </si>
  <si>
    <t xml:space="preserve">Adjuntos </t>
  </si>
  <si>
    <t>AD</t>
  </si>
  <si>
    <t>Veículos</t>
  </si>
  <si>
    <t>VC</t>
  </si>
  <si>
    <t xml:space="preserve">Natal e Festas </t>
  </si>
  <si>
    <t>NF</t>
  </si>
  <si>
    <t>Vários</t>
  </si>
  <si>
    <t>VR</t>
  </si>
  <si>
    <t>Donativos ao Centro</t>
  </si>
  <si>
    <t>DC</t>
  </si>
  <si>
    <t>Contrib. labores ap.</t>
  </si>
  <si>
    <t>DL</t>
  </si>
  <si>
    <t>Contribuição de residentes</t>
  </si>
  <si>
    <t>CO</t>
  </si>
  <si>
    <t>C</t>
  </si>
  <si>
    <t>Contribuições participantes</t>
  </si>
  <si>
    <t>CP</t>
  </si>
  <si>
    <t>Outros conceitos</t>
  </si>
  <si>
    <t>OT</t>
  </si>
  <si>
    <t>IPTU e Seguros</t>
  </si>
  <si>
    <t>CF</t>
  </si>
  <si>
    <t>Ordenados</t>
  </si>
  <si>
    <t>OR</t>
  </si>
  <si>
    <t xml:space="preserve">Comestíveis </t>
  </si>
  <si>
    <t>CM</t>
  </si>
  <si>
    <t>Gastos Gerais</t>
  </si>
  <si>
    <t>GG</t>
  </si>
  <si>
    <t xml:space="preserve">Luz </t>
  </si>
  <si>
    <t>LZ</t>
  </si>
  <si>
    <t xml:space="preserve">Água </t>
  </si>
  <si>
    <t>AG</t>
  </si>
  <si>
    <t xml:space="preserve">Gás </t>
  </si>
  <si>
    <t>GS</t>
  </si>
  <si>
    <t xml:space="preserve">Telefone </t>
  </si>
  <si>
    <t>TF</t>
  </si>
  <si>
    <t>Consertos</t>
  </si>
  <si>
    <t>CS</t>
  </si>
  <si>
    <t>Manutenção/Reposição</t>
  </si>
  <si>
    <t>MT</t>
  </si>
  <si>
    <t>Atividades culturais</t>
  </si>
  <si>
    <t>AC</t>
  </si>
  <si>
    <t>Instalações</t>
  </si>
  <si>
    <t>IT</t>
  </si>
  <si>
    <t>Saldo cc</t>
  </si>
  <si>
    <t>Aplic</t>
  </si>
  <si>
    <t>Dados de apoio</t>
  </si>
  <si>
    <t>Lançamentos</t>
  </si>
  <si>
    <t>Suporte</t>
  </si>
  <si>
    <t>Totais  por natureza</t>
  </si>
  <si>
    <t>Iniciais</t>
  </si>
  <si>
    <t>Configuração</t>
  </si>
  <si>
    <t>Lançamentos agrupados por natureza</t>
  </si>
  <si>
    <t>Referência</t>
  </si>
  <si>
    <t>Ref.</t>
  </si>
  <si>
    <t>Suporte 2</t>
  </si>
  <si>
    <t>Mês</t>
  </si>
  <si>
    <t>Dia</t>
  </si>
  <si>
    <t>Suporte 4</t>
  </si>
  <si>
    <t>Descrição curta</t>
  </si>
  <si>
    <t>Gastos com consultas, exames, remédios, tratamentos, plano de saúde etc.</t>
  </si>
  <si>
    <t>Gastos com roupas, sapatos, indumentária em geral</t>
  </si>
  <si>
    <t>Gastos ordinários (assinaturas, transporte, refeições, etc.)</t>
  </si>
  <si>
    <t>Receitas e despesas vinculadas ao trabalho profissional e previdência privada</t>
  </si>
  <si>
    <t>Gastos com cursos anuais, convívios, retiros, viagens, despesas extraordinárias etc.</t>
  </si>
  <si>
    <t xml:space="preserve">Gastos com combustível, pedágio, limpeza, manutenção, etc. </t>
  </si>
  <si>
    <t>Pagamento de ordenados</t>
  </si>
  <si>
    <t>Pagamento de despesas com comestiveis para a casa em geral</t>
  </si>
  <si>
    <t>Conta de energia</t>
  </si>
  <si>
    <t>Conta de água</t>
  </si>
  <si>
    <t>Conta de gás</t>
  </si>
  <si>
    <t>Conta de internet e telefonia</t>
  </si>
  <si>
    <t>Custos com manutenção</t>
  </si>
  <si>
    <t>Custos para consertos e melhorias em geral nas instalações da casa</t>
  </si>
  <si>
    <t>Custos com jardinagem, faxina, materiais de limpeza, peças e insumos para manutenção etc.</t>
  </si>
  <si>
    <t>Subvenções e doações para iniciativas apostólicas, ajudas familiares etc.</t>
  </si>
  <si>
    <t>Materiais de escritório, Farmácia da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</si>
</sst>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yyyy\-mm"/>
    <numFmt numFmtId="167" formatCode="dd/mm/yy;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"/>
    </font>
    <font>
      <b/>
      <sz val="11"/>
      <color theme="1"/>
      <name val="Aptos Narrow"/>
    </font>
    <font>
      <b/>
      <sz val="11"/>
      <color theme="1"/>
      <name val="Aptos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sz val="18"/>
      <color theme="3"/>
      <name val="Aptos Narrow"/>
      <family val="2"/>
      <scheme val="major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i/>
      <sz val="11"/>
      <color theme="2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2" fillId="0" borderId="0" xfId="0" applyNumberFormat="1" applyFont="1"/>
    <xf numFmtId="0" fontId="7" fillId="0" borderId="0" xfId="0" applyFont="1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44" fontId="0" fillId="0" borderId="0" xfId="1" applyFont="1"/>
    <xf numFmtId="44" fontId="0" fillId="0" borderId="0" xfId="1" applyFont="1" applyFill="1"/>
    <xf numFmtId="44" fontId="1" fillId="0" borderId="0" xfId="1" applyFont="1" applyFill="1"/>
    <xf numFmtId="0" fontId="10" fillId="3" borderId="2" xfId="0" applyFont="1" applyFill="1" applyBorder="1" applyAlignment="1">
      <alignment horizontal="left" vertical="center"/>
    </xf>
    <xf numFmtId="44" fontId="10" fillId="3" borderId="2" xfId="1" applyFont="1" applyFill="1" applyBorder="1" applyAlignment="1">
      <alignment horizontal="right" vertical="center"/>
    </xf>
    <xf numFmtId="164" fontId="1" fillId="0" borderId="2" xfId="0" applyNumberFormat="1" applyFont="1" applyBorder="1"/>
    <xf numFmtId="0" fontId="8" fillId="0" borderId="0" xfId="2"/>
    <xf numFmtId="165" fontId="2" fillId="0" borderId="2" xfId="0" applyNumberFormat="1" applyFont="1" applyBorder="1"/>
    <xf numFmtId="0" fontId="0" fillId="0" borderId="2" xfId="0" applyBorder="1"/>
    <xf numFmtId="44" fontId="0" fillId="0" borderId="2" xfId="1" applyFont="1" applyBorder="1"/>
    <xf numFmtId="44" fontId="2" fillId="0" borderId="2" xfId="1" applyFont="1" applyBorder="1"/>
    <xf numFmtId="44" fontId="1" fillId="0" borderId="2" xfId="1" applyFont="1" applyBorder="1"/>
    <xf numFmtId="44" fontId="1" fillId="0" borderId="2" xfId="1" applyFont="1" applyFill="1" applyBorder="1"/>
    <xf numFmtId="0" fontId="1" fillId="0" borderId="2" xfId="0" applyFont="1" applyBorder="1"/>
    <xf numFmtId="164" fontId="11" fillId="2" borderId="2" xfId="0" applyNumberFormat="1" applyFont="1" applyFill="1" applyBorder="1"/>
    <xf numFmtId="164" fontId="1" fillId="2" borderId="2" xfId="0" applyNumberFormat="1" applyFont="1" applyFill="1" applyBorder="1"/>
    <xf numFmtId="0" fontId="0" fillId="0" borderId="2" xfId="0" applyBorder="1" applyAlignment="1">
      <alignment horizontal="center"/>
    </xf>
    <xf numFmtId="4" fontId="12" fillId="0" borderId="0" xfId="0" applyNumberFormat="1" applyFont="1"/>
    <xf numFmtId="166" fontId="0" fillId="0" borderId="2" xfId="0" applyNumberFormat="1" applyBorder="1" applyAlignment="1">
      <alignment horizontal="center"/>
    </xf>
    <xf numFmtId="167" fontId="6" fillId="0" borderId="1" xfId="0" applyNumberFormat="1" applyFont="1" applyBorder="1"/>
    <xf numFmtId="4" fontId="5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12" fillId="0" borderId="0" xfId="0" applyNumberFormat="1" applyFont="1"/>
    <xf numFmtId="4" fontId="5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</cellXfs>
  <cellStyles count="3">
    <cellStyle name="Moeda" xfId="1" builtinId="4"/>
    <cellStyle name="Normal" xfId="0" builtinId="0"/>
    <cellStyle name="Título" xfId="2" builtinId="15"/>
  </cellStyles>
  <dxfs count="1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1" formatCode="0"/>
      <alignment horizontal="center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_-* #,##0.00_-;\-* #,##0.00_-;_-* &quot;-&quot;??_-;_-@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border diagonalUp="0" diagonalDown="0">
        <left/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6D33F-9FC5-4442-A295-DA7C474F689D}" name="Tabela1" displayName="Tabela1" ref="A8:I504" totalsRowShown="0" headerRowDxfId="14" dataDxfId="13" tableBorderDxfId="12">
  <autoFilter ref="A8:I504" xr:uid="{6F26D33F-9FC5-4442-A295-DA7C474F689D}"/>
  <tableColumns count="9">
    <tableColumn id="1" xr3:uid="{2E98334D-5CFA-F24B-AE4B-A17AACBC104A}" name="Fonte" dataDxfId="11"/>
    <tableColumn id="2" xr3:uid="{985FDF7A-260E-054A-972E-05483EC5CD50}" name="Data" dataDxfId="10"/>
    <tableColumn id="3" xr3:uid="{C0EB3965-5FCC-834F-B8DB-8D424B2F1818}" name="Transcrição" dataDxfId="9"/>
    <tableColumn id="8" xr3:uid="{6C87BB0F-513C-0148-8AEA-3B315AD2E735}" name="Ref." dataDxfId="2"/>
    <tableColumn id="9" xr3:uid="{A76B5957-09B9-CA48-A4AB-86F6A989ECB5}" name="Mês" dataDxfId="0"/>
    <tableColumn id="5" xr3:uid="{E28D192D-BA01-AD4D-BC50-ABCAC1F70F3F}" name="Descrição" dataDxfId="1"/>
    <tableColumn id="6" xr3:uid="{E56D9CAE-DF36-E140-B4E6-73A60CB0B633}" name="Valor" dataDxfId="8"/>
    <tableColumn id="4" xr3:uid="{E257224B-B774-074E-B6D4-DE58D555A465}" name="Natureza" dataDxfId="7"/>
    <tableColumn id="7" xr3:uid="{6E1105DD-6855-8843-9B76-D7978BF1910D}" name="Iniciais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B8C08C-16FE-9243-BAA0-802EABDE84C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ebe7663-7ef7-428b-b365-a1665f4f05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4"/>
  <sheetViews>
    <sheetView showGridLines="0" tabSelected="1" workbookViewId="0">
      <selection activeCell="E9" sqref="E9"/>
    </sheetView>
  </sheetViews>
  <sheetFormatPr baseColWidth="10" defaultColWidth="12.6640625" defaultRowHeight="15" customHeight="1" x14ac:dyDescent="0.2"/>
  <cols>
    <col min="1" max="1" width="11.5" customWidth="1"/>
    <col min="2" max="2" width="9.1640625" bestFit="1" customWidth="1"/>
    <col min="3" max="3" width="14" bestFit="1" customWidth="1"/>
    <col min="4" max="4" width="8.5" bestFit="1" customWidth="1"/>
    <col min="5" max="5" width="8.5" style="46" customWidth="1"/>
    <col min="6" max="6" width="14" customWidth="1"/>
    <col min="7" max="7" width="10.6640625" bestFit="1" customWidth="1"/>
    <col min="8" max="8" width="22.83203125" bestFit="1" customWidth="1"/>
    <col min="9" max="9" width="9.83203125" bestFit="1" customWidth="1"/>
    <col min="10" max="10" width="6.5" customWidth="1"/>
    <col min="11" max="11" width="11.1640625" customWidth="1"/>
    <col min="12" max="12" width="14.5" style="18" customWidth="1"/>
    <col min="13" max="13" width="6.5" customWidth="1"/>
    <col min="14" max="14" width="14.1640625" customWidth="1"/>
    <col min="15" max="15" width="20.1640625" bestFit="1" customWidth="1"/>
    <col min="16" max="16" width="12.5" style="18" bestFit="1" customWidth="1"/>
    <col min="17" max="17" width="6.5" customWidth="1"/>
    <col min="18" max="18" width="4.83203125" customWidth="1"/>
    <col min="19" max="19" width="4.1640625" customWidth="1"/>
    <col min="20" max="20" width="11.1640625" customWidth="1"/>
    <col min="21" max="21" width="4.83203125" customWidth="1"/>
    <col min="22" max="22" width="9.6640625" customWidth="1"/>
    <col min="23" max="23" width="28.1640625" customWidth="1"/>
    <col min="24" max="24" width="4.33203125" bestFit="1" customWidth="1"/>
    <col min="25" max="25" width="5.83203125" bestFit="1" customWidth="1"/>
    <col min="26" max="26" width="4.33203125" bestFit="1" customWidth="1"/>
    <col min="27" max="27" width="10.6640625" bestFit="1" customWidth="1"/>
    <col min="28" max="28" width="5.33203125" customWidth="1"/>
    <col min="29" max="29" width="8.1640625" bestFit="1" customWidth="1"/>
    <col min="30" max="36" width="9.6640625" customWidth="1"/>
    <col min="37" max="37" width="30.6640625" customWidth="1"/>
    <col min="38" max="38" width="12.83203125" customWidth="1"/>
  </cols>
  <sheetData>
    <row r="1" spans="1:37" ht="24" x14ac:dyDescent="0.3">
      <c r="A1" s="24" t="s">
        <v>85</v>
      </c>
    </row>
    <row r="2" spans="1:37" x14ac:dyDescent="0.2">
      <c r="A2" s="26" t="s">
        <v>84</v>
      </c>
      <c r="B2" s="34"/>
      <c r="P2"/>
    </row>
    <row r="3" spans="1:37" x14ac:dyDescent="0.2">
      <c r="A3" s="26" t="s">
        <v>87</v>
      </c>
      <c r="B3" s="36"/>
      <c r="P3"/>
    </row>
    <row r="4" spans="1:37" x14ac:dyDescent="0.2">
      <c r="A4" s="31" t="s">
        <v>0</v>
      </c>
      <c r="B4" s="32"/>
      <c r="P4"/>
      <c r="AK4" s="1"/>
    </row>
    <row r="5" spans="1:37" x14ac:dyDescent="0.2">
      <c r="A5" s="31" t="s">
        <v>1</v>
      </c>
      <c r="B5" s="33">
        <f>B4+SUM(G9:G1004)</f>
        <v>0</v>
      </c>
      <c r="I5" s="2"/>
      <c r="L5" s="19"/>
      <c r="P5"/>
      <c r="AK5" s="1"/>
    </row>
    <row r="6" spans="1:37" x14ac:dyDescent="0.2">
      <c r="L6"/>
      <c r="P6"/>
    </row>
    <row r="7" spans="1:37" ht="24" x14ac:dyDescent="0.3">
      <c r="A7" s="24" t="s">
        <v>81</v>
      </c>
      <c r="I7" s="2"/>
      <c r="K7" s="24" t="s">
        <v>83</v>
      </c>
      <c r="M7" s="3"/>
      <c r="N7" s="24" t="s">
        <v>86</v>
      </c>
      <c r="O7" s="3"/>
      <c r="P7" s="3"/>
      <c r="R7" s="24" t="s">
        <v>89</v>
      </c>
      <c r="Y7" s="3"/>
      <c r="AB7" s="24" t="s">
        <v>92</v>
      </c>
      <c r="AD7" s="3"/>
    </row>
    <row r="8" spans="1:37" s="11" customFormat="1" ht="16" x14ac:dyDescent="0.2">
      <c r="A8" s="39" t="s">
        <v>2</v>
      </c>
      <c r="B8" s="39" t="s">
        <v>3</v>
      </c>
      <c r="C8" s="40" t="s">
        <v>6</v>
      </c>
      <c r="D8" s="40" t="s">
        <v>88</v>
      </c>
      <c r="E8" s="47" t="s">
        <v>90</v>
      </c>
      <c r="F8" s="41" t="s">
        <v>5</v>
      </c>
      <c r="G8" s="42" t="s">
        <v>7</v>
      </c>
      <c r="H8" s="43" t="s">
        <v>4</v>
      </c>
      <c r="I8" s="40" t="s">
        <v>84</v>
      </c>
      <c r="K8" s="21" t="str" cm="1">
        <f t="array" ref="K8:L8">_xlfn.LET(_xlpm.nat,Tabela1[Natureza],_xlpm.hdr,_xlfn.HSTACK("Natureza","Somatória"),IF(SUM(--(_xlpm.nat&lt;&gt;""))=0,_xlpm.hdr,_xlfn.LET(_xlpm.u,_xlfn.UNIQUE(_xlfn._xlws.FILTER(_xlpm.nat,_xlpm.nat&lt;&gt;"")),_xlpm.k,IF(_xlpm.u="RR",0,_xlfn.XMATCH(_xlpm.u,_xlpm.u)),_xlpm.n,_xlfn.SORTBY(_xlpm.u,_xlpm.k,1),_xlpm.s,SUMIF(Tabela1[Natureza],_xlpm.n,Tabela1[Valor]),_xlfn.VSTACK(_xlpm.hdr,_xlfn.HSTACK(_xlpm.n,_xlpm.s),_xlfn.HSTACK("TOTAL &gt;&gt;&gt;",SUM(_xlpm.s))))))</f>
        <v>Natureza</v>
      </c>
      <c r="L8" s="22" t="str">
        <v>Somatória</v>
      </c>
      <c r="M8" s="12"/>
      <c r="N8" s="21" t="str" cm="1">
        <f t="array" ref="N8:P8">_xlfn.LET(_xlpm.natcol,Tabela1[Natureza],_xlpm.hdr,_xlfn.HSTACK("Natureza","Descrição","Valor"),IF(SUM(--(_xlpm.natcol&lt;&gt;""))=0,_xlpm.hdr,_xlfn.LET(_xlpm.d,_xlfn._xlws.FILTER(_xlfn.HSTACK(Tabela1[Natureza],Tabela1[Descrição],Tabela1[Valor]),_xlpm.natcol&lt;&gt;""),_xlpm.ordem,_xlfn.XMATCH(_xlfn.CHOOSECOLS(_xlpm.d,1),_xlfn.CHOOSECOLS(_xlfn.ANCHORARRAY(K8),1)),_xlpm.sorted,_xlfn.SORTBY(_xlpm.d,_xlpm.ordem,1,ABS(_xlfn.CHOOSECOLS(_xlpm.d,3)),-1),_xlpm.nat,_xlfn.CHOOSECOLS(_xlpm.sorted,1),_xlpm.r,ROWS(_xlpm.sorted),_xlpm.body,_xlfn.DROP(_xlfn.REDUCE(_xlfn.HSTACK("","",""),_xlfn.SEQUENCE(_xlpm.r),_xlfn.LAMBDA(_xlpm.acc,_xlpm.i,IF(AND(_xlpm.i&gt;1,INDEX(_xlpm.nat,_xlpm.i)&lt;&gt;INDEX(_xlpm.nat,_xlpm.i-1)),_xlfn.VSTACK(_xlpm.acc,_xlfn.HSTACK("","",""),INDEX(_xlpm.sorted,_xlpm.i,0)),_xlfn.VSTACK(_xlpm.acc,INDEX(_xlpm.sorted,_xlpm.i,0))))),1),_xlfn.VSTACK(_xlpm.hdr,_xlpm.body))))</f>
        <v>Natureza</v>
      </c>
      <c r="O8" s="21" t="str">
        <v>Descrição</v>
      </c>
      <c r="P8" s="21" t="str">
        <v>Valor</v>
      </c>
      <c r="Q8" s="13"/>
      <c r="R8" s="16" t="s">
        <v>90</v>
      </c>
      <c r="S8" s="16" t="s">
        <v>91</v>
      </c>
      <c r="T8" s="16" t="s">
        <v>8</v>
      </c>
      <c r="U8" s="16" t="s">
        <v>9</v>
      </c>
      <c r="V8" s="17" t="s">
        <v>10</v>
      </c>
      <c r="W8" s="16" t="s">
        <v>11</v>
      </c>
      <c r="X8" s="16"/>
      <c r="Y8" s="16" t="s">
        <v>12</v>
      </c>
      <c r="Z8" s="16" t="s">
        <v>13</v>
      </c>
      <c r="AA8"/>
      <c r="AB8" s="16" t="s">
        <v>90</v>
      </c>
      <c r="AC8" s="16" t="s">
        <v>91</v>
      </c>
      <c r="AD8" s="16" t="s">
        <v>12</v>
      </c>
      <c r="AE8" s="17" t="s">
        <v>10</v>
      </c>
      <c r="AF8" s="16"/>
      <c r="AG8" s="16" t="s">
        <v>13</v>
      </c>
    </row>
    <row r="9" spans="1:37" x14ac:dyDescent="0.2">
      <c r="A9" s="35"/>
      <c r="B9" s="44"/>
      <c r="C9" s="35"/>
      <c r="D9" s="35"/>
      <c r="E9" s="48"/>
      <c r="F9" s="45"/>
      <c r="G9" s="38"/>
      <c r="H9" s="45"/>
      <c r="I9" s="45"/>
      <c r="K9" s="25"/>
      <c r="L9" s="28"/>
      <c r="N9" s="25"/>
      <c r="O9" s="25"/>
      <c r="P9" s="27"/>
      <c r="Q9" s="3"/>
      <c r="R9" s="6" t="str">
        <f>IF($H9&lt;&gt;"",RIGHT(Tabela1[[#This Row],[Ref.]],2),"")</f>
        <v/>
      </c>
      <c r="S9" s="6" t="str">
        <f t="shared" ref="S9:S72" si="0">IF($H9&lt;&gt;"",1,"")</f>
        <v/>
      </c>
      <c r="T9" s="4" t="str">
        <f>IF($H9&lt;&gt;"",_xlfn.XLOOKUP(H9,Naturezas!B:B,Naturezas!E:E,"",0,1),"")</f>
        <v/>
      </c>
      <c r="U9" s="4" t="str">
        <f>IF($H9&lt;&gt;"",_xlfn.XLOOKUP($H9,Naturezas!B:B,Naturezas!D:D,"",0,1),"")</f>
        <v/>
      </c>
      <c r="V9" s="5" t="str">
        <f>IF($H9&lt;&gt;"",IF(OR($H9=Naturezas!$B$3,$H9=Naturezas!$B$4,$H9=Naturezas!$B$5,$H9=Naturezas!$B$17,$H9=Naturezas!$B$18,$H9=Naturezas!$B$19),$G9,-$G9),"")</f>
        <v/>
      </c>
      <c r="W9" s="4" t="str">
        <f>IF($H9&lt;&gt;"",$H9,"")</f>
        <v/>
      </c>
      <c r="X9" s="4"/>
      <c r="Y9" s="4" t="str">
        <f>IF($H9&lt;&gt;"",$F9,"")</f>
        <v/>
      </c>
      <c r="Z9" s="6" t="str">
        <f>IF($H9&lt;&gt;"",Tabela1[[#This Row],[Iniciais]],"")</f>
        <v/>
      </c>
      <c r="AB9" s="6" t="str">
        <f>IF($H9&lt;&gt;"",RIGHT(Tabela1[[#This Row],[Ref.]],2),"")</f>
        <v/>
      </c>
      <c r="AC9" s="37" t="str">
        <f>IF($H9&lt;&gt;"",DATE(LEFT(Tabela1[[#This Row],[Ref.]],4),RIGHT(Tabela1[[#This Row],[Ref.]],2),1),"")</f>
        <v/>
      </c>
      <c r="AD9" s="4" t="str">
        <f t="shared" ref="AD9:AD72" si="1">IF($H9&lt;&gt;"",$F9,"")</f>
        <v/>
      </c>
      <c r="AE9" s="5" t="str">
        <f t="shared" ref="AE9:AE72" si="2">IF($H9&lt;&gt;"",$G9,"")</f>
        <v/>
      </c>
      <c r="AF9" s="4"/>
      <c r="AG9" s="6" t="str">
        <f t="shared" ref="AG9:AG72" si="3">IF($H9&lt;&gt;"",$B$2,"")</f>
        <v/>
      </c>
    </row>
    <row r="10" spans="1:37" x14ac:dyDescent="0.2">
      <c r="A10" s="35"/>
      <c r="B10" s="44"/>
      <c r="C10" s="35"/>
      <c r="D10" s="35"/>
      <c r="E10" s="48"/>
      <c r="F10" s="45"/>
      <c r="G10" s="38"/>
      <c r="H10" s="45"/>
      <c r="I10" s="45"/>
      <c r="K10" s="25"/>
      <c r="L10" s="28"/>
      <c r="N10" s="25"/>
      <c r="O10" s="25"/>
      <c r="P10" s="27"/>
      <c r="Q10" s="3"/>
      <c r="R10" s="6" t="str">
        <f>IF($H10&lt;&gt;"",RIGHT(Tabela1[[#This Row],[Ref.]],2),"")</f>
        <v/>
      </c>
      <c r="S10" s="6" t="str">
        <f t="shared" si="0"/>
        <v/>
      </c>
      <c r="T10" s="4" t="str">
        <f>IF($H10&lt;&gt;"",_xlfn.XLOOKUP(H10,Naturezas!B:B,Naturezas!E:E,"",0,1),"")</f>
        <v/>
      </c>
      <c r="U10" s="4" t="str">
        <f>IF($H10&lt;&gt;"",_xlfn.XLOOKUP($H10,Naturezas!B:B,Naturezas!D:D,"",0,1),"")</f>
        <v/>
      </c>
      <c r="V10" s="5" t="str">
        <f>IF(H10&lt;&gt;"",IF(OR(H10=Naturezas!$B$3,H10=Naturezas!$B$4,H10=Naturezas!$B$5,H10=Naturezas!$B$17,H10=Naturezas!$B$18,H10=Naturezas!$B$19),G10,-G10),"")</f>
        <v/>
      </c>
      <c r="W10" s="4" t="str">
        <f t="shared" ref="W10:W73" si="4">IF(H10&lt;&gt;"",H10,"")</f>
        <v/>
      </c>
      <c r="X10" s="4"/>
      <c r="Y10" s="4" t="str">
        <f t="shared" ref="Y10:Y73" si="5">IF(H10&lt;&gt;"",F10,"")</f>
        <v/>
      </c>
      <c r="Z10" s="6" t="str">
        <f>IF(H10&lt;&gt;"",Tabela1[[#This Row],[Iniciais]],"")</f>
        <v/>
      </c>
      <c r="AB10" s="6" t="str">
        <f>IF($H10&lt;&gt;"",RIGHT(Tabela1[[#This Row],[Ref.]],2),"")</f>
        <v/>
      </c>
      <c r="AC10" s="37" t="str">
        <f>IF($H10&lt;&gt;"",DATE(LEFT(Tabela1[[#This Row],[Ref.]],4),RIGHT(Tabela1[[#This Row],[Ref.]],2),1),"")</f>
        <v/>
      </c>
      <c r="AD10" s="4" t="str">
        <f t="shared" si="1"/>
        <v/>
      </c>
      <c r="AE10" s="5" t="str">
        <f t="shared" si="2"/>
        <v/>
      </c>
      <c r="AF10" s="4"/>
      <c r="AG10" s="6" t="str">
        <f t="shared" si="3"/>
        <v/>
      </c>
    </row>
    <row r="11" spans="1:37" x14ac:dyDescent="0.2">
      <c r="A11" s="35"/>
      <c r="B11" s="44"/>
      <c r="C11" s="35"/>
      <c r="D11" s="35"/>
      <c r="E11" s="48"/>
      <c r="F11" s="45"/>
      <c r="G11" s="38"/>
      <c r="H11" s="45"/>
      <c r="I11" s="45"/>
      <c r="K11" s="25"/>
      <c r="L11" s="28"/>
      <c r="N11" s="25"/>
      <c r="O11" s="25"/>
      <c r="P11" s="27"/>
      <c r="Q11" s="3"/>
      <c r="R11" s="6" t="str">
        <f>IF($H11&lt;&gt;"",RIGHT(Tabela1[[#This Row],[Ref.]],2),"")</f>
        <v/>
      </c>
      <c r="S11" s="6" t="str">
        <f t="shared" si="0"/>
        <v/>
      </c>
      <c r="T11" s="4" t="str">
        <f>IF($H11&lt;&gt;"",_xlfn.XLOOKUP(H11,Naturezas!B:B,Naturezas!E:E,"",0,1),"")</f>
        <v/>
      </c>
      <c r="U11" s="4" t="str">
        <f>IF($H11&lt;&gt;"",_xlfn.XLOOKUP($H11,Naturezas!B:B,Naturezas!D:D,"",0,1),"")</f>
        <v/>
      </c>
      <c r="V11" s="5" t="str">
        <f>IF(H11&lt;&gt;"",IF(OR(H11=Naturezas!$B$3,H11=Naturezas!$B$4,H11=Naturezas!$B$5,H11=Naturezas!$B$17,H11=Naturezas!$B$18,H11=Naturezas!$B$19),G11,-G11),"")</f>
        <v/>
      </c>
      <c r="W11" s="4" t="str">
        <f t="shared" si="4"/>
        <v/>
      </c>
      <c r="X11" s="4"/>
      <c r="Y11" s="4" t="str">
        <f t="shared" si="5"/>
        <v/>
      </c>
      <c r="Z11" s="6" t="str">
        <f>IF(H11&lt;&gt;"",Tabela1[[#This Row],[Iniciais]],"")</f>
        <v/>
      </c>
      <c r="AB11" s="6" t="str">
        <f>IF($H11&lt;&gt;"",RIGHT(Tabela1[[#This Row],[Ref.]],2),"")</f>
        <v/>
      </c>
      <c r="AC11" s="37" t="str">
        <f>IF($H11&lt;&gt;"",DATE(LEFT(Tabela1[[#This Row],[Ref.]],4),RIGHT(Tabela1[[#This Row],[Ref.]],2),1),"")</f>
        <v/>
      </c>
      <c r="AD11" s="4" t="str">
        <f t="shared" si="1"/>
        <v/>
      </c>
      <c r="AE11" s="5" t="str">
        <f t="shared" si="2"/>
        <v/>
      </c>
      <c r="AF11" s="4"/>
      <c r="AG11" s="6" t="str">
        <f t="shared" si="3"/>
        <v/>
      </c>
    </row>
    <row r="12" spans="1:37" x14ac:dyDescent="0.2">
      <c r="A12" s="35"/>
      <c r="B12" s="44"/>
      <c r="C12" s="35"/>
      <c r="D12" s="35"/>
      <c r="E12" s="48"/>
      <c r="F12" s="45"/>
      <c r="G12" s="38"/>
      <c r="H12" s="45"/>
      <c r="I12" s="45"/>
      <c r="J12" s="2"/>
      <c r="K12" s="25"/>
      <c r="L12" s="28"/>
      <c r="N12" s="25"/>
      <c r="O12" s="25"/>
      <c r="P12" s="27"/>
      <c r="Q12" s="3"/>
      <c r="R12" s="6" t="str">
        <f>IF($H12&lt;&gt;"",RIGHT(Tabela1[[#This Row],[Ref.]],2),"")</f>
        <v/>
      </c>
      <c r="S12" s="6" t="str">
        <f t="shared" si="0"/>
        <v/>
      </c>
      <c r="T12" s="4" t="str">
        <f>IF($H12&lt;&gt;"",_xlfn.XLOOKUP(H12,Naturezas!B:B,Naturezas!E:E,"",0,1),"")</f>
        <v/>
      </c>
      <c r="U12" s="4" t="str">
        <f>IF($H12&lt;&gt;"",_xlfn.XLOOKUP($H12,Naturezas!B:B,Naturezas!D:D,"",0,1),"")</f>
        <v/>
      </c>
      <c r="V12" s="5" t="str">
        <f>IF(H12&lt;&gt;"",IF(OR(H12=Naturezas!$B$3,H12=Naturezas!$B$4,H12=Naturezas!$B$5,H12=Naturezas!$B$17,H12=Naturezas!$B$18,H12=Naturezas!$B$19),G12,-G12),"")</f>
        <v/>
      </c>
      <c r="W12" s="4" t="str">
        <f t="shared" si="4"/>
        <v/>
      </c>
      <c r="X12" s="4"/>
      <c r="Y12" s="4" t="str">
        <f t="shared" si="5"/>
        <v/>
      </c>
      <c r="Z12" s="6" t="str">
        <f>IF(H12&lt;&gt;"",Tabela1[[#This Row],[Iniciais]],"")</f>
        <v/>
      </c>
      <c r="AB12" s="6" t="str">
        <f>IF($H12&lt;&gt;"",RIGHT(Tabela1[[#This Row],[Ref.]],2),"")</f>
        <v/>
      </c>
      <c r="AC12" s="37" t="str">
        <f>IF($H12&lt;&gt;"",DATE(LEFT(Tabela1[[#This Row],[Ref.]],4),RIGHT(Tabela1[[#This Row],[Ref.]],2),1),"")</f>
        <v/>
      </c>
      <c r="AD12" s="4" t="str">
        <f t="shared" si="1"/>
        <v/>
      </c>
      <c r="AE12" s="5" t="str">
        <f t="shared" si="2"/>
        <v/>
      </c>
      <c r="AF12" s="4"/>
      <c r="AG12" s="6" t="str">
        <f t="shared" si="3"/>
        <v/>
      </c>
    </row>
    <row r="13" spans="1:37" x14ac:dyDescent="0.2">
      <c r="A13" s="35"/>
      <c r="B13" s="44"/>
      <c r="C13" s="35"/>
      <c r="D13" s="35"/>
      <c r="E13" s="48"/>
      <c r="F13" s="45"/>
      <c r="G13" s="38"/>
      <c r="H13" s="45"/>
      <c r="I13" s="45"/>
      <c r="J13" s="2"/>
      <c r="K13" s="25"/>
      <c r="L13" s="28"/>
      <c r="N13" s="25"/>
      <c r="O13" s="25"/>
      <c r="P13" s="27"/>
      <c r="Q13" s="3"/>
      <c r="R13" s="6" t="str">
        <f>IF($H13&lt;&gt;"",RIGHT(Tabela1[[#This Row],[Ref.]],2),"")</f>
        <v/>
      </c>
      <c r="S13" s="6" t="str">
        <f t="shared" si="0"/>
        <v/>
      </c>
      <c r="T13" s="4" t="str">
        <f>IF($H13&lt;&gt;"",_xlfn.XLOOKUP(H13,Naturezas!B:B,Naturezas!E:E,"",0,1),"")</f>
        <v/>
      </c>
      <c r="U13" s="4" t="str">
        <f>IF($H13&lt;&gt;"",_xlfn.XLOOKUP($H13,Naturezas!B:B,Naturezas!D:D,"",0,1),"")</f>
        <v/>
      </c>
      <c r="V13" s="5" t="str">
        <f>IF(H13&lt;&gt;"",IF(OR(H13=Naturezas!$B$3,H13=Naturezas!$B$4,H13=Naturezas!$B$5,H13=Naturezas!$B$17,H13=Naturezas!$B$18,H13=Naturezas!$B$19),G13,-G13),"")</f>
        <v/>
      </c>
      <c r="W13" s="4" t="str">
        <f t="shared" si="4"/>
        <v/>
      </c>
      <c r="X13" s="4"/>
      <c r="Y13" s="4" t="str">
        <f t="shared" si="5"/>
        <v/>
      </c>
      <c r="Z13" s="6" t="str">
        <f>IF(H13&lt;&gt;"",Tabela1[[#This Row],[Iniciais]],"")</f>
        <v/>
      </c>
      <c r="AB13" s="6" t="str">
        <f>IF($H13&lt;&gt;"",RIGHT(Tabela1[[#This Row],[Ref.]],2),"")</f>
        <v/>
      </c>
      <c r="AC13" s="37" t="str">
        <f>IF($H13&lt;&gt;"",DATE(LEFT(Tabela1[[#This Row],[Ref.]],4),RIGHT(Tabela1[[#This Row],[Ref.]],2),1),"")</f>
        <v/>
      </c>
      <c r="AD13" s="4" t="str">
        <f t="shared" si="1"/>
        <v/>
      </c>
      <c r="AE13" s="5" t="str">
        <f t="shared" si="2"/>
        <v/>
      </c>
      <c r="AF13" s="4"/>
      <c r="AG13" s="6" t="str">
        <f t="shared" si="3"/>
        <v/>
      </c>
    </row>
    <row r="14" spans="1:37" x14ac:dyDescent="0.2">
      <c r="A14" s="35"/>
      <c r="B14" s="44"/>
      <c r="C14" s="35"/>
      <c r="D14" s="35"/>
      <c r="E14" s="48"/>
      <c r="F14" s="45"/>
      <c r="G14" s="38"/>
      <c r="H14" s="45"/>
      <c r="I14" s="45"/>
      <c r="J14" s="2"/>
      <c r="K14" s="25"/>
      <c r="L14" s="28"/>
      <c r="N14" s="25"/>
      <c r="O14" s="25"/>
      <c r="P14" s="27"/>
      <c r="Q14" s="3"/>
      <c r="R14" s="6" t="str">
        <f>IF($H14&lt;&gt;"",RIGHT(Tabela1[[#This Row],[Ref.]],2),"")</f>
        <v/>
      </c>
      <c r="S14" s="6" t="str">
        <f t="shared" si="0"/>
        <v/>
      </c>
      <c r="T14" s="4" t="str">
        <f>IF($H14&lt;&gt;"",_xlfn.XLOOKUP(H14,Naturezas!B:B,Naturezas!E:E,"",0,1),"")</f>
        <v/>
      </c>
      <c r="U14" s="4" t="str">
        <f>IF($H14&lt;&gt;"",_xlfn.XLOOKUP($H14,Naturezas!B:B,Naturezas!D:D,"",0,1),"")</f>
        <v/>
      </c>
      <c r="V14" s="5" t="str">
        <f>IF(H14&lt;&gt;"",IF(OR(H14=Naturezas!$B$3,H14=Naturezas!$B$4,H14=Naturezas!$B$5,H14=Naturezas!$B$17,H14=Naturezas!$B$18,H14=Naturezas!$B$19),G14,-G14),"")</f>
        <v/>
      </c>
      <c r="W14" s="4" t="str">
        <f t="shared" si="4"/>
        <v/>
      </c>
      <c r="X14" s="4"/>
      <c r="Y14" s="4" t="str">
        <f t="shared" si="5"/>
        <v/>
      </c>
      <c r="Z14" s="6" t="str">
        <f>IF(H14&lt;&gt;"",Tabela1[[#This Row],[Iniciais]],"")</f>
        <v/>
      </c>
      <c r="AB14" s="6" t="str">
        <f>IF($H14&lt;&gt;"",RIGHT(Tabela1[[#This Row],[Ref.]],2),"")</f>
        <v/>
      </c>
      <c r="AC14" s="37" t="str">
        <f>IF($H14&lt;&gt;"",DATE(LEFT(Tabela1[[#This Row],[Ref.]],4),RIGHT(Tabela1[[#This Row],[Ref.]],2),1),"")</f>
        <v/>
      </c>
      <c r="AD14" s="4" t="str">
        <f t="shared" si="1"/>
        <v/>
      </c>
      <c r="AE14" s="5" t="str">
        <f t="shared" si="2"/>
        <v/>
      </c>
      <c r="AF14" s="4"/>
      <c r="AG14" s="6" t="str">
        <f t="shared" si="3"/>
        <v/>
      </c>
    </row>
    <row r="15" spans="1:37" x14ac:dyDescent="0.2">
      <c r="A15" s="35"/>
      <c r="B15" s="44"/>
      <c r="C15" s="35"/>
      <c r="D15" s="35"/>
      <c r="E15" s="48"/>
      <c r="F15" s="45"/>
      <c r="G15" s="38"/>
      <c r="H15" s="45"/>
      <c r="I15" s="45"/>
      <c r="J15" s="2"/>
      <c r="K15" s="25"/>
      <c r="L15" s="28"/>
      <c r="N15" s="25"/>
      <c r="O15" s="25"/>
      <c r="P15" s="27"/>
      <c r="Q15" s="3"/>
      <c r="R15" s="6" t="str">
        <f>IF($H15&lt;&gt;"",RIGHT(Tabela1[[#This Row],[Ref.]],2),"")</f>
        <v/>
      </c>
      <c r="S15" s="6" t="str">
        <f t="shared" si="0"/>
        <v/>
      </c>
      <c r="T15" s="4" t="str">
        <f>IF($H15&lt;&gt;"",_xlfn.XLOOKUP(H15,Naturezas!B:B,Naturezas!E:E,"",0,1),"")</f>
        <v/>
      </c>
      <c r="U15" s="4" t="str">
        <f>IF($H15&lt;&gt;"",_xlfn.XLOOKUP($H15,Naturezas!B:B,Naturezas!D:D,"",0,1),"")</f>
        <v/>
      </c>
      <c r="V15" s="5" t="str">
        <f>IF(H15&lt;&gt;"",IF(OR(H15=Naturezas!$B$3,H15=Naturezas!$B$4,H15=Naturezas!$B$5,H15=Naturezas!$B$17,H15=Naturezas!$B$18,H15=Naturezas!$B$19),G15,-G15),"")</f>
        <v/>
      </c>
      <c r="W15" s="4" t="str">
        <f t="shared" si="4"/>
        <v/>
      </c>
      <c r="X15" s="4"/>
      <c r="Y15" s="4" t="str">
        <f t="shared" si="5"/>
        <v/>
      </c>
      <c r="Z15" s="6" t="str">
        <f>IF(H15&lt;&gt;"",Tabela1[[#This Row],[Iniciais]],"")</f>
        <v/>
      </c>
      <c r="AB15" s="6" t="str">
        <f>IF($H15&lt;&gt;"",RIGHT(Tabela1[[#This Row],[Ref.]],2),"")</f>
        <v/>
      </c>
      <c r="AC15" s="37" t="str">
        <f>IF($H15&lt;&gt;"",DATE(LEFT(Tabela1[[#This Row],[Ref.]],4),RIGHT(Tabela1[[#This Row],[Ref.]],2),1),"")</f>
        <v/>
      </c>
      <c r="AD15" s="4" t="str">
        <f t="shared" si="1"/>
        <v/>
      </c>
      <c r="AE15" s="5" t="str">
        <f t="shared" si="2"/>
        <v/>
      </c>
      <c r="AF15" s="4"/>
      <c r="AG15" s="6" t="str">
        <f t="shared" si="3"/>
        <v/>
      </c>
    </row>
    <row r="16" spans="1:37" x14ac:dyDescent="0.2">
      <c r="A16" s="35"/>
      <c r="B16" s="44"/>
      <c r="C16" s="35"/>
      <c r="D16" s="35"/>
      <c r="E16" s="48"/>
      <c r="F16" s="45"/>
      <c r="G16" s="38"/>
      <c r="H16" s="45"/>
      <c r="I16" s="45"/>
      <c r="J16" s="2"/>
      <c r="K16" s="25"/>
      <c r="L16" s="28"/>
      <c r="M16" s="3"/>
      <c r="N16" s="25"/>
      <c r="O16" s="25"/>
      <c r="P16" s="28"/>
      <c r="Q16" s="3"/>
      <c r="R16" s="6" t="str">
        <f>IF($H16&lt;&gt;"",RIGHT(Tabela1[[#This Row],[Ref.]],2),"")</f>
        <v/>
      </c>
      <c r="S16" s="6" t="str">
        <f t="shared" si="0"/>
        <v/>
      </c>
      <c r="T16" s="4" t="str">
        <f>IF($H16&lt;&gt;"",_xlfn.XLOOKUP(H16,Naturezas!B:B,Naturezas!E:E,"",0,1),"")</f>
        <v/>
      </c>
      <c r="U16" s="4" t="str">
        <f>IF($H16&lt;&gt;"",_xlfn.XLOOKUP($H16,Naturezas!B:B,Naturezas!D:D,"",0,1),"")</f>
        <v/>
      </c>
      <c r="V16" s="5" t="str">
        <f>IF(H16&lt;&gt;"",IF(OR(H16=Naturezas!$B$3,H16=Naturezas!$B$4,H16=Naturezas!$B$5,H16=Naturezas!$B$17,H16=Naturezas!$B$18,H16=Naturezas!$B$19),G16,-G16),"")</f>
        <v/>
      </c>
      <c r="W16" s="4" t="str">
        <f t="shared" si="4"/>
        <v/>
      </c>
      <c r="X16" s="4"/>
      <c r="Y16" s="4" t="str">
        <f t="shared" si="5"/>
        <v/>
      </c>
      <c r="Z16" s="6" t="str">
        <f>IF(H16&lt;&gt;"",Tabela1[[#This Row],[Iniciais]],"")</f>
        <v/>
      </c>
      <c r="AB16" s="6" t="str">
        <f>IF($H16&lt;&gt;"",RIGHT(Tabela1[[#This Row],[Ref.]],2),"")</f>
        <v/>
      </c>
      <c r="AC16" s="37" t="str">
        <f>IF($H16&lt;&gt;"",DATE(LEFT(Tabela1[[#This Row],[Ref.]],4),RIGHT(Tabela1[[#This Row],[Ref.]],2),1),"")</f>
        <v/>
      </c>
      <c r="AD16" s="4" t="str">
        <f t="shared" si="1"/>
        <v/>
      </c>
      <c r="AE16" s="5" t="str">
        <f t="shared" si="2"/>
        <v/>
      </c>
      <c r="AF16" s="4"/>
      <c r="AG16" s="6" t="str">
        <f t="shared" si="3"/>
        <v/>
      </c>
    </row>
    <row r="17" spans="1:35" x14ac:dyDescent="0.2">
      <c r="A17" s="35"/>
      <c r="B17" s="44"/>
      <c r="C17" s="35"/>
      <c r="D17" s="35"/>
      <c r="E17" s="48"/>
      <c r="F17" s="45"/>
      <c r="G17" s="38"/>
      <c r="H17" s="45"/>
      <c r="I17" s="45"/>
      <c r="J17" s="2"/>
      <c r="K17" s="25"/>
      <c r="L17" s="28"/>
      <c r="M17" s="9"/>
      <c r="N17" s="25"/>
      <c r="O17" s="25"/>
      <c r="P17" s="28"/>
      <c r="Q17" s="3"/>
      <c r="R17" s="6" t="str">
        <f>IF($H17&lt;&gt;"",RIGHT(Tabela1[[#This Row],[Ref.]],2),"")</f>
        <v/>
      </c>
      <c r="S17" s="6" t="str">
        <f t="shared" si="0"/>
        <v/>
      </c>
      <c r="T17" s="4" t="str">
        <f>IF($H17&lt;&gt;"",_xlfn.XLOOKUP(H17,Naturezas!B:B,Naturezas!E:E,"",0,1),"")</f>
        <v/>
      </c>
      <c r="U17" s="4" t="str">
        <f>IF($H17&lt;&gt;"",_xlfn.XLOOKUP($H17,Naturezas!B:B,Naturezas!D:D,"",0,1),"")</f>
        <v/>
      </c>
      <c r="V17" s="5" t="str">
        <f>IF(H17&lt;&gt;"",IF(OR(H17=Naturezas!$B$3,H17=Naturezas!$B$4,H17=Naturezas!$B$5,H17=Naturezas!$B$17,H17=Naturezas!$B$18,H17=Naturezas!$B$19),G17,-G17),"")</f>
        <v/>
      </c>
      <c r="W17" s="4" t="str">
        <f t="shared" si="4"/>
        <v/>
      </c>
      <c r="X17" s="4"/>
      <c r="Y17" s="4" t="str">
        <f t="shared" si="5"/>
        <v/>
      </c>
      <c r="Z17" s="6" t="str">
        <f>IF(H17&lt;&gt;"",Tabela1[[#This Row],[Iniciais]],"")</f>
        <v/>
      </c>
      <c r="AB17" s="6" t="str">
        <f>IF($H17&lt;&gt;"",RIGHT(Tabela1[[#This Row],[Ref.]],2),"")</f>
        <v/>
      </c>
      <c r="AC17" s="37" t="str">
        <f>IF($H17&lt;&gt;"",DATE(LEFT(Tabela1[[#This Row],[Ref.]],4),RIGHT(Tabela1[[#This Row],[Ref.]],2),1),"")</f>
        <v/>
      </c>
      <c r="AD17" s="4" t="str">
        <f t="shared" si="1"/>
        <v/>
      </c>
      <c r="AE17" s="5" t="str">
        <f t="shared" si="2"/>
        <v/>
      </c>
      <c r="AF17" s="4"/>
      <c r="AG17" s="6" t="str">
        <f t="shared" si="3"/>
        <v/>
      </c>
      <c r="AH17" s="1"/>
      <c r="AI17" s="1"/>
    </row>
    <row r="18" spans="1:35" x14ac:dyDescent="0.2">
      <c r="A18" s="35"/>
      <c r="B18" s="44"/>
      <c r="C18" s="35"/>
      <c r="D18" s="35"/>
      <c r="E18" s="48"/>
      <c r="F18" s="45"/>
      <c r="G18" s="38"/>
      <c r="H18" s="45"/>
      <c r="I18" s="45"/>
      <c r="J18" s="2"/>
      <c r="K18" s="25"/>
      <c r="L18" s="28"/>
      <c r="M18" s="9"/>
      <c r="N18" s="25"/>
      <c r="O18" s="25"/>
      <c r="P18" s="28"/>
      <c r="Q18" s="3"/>
      <c r="R18" s="6" t="str">
        <f>IF($H18&lt;&gt;"",RIGHT(Tabela1[[#This Row],[Ref.]],2),"")</f>
        <v/>
      </c>
      <c r="S18" s="6" t="str">
        <f t="shared" si="0"/>
        <v/>
      </c>
      <c r="T18" s="4" t="str">
        <f>IF($H18&lt;&gt;"",_xlfn.XLOOKUP(H18,Naturezas!B:B,Naturezas!E:E,"",0,1),"")</f>
        <v/>
      </c>
      <c r="U18" s="4" t="str">
        <f>IF($H18&lt;&gt;"",_xlfn.XLOOKUP($H18,Naturezas!B:B,Naturezas!D:D,"",0,1),"")</f>
        <v/>
      </c>
      <c r="V18" s="5" t="str">
        <f>IF(H18&lt;&gt;"",IF(OR(H18=Naturezas!$B$3,H18=Naturezas!$B$4,H18=Naturezas!$B$5,H18=Naturezas!$B$17,H18=Naturezas!$B$18,H18=Naturezas!$B$19),G18,-G18),"")</f>
        <v/>
      </c>
      <c r="W18" s="4" t="str">
        <f t="shared" si="4"/>
        <v/>
      </c>
      <c r="X18" s="4"/>
      <c r="Y18" s="4" t="str">
        <f t="shared" si="5"/>
        <v/>
      </c>
      <c r="Z18" s="6" t="str">
        <f>IF(H18&lt;&gt;"",Tabela1[[#This Row],[Iniciais]],"")</f>
        <v/>
      </c>
      <c r="AB18" s="6" t="str">
        <f>IF($H18&lt;&gt;"",RIGHT(Tabela1[[#This Row],[Ref.]],2),"")</f>
        <v/>
      </c>
      <c r="AC18" s="37" t="str">
        <f>IF($H18&lt;&gt;"",DATE(LEFT(Tabela1[[#This Row],[Ref.]],4),RIGHT(Tabela1[[#This Row],[Ref.]],2),1),"")</f>
        <v/>
      </c>
      <c r="AD18" s="4" t="str">
        <f t="shared" si="1"/>
        <v/>
      </c>
      <c r="AE18" s="5" t="str">
        <f t="shared" si="2"/>
        <v/>
      </c>
      <c r="AF18" s="4"/>
      <c r="AG18" s="6" t="str">
        <f t="shared" si="3"/>
        <v/>
      </c>
    </row>
    <row r="19" spans="1:35" x14ac:dyDescent="0.2">
      <c r="A19" s="35"/>
      <c r="B19" s="44"/>
      <c r="C19" s="35"/>
      <c r="D19" s="35"/>
      <c r="E19" s="48"/>
      <c r="F19" s="45"/>
      <c r="G19" s="38"/>
      <c r="H19" s="45"/>
      <c r="I19" s="45"/>
      <c r="J19" s="2"/>
      <c r="K19" s="25"/>
      <c r="L19" s="28"/>
      <c r="M19" s="9"/>
      <c r="N19" s="25"/>
      <c r="O19" s="25"/>
      <c r="P19" s="28"/>
      <c r="Q19" s="3"/>
      <c r="R19" s="6" t="str">
        <f>IF($H19&lt;&gt;"",RIGHT(Tabela1[[#This Row],[Ref.]],2),"")</f>
        <v/>
      </c>
      <c r="S19" s="6" t="str">
        <f t="shared" si="0"/>
        <v/>
      </c>
      <c r="T19" s="4" t="str">
        <f>IF($H19&lt;&gt;"",_xlfn.XLOOKUP(H19,Naturezas!B:B,Naturezas!E:E,"",0,1),"")</f>
        <v/>
      </c>
      <c r="U19" s="4" t="str">
        <f>IF($H19&lt;&gt;"",_xlfn.XLOOKUP($H19,Naturezas!B:B,Naturezas!D:D,"",0,1),"")</f>
        <v/>
      </c>
      <c r="V19" s="5" t="str">
        <f>IF(H19&lt;&gt;"",IF(OR(H19=Naturezas!$B$3,H19=Naturezas!$B$4,H19=Naturezas!$B$5,H19=Naturezas!$B$17,H19=Naturezas!$B$18,H19=Naturezas!$B$19),G19,-G19),"")</f>
        <v/>
      </c>
      <c r="W19" s="4" t="str">
        <f t="shared" si="4"/>
        <v/>
      </c>
      <c r="X19" s="4"/>
      <c r="Y19" s="4" t="str">
        <f t="shared" si="5"/>
        <v/>
      </c>
      <c r="Z19" s="6" t="str">
        <f>IF(H19&lt;&gt;"",Tabela1[[#This Row],[Iniciais]],"")</f>
        <v/>
      </c>
      <c r="AB19" s="6" t="str">
        <f>IF($H19&lt;&gt;"",RIGHT(Tabela1[[#This Row],[Ref.]],2),"")</f>
        <v/>
      </c>
      <c r="AC19" s="37" t="str">
        <f>IF($H19&lt;&gt;"",DATE(LEFT(Tabela1[[#This Row],[Ref.]],4),RIGHT(Tabela1[[#This Row],[Ref.]],2),1),"")</f>
        <v/>
      </c>
      <c r="AD19" s="4" t="str">
        <f t="shared" si="1"/>
        <v/>
      </c>
      <c r="AE19" s="5" t="str">
        <f t="shared" si="2"/>
        <v/>
      </c>
      <c r="AF19" s="4"/>
      <c r="AG19" s="6" t="str">
        <f t="shared" si="3"/>
        <v/>
      </c>
    </row>
    <row r="20" spans="1:35" x14ac:dyDescent="0.2">
      <c r="A20" s="35"/>
      <c r="B20" s="44"/>
      <c r="C20" s="35"/>
      <c r="D20" s="35"/>
      <c r="E20" s="48"/>
      <c r="F20" s="45"/>
      <c r="G20" s="38"/>
      <c r="H20" s="45"/>
      <c r="I20" s="45"/>
      <c r="J20" s="2"/>
      <c r="K20" s="25"/>
      <c r="L20" s="28"/>
      <c r="M20" s="9"/>
      <c r="N20" s="25"/>
      <c r="O20" s="25"/>
      <c r="P20" s="28"/>
      <c r="Q20" s="3"/>
      <c r="R20" s="6" t="str">
        <f>IF($H20&lt;&gt;"",RIGHT(Tabela1[[#This Row],[Ref.]],2),"")</f>
        <v/>
      </c>
      <c r="S20" s="6" t="str">
        <f t="shared" si="0"/>
        <v/>
      </c>
      <c r="T20" s="4" t="str">
        <f>IF($H20&lt;&gt;"",_xlfn.XLOOKUP(H20,Naturezas!B:B,Naturezas!E:E,"",0,1),"")</f>
        <v/>
      </c>
      <c r="U20" s="4" t="str">
        <f>IF($H20&lt;&gt;"",_xlfn.XLOOKUP($H20,Naturezas!B:B,Naturezas!D:D,"",0,1),"")</f>
        <v/>
      </c>
      <c r="V20" s="5" t="str">
        <f>IF(H20&lt;&gt;"",IF(OR(H20=Naturezas!$B$3,H20=Naturezas!$B$4,H20=Naturezas!$B$5,H20=Naturezas!$B$17,H20=Naturezas!$B$18,H20=Naturezas!$B$19),G20,-G20),"")</f>
        <v/>
      </c>
      <c r="W20" s="4" t="str">
        <f t="shared" si="4"/>
        <v/>
      </c>
      <c r="X20" s="4"/>
      <c r="Y20" s="4" t="str">
        <f t="shared" si="5"/>
        <v/>
      </c>
      <c r="Z20" s="6" t="str">
        <f>IF(H20&lt;&gt;"",Tabela1[[#This Row],[Iniciais]],"")</f>
        <v/>
      </c>
      <c r="AB20" s="6" t="str">
        <f>IF($H20&lt;&gt;"",RIGHT(Tabela1[[#This Row],[Ref.]],2),"")</f>
        <v/>
      </c>
      <c r="AC20" s="37" t="str">
        <f>IF($H20&lt;&gt;"",DATE(LEFT(Tabela1[[#This Row],[Ref.]],4),RIGHT(Tabela1[[#This Row],[Ref.]],2),1),"")</f>
        <v/>
      </c>
      <c r="AD20" s="4" t="str">
        <f t="shared" si="1"/>
        <v/>
      </c>
      <c r="AE20" s="5" t="str">
        <f t="shared" si="2"/>
        <v/>
      </c>
      <c r="AF20" s="4"/>
      <c r="AG20" s="6" t="str">
        <f t="shared" si="3"/>
        <v/>
      </c>
    </row>
    <row r="21" spans="1:35" x14ac:dyDescent="0.2">
      <c r="A21" s="35"/>
      <c r="B21" s="44"/>
      <c r="C21" s="35"/>
      <c r="D21" s="35"/>
      <c r="E21" s="48"/>
      <c r="F21" s="45"/>
      <c r="G21" s="38"/>
      <c r="H21" s="45"/>
      <c r="I21" s="45"/>
      <c r="J21" s="2"/>
      <c r="K21" s="25"/>
      <c r="L21" s="28"/>
      <c r="M21" s="9"/>
      <c r="N21" s="25"/>
      <c r="O21" s="25"/>
      <c r="P21" s="28"/>
      <c r="Q21" s="3"/>
      <c r="R21" s="6" t="str">
        <f>IF($H21&lt;&gt;"",RIGHT(Tabela1[[#This Row],[Ref.]],2),"")</f>
        <v/>
      </c>
      <c r="S21" s="6" t="str">
        <f t="shared" si="0"/>
        <v/>
      </c>
      <c r="T21" s="4" t="str">
        <f>IF($H21&lt;&gt;"",_xlfn.XLOOKUP(H21,Naturezas!B:B,Naturezas!E:E,"",0,1),"")</f>
        <v/>
      </c>
      <c r="U21" s="4" t="str">
        <f>IF($H21&lt;&gt;"",_xlfn.XLOOKUP($H21,Naturezas!B:B,Naturezas!D:D,"",0,1),"")</f>
        <v/>
      </c>
      <c r="V21" s="5" t="str">
        <f>IF(H21&lt;&gt;"",IF(OR(H21=Naturezas!$B$3,H21=Naturezas!$B$4,H21=Naturezas!$B$5,H21=Naturezas!$B$17,H21=Naturezas!$B$18,H21=Naturezas!$B$19),G21,-G21),"")</f>
        <v/>
      </c>
      <c r="W21" s="4" t="str">
        <f t="shared" si="4"/>
        <v/>
      </c>
      <c r="X21" s="4"/>
      <c r="Y21" s="4" t="str">
        <f t="shared" si="5"/>
        <v/>
      </c>
      <c r="Z21" s="6" t="str">
        <f>IF(H21&lt;&gt;"",Tabela1[[#This Row],[Iniciais]],"")</f>
        <v/>
      </c>
      <c r="AB21" s="6" t="str">
        <f>IF($H21&lt;&gt;"",RIGHT(Tabela1[[#This Row],[Ref.]],2),"")</f>
        <v/>
      </c>
      <c r="AC21" s="37" t="str">
        <f>IF($H21&lt;&gt;"",DATE(LEFT(Tabela1[[#This Row],[Ref.]],4),RIGHT(Tabela1[[#This Row],[Ref.]],2),1),"")</f>
        <v/>
      </c>
      <c r="AD21" s="4" t="str">
        <f t="shared" si="1"/>
        <v/>
      </c>
      <c r="AE21" s="5" t="str">
        <f t="shared" si="2"/>
        <v/>
      </c>
      <c r="AF21" s="4"/>
      <c r="AG21" s="6" t="str">
        <f t="shared" si="3"/>
        <v/>
      </c>
    </row>
    <row r="22" spans="1:35" x14ac:dyDescent="0.2">
      <c r="A22" s="35"/>
      <c r="B22" s="44"/>
      <c r="C22" s="35"/>
      <c r="D22" s="35"/>
      <c r="E22" s="48"/>
      <c r="F22" s="45"/>
      <c r="G22" s="38"/>
      <c r="H22" s="45"/>
      <c r="I22" s="45"/>
      <c r="J22" s="2"/>
      <c r="K22" s="25"/>
      <c r="L22" s="28"/>
      <c r="M22" s="9"/>
      <c r="N22" s="25"/>
      <c r="O22" s="25"/>
      <c r="P22" s="28"/>
      <c r="Q22" s="3"/>
      <c r="R22" s="6" t="str">
        <f>IF($H22&lt;&gt;"",RIGHT(Tabela1[[#This Row],[Ref.]],2),"")</f>
        <v/>
      </c>
      <c r="S22" s="6" t="str">
        <f t="shared" si="0"/>
        <v/>
      </c>
      <c r="T22" s="4" t="str">
        <f>IF($H22&lt;&gt;"",_xlfn.XLOOKUP(H22,Naturezas!B:B,Naturezas!E:E,"",0,1),"")</f>
        <v/>
      </c>
      <c r="U22" s="4" t="str">
        <f>IF($H22&lt;&gt;"",_xlfn.XLOOKUP($H22,Naturezas!B:B,Naturezas!D:D,"",0,1),"")</f>
        <v/>
      </c>
      <c r="V22" s="5" t="str">
        <f>IF(H22&lt;&gt;"",IF(OR(H22=Naturezas!$B$3,H22=Naturezas!$B$4,H22=Naturezas!$B$5,H22=Naturezas!$B$17,H22=Naturezas!$B$18,H22=Naturezas!$B$19),G22,-G22),"")</f>
        <v/>
      </c>
      <c r="W22" s="4" t="str">
        <f t="shared" si="4"/>
        <v/>
      </c>
      <c r="X22" s="4"/>
      <c r="Y22" s="4" t="str">
        <f t="shared" si="5"/>
        <v/>
      </c>
      <c r="Z22" s="6" t="str">
        <f>IF(H22&lt;&gt;"",Tabela1[[#This Row],[Iniciais]],"")</f>
        <v/>
      </c>
      <c r="AB22" s="6" t="str">
        <f>IF($H22&lt;&gt;"",RIGHT(Tabela1[[#This Row],[Ref.]],2),"")</f>
        <v/>
      </c>
      <c r="AC22" s="37" t="str">
        <f>IF($H22&lt;&gt;"",DATE(LEFT(Tabela1[[#This Row],[Ref.]],4),RIGHT(Tabela1[[#This Row],[Ref.]],2),1),"")</f>
        <v/>
      </c>
      <c r="AD22" s="4" t="str">
        <f t="shared" si="1"/>
        <v/>
      </c>
      <c r="AE22" s="5" t="str">
        <f t="shared" si="2"/>
        <v/>
      </c>
      <c r="AF22" s="4"/>
      <c r="AG22" s="6" t="str">
        <f t="shared" si="3"/>
        <v/>
      </c>
    </row>
    <row r="23" spans="1:35" x14ac:dyDescent="0.2">
      <c r="A23" s="35"/>
      <c r="B23" s="44"/>
      <c r="C23" s="35"/>
      <c r="D23" s="35"/>
      <c r="E23" s="48"/>
      <c r="F23" s="45"/>
      <c r="G23" s="38"/>
      <c r="H23" s="45"/>
      <c r="I23" s="45"/>
      <c r="J23" s="2"/>
      <c r="K23" s="25"/>
      <c r="L23" s="30"/>
      <c r="M23" s="9"/>
      <c r="N23" s="25"/>
      <c r="O23" s="25"/>
      <c r="P23" s="28"/>
      <c r="Q23" s="3"/>
      <c r="R23" s="6" t="str">
        <f>IF($H23&lt;&gt;"",RIGHT(Tabela1[[#This Row],[Ref.]],2),"")</f>
        <v/>
      </c>
      <c r="S23" s="6" t="str">
        <f t="shared" si="0"/>
        <v/>
      </c>
      <c r="T23" s="4" t="str">
        <f>IF($H23&lt;&gt;"",_xlfn.XLOOKUP(H23,Naturezas!B:B,Naturezas!E:E,"",0,1),"")</f>
        <v/>
      </c>
      <c r="U23" s="4" t="str">
        <f>IF($H23&lt;&gt;"",_xlfn.XLOOKUP($H23,Naturezas!B:B,Naturezas!D:D,"",0,1),"")</f>
        <v/>
      </c>
      <c r="V23" s="5" t="str">
        <f>IF(H23&lt;&gt;"",IF(OR(H23=Naturezas!$B$3,H23=Naturezas!$B$4,H23=Naturezas!$B$5,H23=Naturezas!$B$17,H23=Naturezas!$B$18,H23=Naturezas!$B$19),G23,-G23),"")</f>
        <v/>
      </c>
      <c r="W23" s="4" t="str">
        <f t="shared" si="4"/>
        <v/>
      </c>
      <c r="X23" s="4"/>
      <c r="Y23" s="4" t="str">
        <f t="shared" si="5"/>
        <v/>
      </c>
      <c r="Z23" s="6" t="str">
        <f>IF(H23&lt;&gt;"",Tabela1[[#This Row],[Iniciais]],"")</f>
        <v/>
      </c>
      <c r="AB23" s="6" t="str">
        <f>IF($H23&lt;&gt;"",RIGHT(Tabela1[[#This Row],[Ref.]],2),"")</f>
        <v/>
      </c>
      <c r="AC23" s="37" t="str">
        <f>IF($H23&lt;&gt;"",DATE(LEFT(Tabela1[[#This Row],[Ref.]],4),RIGHT(Tabela1[[#This Row],[Ref.]],2),1),"")</f>
        <v/>
      </c>
      <c r="AD23" s="4" t="str">
        <f t="shared" si="1"/>
        <v/>
      </c>
      <c r="AE23" s="5" t="str">
        <f t="shared" si="2"/>
        <v/>
      </c>
      <c r="AF23" s="4"/>
      <c r="AG23" s="6" t="str">
        <f t="shared" si="3"/>
        <v/>
      </c>
    </row>
    <row r="24" spans="1:35" x14ac:dyDescent="0.2">
      <c r="A24" s="35"/>
      <c r="B24" s="44"/>
      <c r="C24" s="35"/>
      <c r="D24" s="35"/>
      <c r="E24" s="48"/>
      <c r="F24" s="45"/>
      <c r="G24" s="38"/>
      <c r="H24" s="45"/>
      <c r="I24" s="45"/>
      <c r="J24" s="2"/>
      <c r="K24" s="25"/>
      <c r="L24" s="30"/>
      <c r="M24" s="9"/>
      <c r="N24" s="25"/>
      <c r="O24" s="25"/>
      <c r="P24" s="28"/>
      <c r="Q24" s="3"/>
      <c r="R24" s="6" t="str">
        <f>IF($H24&lt;&gt;"",RIGHT(Tabela1[[#This Row],[Ref.]],2),"")</f>
        <v/>
      </c>
      <c r="S24" s="6" t="str">
        <f t="shared" si="0"/>
        <v/>
      </c>
      <c r="T24" s="4" t="str">
        <f>IF($H24&lt;&gt;"",_xlfn.XLOOKUP(H24,Naturezas!B:B,Naturezas!E:E,"",0,1),"")</f>
        <v/>
      </c>
      <c r="U24" s="4" t="str">
        <f>IF($H24&lt;&gt;"",_xlfn.XLOOKUP($H24,Naturezas!B:B,Naturezas!D:D,"",0,1),"")</f>
        <v/>
      </c>
      <c r="V24" s="5" t="str">
        <f>IF(H24&lt;&gt;"",IF(OR(H24=Naturezas!$B$3,H24=Naturezas!$B$4,H24=Naturezas!$B$5,H24=Naturezas!$B$17,H24=Naturezas!$B$18,H24=Naturezas!$B$19),G24,-G24),"")</f>
        <v/>
      </c>
      <c r="W24" s="4" t="str">
        <f t="shared" si="4"/>
        <v/>
      </c>
      <c r="X24" s="4"/>
      <c r="Y24" s="4" t="str">
        <f t="shared" si="5"/>
        <v/>
      </c>
      <c r="Z24" s="6" t="str">
        <f>IF(H24&lt;&gt;"",Tabela1[[#This Row],[Iniciais]],"")</f>
        <v/>
      </c>
      <c r="AB24" s="6" t="str">
        <f>IF($H24&lt;&gt;"",RIGHT(Tabela1[[#This Row],[Ref.]],2),"")</f>
        <v/>
      </c>
      <c r="AC24" s="37" t="str">
        <f>IF($H24&lt;&gt;"",DATE(LEFT(Tabela1[[#This Row],[Ref.]],4),RIGHT(Tabela1[[#This Row],[Ref.]],2),1),"")</f>
        <v/>
      </c>
      <c r="AD24" s="4" t="str">
        <f t="shared" si="1"/>
        <v/>
      </c>
      <c r="AE24" s="5" t="str">
        <f t="shared" si="2"/>
        <v/>
      </c>
      <c r="AF24" s="4"/>
      <c r="AG24" s="6" t="str">
        <f t="shared" si="3"/>
        <v/>
      </c>
    </row>
    <row r="25" spans="1:35" ht="15.75" customHeight="1" x14ac:dyDescent="0.2">
      <c r="A25" s="35"/>
      <c r="B25" s="44"/>
      <c r="C25" s="35"/>
      <c r="D25" s="35"/>
      <c r="E25" s="48"/>
      <c r="F25" s="45"/>
      <c r="G25" s="38"/>
      <c r="H25" s="45"/>
      <c r="I25" s="45"/>
      <c r="J25" s="2"/>
      <c r="K25" s="25"/>
      <c r="L25" s="30"/>
      <c r="M25" s="9"/>
      <c r="N25" s="25"/>
      <c r="O25" s="25"/>
      <c r="P25" s="28"/>
      <c r="Q25" s="3"/>
      <c r="R25" s="6" t="str">
        <f>IF($H25&lt;&gt;"",RIGHT(Tabela1[[#This Row],[Ref.]],2),"")</f>
        <v/>
      </c>
      <c r="S25" s="6" t="str">
        <f t="shared" si="0"/>
        <v/>
      </c>
      <c r="T25" s="4" t="str">
        <f>IF($H25&lt;&gt;"",_xlfn.XLOOKUP(H25,Naturezas!B:B,Naturezas!E:E,"",0,1),"")</f>
        <v/>
      </c>
      <c r="U25" s="4" t="str">
        <f>IF($H25&lt;&gt;"",_xlfn.XLOOKUP($H25,Naturezas!B:B,Naturezas!D:D,"",0,1),"")</f>
        <v/>
      </c>
      <c r="V25" s="5" t="str">
        <f>IF(H25&lt;&gt;"",IF(OR(H25=Naturezas!$B$3,H25=Naturezas!$B$4,H25=Naturezas!$B$5,H25=Naturezas!$B$17,H25=Naturezas!$B$18,H25=Naturezas!$B$19),G25,-G25),"")</f>
        <v/>
      </c>
      <c r="W25" s="4" t="str">
        <f t="shared" si="4"/>
        <v/>
      </c>
      <c r="X25" s="4"/>
      <c r="Y25" s="4" t="str">
        <f t="shared" si="5"/>
        <v/>
      </c>
      <c r="Z25" s="6" t="str">
        <f>IF(H25&lt;&gt;"",Tabela1[[#This Row],[Iniciais]],"")</f>
        <v/>
      </c>
      <c r="AB25" s="6" t="str">
        <f>IF($H25&lt;&gt;"",RIGHT(Tabela1[[#This Row],[Ref.]],2),"")</f>
        <v/>
      </c>
      <c r="AC25" s="37" t="str">
        <f>IF($H25&lt;&gt;"",DATE(LEFT(Tabela1[[#This Row],[Ref.]],4),RIGHT(Tabela1[[#This Row],[Ref.]],2),1),"")</f>
        <v/>
      </c>
      <c r="AD25" s="4" t="str">
        <f t="shared" si="1"/>
        <v/>
      </c>
      <c r="AE25" s="5" t="str">
        <f t="shared" si="2"/>
        <v/>
      </c>
      <c r="AF25" s="4"/>
      <c r="AG25" s="6" t="str">
        <f t="shared" si="3"/>
        <v/>
      </c>
      <c r="AH25" s="1"/>
      <c r="AI25" s="1"/>
    </row>
    <row r="26" spans="1:35" ht="15.75" customHeight="1" x14ac:dyDescent="0.2">
      <c r="A26" s="35"/>
      <c r="B26" s="44"/>
      <c r="C26" s="35"/>
      <c r="D26" s="35"/>
      <c r="E26" s="48"/>
      <c r="F26" s="45"/>
      <c r="G26" s="38"/>
      <c r="H26" s="45"/>
      <c r="I26" s="45"/>
      <c r="J26" s="2"/>
      <c r="K26" s="25"/>
      <c r="L26" s="30"/>
      <c r="M26" s="9"/>
      <c r="N26" s="25"/>
      <c r="O26" s="25"/>
      <c r="P26" s="28"/>
      <c r="Q26" s="3"/>
      <c r="R26" s="6" t="str">
        <f>IF($H26&lt;&gt;"",RIGHT(Tabela1[[#This Row],[Ref.]],2),"")</f>
        <v/>
      </c>
      <c r="S26" s="6" t="str">
        <f t="shared" si="0"/>
        <v/>
      </c>
      <c r="T26" s="4" t="str">
        <f>IF($H26&lt;&gt;"",_xlfn.XLOOKUP(H26,Naturezas!B:B,Naturezas!E:E,"",0,1),"")</f>
        <v/>
      </c>
      <c r="U26" s="4" t="str">
        <f>IF($H26&lt;&gt;"",_xlfn.XLOOKUP($H26,Naturezas!B:B,Naturezas!D:D,"",0,1),"")</f>
        <v/>
      </c>
      <c r="V26" s="5" t="str">
        <f>IF(H26&lt;&gt;"",IF(OR(H26=Naturezas!$B$3,H26=Naturezas!$B$4,H26=Naturezas!$B$5,H26=Naturezas!$B$17,H26=Naturezas!$B$18,H26=Naturezas!$B$19),G26,-G26),"")</f>
        <v/>
      </c>
      <c r="W26" s="4" t="str">
        <f t="shared" si="4"/>
        <v/>
      </c>
      <c r="X26" s="4"/>
      <c r="Y26" s="4" t="str">
        <f t="shared" si="5"/>
        <v/>
      </c>
      <c r="Z26" s="6" t="str">
        <f>IF(H26&lt;&gt;"",Tabela1[[#This Row],[Iniciais]],"")</f>
        <v/>
      </c>
      <c r="AB26" s="6" t="str">
        <f>IF($H26&lt;&gt;"",RIGHT(Tabela1[[#This Row],[Ref.]],2),"")</f>
        <v/>
      </c>
      <c r="AC26" s="37" t="str">
        <f>IF($H26&lt;&gt;"",DATE(LEFT(Tabela1[[#This Row],[Ref.]],4),RIGHT(Tabela1[[#This Row],[Ref.]],2),1),"")</f>
        <v/>
      </c>
      <c r="AD26" s="4" t="str">
        <f t="shared" si="1"/>
        <v/>
      </c>
      <c r="AE26" s="5" t="str">
        <f t="shared" si="2"/>
        <v/>
      </c>
      <c r="AF26" s="4"/>
      <c r="AG26" s="6" t="str">
        <f t="shared" si="3"/>
        <v/>
      </c>
      <c r="AH26" s="1"/>
      <c r="AI26" s="1"/>
    </row>
    <row r="27" spans="1:35" ht="15.75" customHeight="1" x14ac:dyDescent="0.2">
      <c r="A27" s="35"/>
      <c r="B27" s="44"/>
      <c r="C27" s="35"/>
      <c r="D27" s="35"/>
      <c r="E27" s="48"/>
      <c r="F27" s="45"/>
      <c r="G27" s="38"/>
      <c r="H27" s="45"/>
      <c r="I27" s="45"/>
      <c r="J27" s="2"/>
      <c r="K27" s="25"/>
      <c r="L27" s="30"/>
      <c r="M27" s="9"/>
      <c r="N27" s="25"/>
      <c r="O27" s="25"/>
      <c r="P27" s="28"/>
      <c r="Q27" s="3"/>
      <c r="R27" s="6" t="str">
        <f>IF($H27&lt;&gt;"",RIGHT(Tabela1[[#This Row],[Ref.]],2),"")</f>
        <v/>
      </c>
      <c r="S27" s="6" t="str">
        <f t="shared" si="0"/>
        <v/>
      </c>
      <c r="T27" s="4" t="str">
        <f>IF($H27&lt;&gt;"",_xlfn.XLOOKUP(H27,Naturezas!B:B,Naturezas!E:E,"",0,1),"")</f>
        <v/>
      </c>
      <c r="U27" s="4" t="str">
        <f>IF($H27&lt;&gt;"",_xlfn.XLOOKUP($H27,Naturezas!B:B,Naturezas!D:D,"",0,1),"")</f>
        <v/>
      </c>
      <c r="V27" s="5" t="str">
        <f>IF(H27&lt;&gt;"",IF(OR(H27=Naturezas!$B$3,H27=Naturezas!$B$4,H27=Naturezas!$B$5,H27=Naturezas!$B$17,H27=Naturezas!$B$18,H27=Naturezas!$B$19),G27,-G27),"")</f>
        <v/>
      </c>
      <c r="W27" s="4" t="str">
        <f t="shared" si="4"/>
        <v/>
      </c>
      <c r="X27" s="4"/>
      <c r="Y27" s="4" t="str">
        <f t="shared" si="5"/>
        <v/>
      </c>
      <c r="Z27" s="6" t="str">
        <f>IF(H27&lt;&gt;"",Tabela1[[#This Row],[Iniciais]],"")</f>
        <v/>
      </c>
      <c r="AB27" s="6" t="str">
        <f>IF($H27&lt;&gt;"",RIGHT(Tabela1[[#This Row],[Ref.]],2),"")</f>
        <v/>
      </c>
      <c r="AC27" s="37" t="str">
        <f>IF($H27&lt;&gt;"",DATE(LEFT(Tabela1[[#This Row],[Ref.]],4),RIGHT(Tabela1[[#This Row],[Ref.]],2),1),"")</f>
        <v/>
      </c>
      <c r="AD27" s="4" t="str">
        <f t="shared" si="1"/>
        <v/>
      </c>
      <c r="AE27" s="5" t="str">
        <f t="shared" si="2"/>
        <v/>
      </c>
      <c r="AF27" s="4"/>
      <c r="AG27" s="6" t="str">
        <f t="shared" si="3"/>
        <v/>
      </c>
      <c r="AH27" s="1"/>
      <c r="AI27" s="1"/>
    </row>
    <row r="28" spans="1:35" ht="15.75" customHeight="1" x14ac:dyDescent="0.2">
      <c r="A28" s="35"/>
      <c r="B28" s="44"/>
      <c r="C28" s="35"/>
      <c r="D28" s="35"/>
      <c r="E28" s="48"/>
      <c r="F28" s="45"/>
      <c r="G28" s="38"/>
      <c r="H28" s="45"/>
      <c r="I28" s="45"/>
      <c r="J28" s="2"/>
      <c r="K28" s="25"/>
      <c r="L28" s="30"/>
      <c r="M28" s="9"/>
      <c r="N28" s="25"/>
      <c r="O28" s="25"/>
      <c r="P28" s="28"/>
      <c r="Q28" s="3"/>
      <c r="R28" s="6" t="str">
        <f>IF($H28&lt;&gt;"",RIGHT(Tabela1[[#This Row],[Ref.]],2),"")</f>
        <v/>
      </c>
      <c r="S28" s="6" t="str">
        <f t="shared" si="0"/>
        <v/>
      </c>
      <c r="T28" s="4" t="str">
        <f>IF($H28&lt;&gt;"",_xlfn.XLOOKUP(H28,Naturezas!B:B,Naturezas!E:E,"",0,1),"")</f>
        <v/>
      </c>
      <c r="U28" s="4" t="str">
        <f>IF($H28&lt;&gt;"",_xlfn.XLOOKUP($H28,Naturezas!B:B,Naturezas!D:D,"",0,1),"")</f>
        <v/>
      </c>
      <c r="V28" s="5" t="str">
        <f>IF(H28&lt;&gt;"",IF(OR(H28=Naturezas!$B$3,H28=Naturezas!$B$4,H28=Naturezas!$B$5,H28=Naturezas!$B$17,H28=Naturezas!$B$18,H28=Naturezas!$B$19),G28,-G28),"")</f>
        <v/>
      </c>
      <c r="W28" s="4" t="str">
        <f t="shared" si="4"/>
        <v/>
      </c>
      <c r="X28" s="4"/>
      <c r="Y28" s="4" t="str">
        <f t="shared" si="5"/>
        <v/>
      </c>
      <c r="Z28" s="6" t="str">
        <f>IF(H28&lt;&gt;"",Tabela1[[#This Row],[Iniciais]],"")</f>
        <v/>
      </c>
      <c r="AB28" s="6" t="str">
        <f>IF($H28&lt;&gt;"",RIGHT(Tabela1[[#This Row],[Ref.]],2),"")</f>
        <v/>
      </c>
      <c r="AC28" s="37" t="str">
        <f>IF($H28&lt;&gt;"",DATE(LEFT(Tabela1[[#This Row],[Ref.]],4),RIGHT(Tabela1[[#This Row],[Ref.]],2),1),"")</f>
        <v/>
      </c>
      <c r="AD28" s="4" t="str">
        <f t="shared" si="1"/>
        <v/>
      </c>
      <c r="AE28" s="5" t="str">
        <f t="shared" si="2"/>
        <v/>
      </c>
      <c r="AF28" s="4"/>
      <c r="AG28" s="6" t="str">
        <f t="shared" si="3"/>
        <v/>
      </c>
    </row>
    <row r="29" spans="1:35" ht="15.75" customHeight="1" x14ac:dyDescent="0.2">
      <c r="A29" s="35"/>
      <c r="B29" s="44"/>
      <c r="C29" s="35"/>
      <c r="D29" s="35"/>
      <c r="E29" s="48"/>
      <c r="F29" s="45"/>
      <c r="G29" s="38"/>
      <c r="H29" s="45"/>
      <c r="I29" s="45"/>
      <c r="J29" s="2"/>
      <c r="K29" s="25"/>
      <c r="L29" s="30"/>
      <c r="M29" s="9"/>
      <c r="N29" s="25"/>
      <c r="O29" s="25"/>
      <c r="P29" s="28"/>
      <c r="Q29" s="3"/>
      <c r="R29" s="6" t="str">
        <f>IF($H29&lt;&gt;"",RIGHT(Tabela1[[#This Row],[Ref.]],2),"")</f>
        <v/>
      </c>
      <c r="S29" s="6" t="str">
        <f t="shared" si="0"/>
        <v/>
      </c>
      <c r="T29" s="4" t="str">
        <f>IF($H29&lt;&gt;"",_xlfn.XLOOKUP(H29,Naturezas!B:B,Naturezas!E:E,"",0,1),"")</f>
        <v/>
      </c>
      <c r="U29" s="4" t="str">
        <f>IF($H29&lt;&gt;"",_xlfn.XLOOKUP($H29,Naturezas!B:B,Naturezas!D:D,"",0,1),"")</f>
        <v/>
      </c>
      <c r="V29" s="5" t="str">
        <f>IF(H29&lt;&gt;"",IF(OR(H29=Naturezas!$B$3,H29=Naturezas!$B$4,H29=Naturezas!$B$5,H29=Naturezas!$B$17,H29=Naturezas!$B$18,H29=Naturezas!$B$19),G29,-G29),"")</f>
        <v/>
      </c>
      <c r="W29" s="4" t="str">
        <f t="shared" si="4"/>
        <v/>
      </c>
      <c r="X29" s="4"/>
      <c r="Y29" s="4" t="str">
        <f t="shared" si="5"/>
        <v/>
      </c>
      <c r="Z29" s="6" t="str">
        <f>IF(H29&lt;&gt;"",Tabela1[[#This Row],[Iniciais]],"")</f>
        <v/>
      </c>
      <c r="AB29" s="6" t="str">
        <f>IF($H29&lt;&gt;"",RIGHT(Tabela1[[#This Row],[Ref.]],2),"")</f>
        <v/>
      </c>
      <c r="AC29" s="37" t="str">
        <f>IF($H29&lt;&gt;"",DATE(LEFT(Tabela1[[#This Row],[Ref.]],4),RIGHT(Tabela1[[#This Row],[Ref.]],2),1),"")</f>
        <v/>
      </c>
      <c r="AD29" s="4" t="str">
        <f t="shared" si="1"/>
        <v/>
      </c>
      <c r="AE29" s="5" t="str">
        <f t="shared" si="2"/>
        <v/>
      </c>
      <c r="AF29" s="4"/>
      <c r="AG29" s="6" t="str">
        <f t="shared" si="3"/>
        <v/>
      </c>
    </row>
    <row r="30" spans="1:35" ht="15.75" customHeight="1" x14ac:dyDescent="0.2">
      <c r="A30" s="35"/>
      <c r="B30" s="44"/>
      <c r="C30" s="35"/>
      <c r="D30" s="35"/>
      <c r="E30" s="48"/>
      <c r="F30" s="45"/>
      <c r="G30" s="38"/>
      <c r="H30" s="45"/>
      <c r="I30" s="45"/>
      <c r="J30" s="2"/>
      <c r="K30" s="25"/>
      <c r="L30" s="30"/>
      <c r="M30" s="9"/>
      <c r="N30" s="25"/>
      <c r="O30" s="25"/>
      <c r="P30" s="28"/>
      <c r="Q30" s="3"/>
      <c r="R30" s="6" t="str">
        <f>IF($H30&lt;&gt;"",RIGHT(Tabela1[[#This Row],[Ref.]],2),"")</f>
        <v/>
      </c>
      <c r="S30" s="6" t="str">
        <f t="shared" si="0"/>
        <v/>
      </c>
      <c r="T30" s="4" t="str">
        <f>IF($H30&lt;&gt;"",_xlfn.XLOOKUP(H30,Naturezas!B:B,Naturezas!E:E,"",0,1),"")</f>
        <v/>
      </c>
      <c r="U30" s="4" t="str">
        <f>IF($H30&lt;&gt;"",_xlfn.XLOOKUP($H30,Naturezas!B:B,Naturezas!D:D,"",0,1),"")</f>
        <v/>
      </c>
      <c r="V30" s="5" t="str">
        <f>IF(H30&lt;&gt;"",IF(OR(H30=Naturezas!$B$3,H30=Naturezas!$B$4,H30=Naturezas!$B$5,H30=Naturezas!$B$17,H30=Naturezas!$B$18,H30=Naturezas!$B$19),G30,-G30),"")</f>
        <v/>
      </c>
      <c r="W30" s="4" t="str">
        <f t="shared" si="4"/>
        <v/>
      </c>
      <c r="X30" s="4"/>
      <c r="Y30" s="4" t="str">
        <f t="shared" si="5"/>
        <v/>
      </c>
      <c r="Z30" s="6" t="str">
        <f>IF(H30&lt;&gt;"",Tabela1[[#This Row],[Iniciais]],"")</f>
        <v/>
      </c>
      <c r="AB30" s="6" t="str">
        <f>IF($H30&lt;&gt;"",RIGHT(Tabela1[[#This Row],[Ref.]],2),"")</f>
        <v/>
      </c>
      <c r="AC30" s="37" t="str">
        <f>IF($H30&lt;&gt;"",DATE(LEFT(Tabela1[[#This Row],[Ref.]],4),RIGHT(Tabela1[[#This Row],[Ref.]],2),1),"")</f>
        <v/>
      </c>
      <c r="AD30" s="4" t="str">
        <f t="shared" si="1"/>
        <v/>
      </c>
      <c r="AE30" s="5" t="str">
        <f t="shared" si="2"/>
        <v/>
      </c>
      <c r="AF30" s="4"/>
      <c r="AG30" s="6" t="str">
        <f t="shared" si="3"/>
        <v/>
      </c>
    </row>
    <row r="31" spans="1:35" ht="15.75" customHeight="1" x14ac:dyDescent="0.2">
      <c r="A31" s="35"/>
      <c r="B31" s="44"/>
      <c r="C31" s="35"/>
      <c r="D31" s="35"/>
      <c r="E31" s="48"/>
      <c r="F31" s="45"/>
      <c r="G31" s="38"/>
      <c r="H31" s="45"/>
      <c r="I31" s="45"/>
      <c r="J31" s="2"/>
      <c r="K31" s="25"/>
      <c r="L31" s="30"/>
      <c r="M31" s="9"/>
      <c r="N31" s="25"/>
      <c r="O31" s="25"/>
      <c r="P31" s="28"/>
      <c r="Q31" s="3"/>
      <c r="R31" s="6" t="str">
        <f>IF($H31&lt;&gt;"",RIGHT(Tabela1[[#This Row],[Ref.]],2),"")</f>
        <v/>
      </c>
      <c r="S31" s="6" t="str">
        <f t="shared" si="0"/>
        <v/>
      </c>
      <c r="T31" s="4" t="str">
        <f>IF($H31&lt;&gt;"",_xlfn.XLOOKUP(H31,Naturezas!B:B,Naturezas!E:E,"",0,1),"")</f>
        <v/>
      </c>
      <c r="U31" s="4" t="str">
        <f>IF($H31&lt;&gt;"",_xlfn.XLOOKUP($H31,Naturezas!B:B,Naturezas!D:D,"",0,1),"")</f>
        <v/>
      </c>
      <c r="V31" s="5" t="str">
        <f>IF(H31&lt;&gt;"",IF(OR(H31=Naturezas!$B$3,H31=Naturezas!$B$4,H31=Naturezas!$B$5,H31=Naturezas!$B$17,H31=Naturezas!$B$18,H31=Naturezas!$B$19),G31,-G31),"")</f>
        <v/>
      </c>
      <c r="W31" s="4" t="str">
        <f t="shared" si="4"/>
        <v/>
      </c>
      <c r="X31" s="4"/>
      <c r="Y31" s="4" t="str">
        <f t="shared" si="5"/>
        <v/>
      </c>
      <c r="Z31" s="6" t="str">
        <f>IF(H31&lt;&gt;"",Tabela1[[#This Row],[Iniciais]],"")</f>
        <v/>
      </c>
      <c r="AB31" s="6" t="str">
        <f>IF($H31&lt;&gt;"",RIGHT(Tabela1[[#This Row],[Ref.]],2),"")</f>
        <v/>
      </c>
      <c r="AC31" s="37" t="str">
        <f>IF($H31&lt;&gt;"",DATE(LEFT(Tabela1[[#This Row],[Ref.]],4),RIGHT(Tabela1[[#This Row],[Ref.]],2),1),"")</f>
        <v/>
      </c>
      <c r="AD31" s="4" t="str">
        <f t="shared" si="1"/>
        <v/>
      </c>
      <c r="AE31" s="5" t="str">
        <f t="shared" si="2"/>
        <v/>
      </c>
      <c r="AF31" s="4"/>
      <c r="AG31" s="6" t="str">
        <f t="shared" si="3"/>
        <v/>
      </c>
    </row>
    <row r="32" spans="1:35" ht="15.75" customHeight="1" x14ac:dyDescent="0.2">
      <c r="A32" s="35"/>
      <c r="B32" s="44"/>
      <c r="C32" s="35"/>
      <c r="D32" s="35"/>
      <c r="E32" s="48"/>
      <c r="F32" s="45"/>
      <c r="G32" s="38"/>
      <c r="H32" s="45"/>
      <c r="I32" s="45"/>
      <c r="J32" s="2"/>
      <c r="K32" s="25"/>
      <c r="L32" s="30"/>
      <c r="M32" s="9"/>
      <c r="N32" s="25"/>
      <c r="O32" s="25"/>
      <c r="P32" s="28"/>
      <c r="Q32" s="3"/>
      <c r="R32" s="6" t="str">
        <f>IF($H32&lt;&gt;"",RIGHT(Tabela1[[#This Row],[Ref.]],2),"")</f>
        <v/>
      </c>
      <c r="S32" s="6" t="str">
        <f t="shared" si="0"/>
        <v/>
      </c>
      <c r="T32" s="4" t="str">
        <f>IF($H32&lt;&gt;"",_xlfn.XLOOKUP(H32,Naturezas!B:B,Naturezas!E:E,"",0,1),"")</f>
        <v/>
      </c>
      <c r="U32" s="4" t="str">
        <f>IF($H32&lt;&gt;"",_xlfn.XLOOKUP($H32,Naturezas!B:B,Naturezas!D:D,"",0,1),"")</f>
        <v/>
      </c>
      <c r="V32" s="5" t="str">
        <f>IF(H32&lt;&gt;"",IF(OR(H32=Naturezas!$B$3,H32=Naturezas!$B$4,H32=Naturezas!$B$5,H32=Naturezas!$B$17,H32=Naturezas!$B$18,H32=Naturezas!$B$19),G32,-G32),"")</f>
        <v/>
      </c>
      <c r="W32" s="4" t="str">
        <f t="shared" si="4"/>
        <v/>
      </c>
      <c r="X32" s="4"/>
      <c r="Y32" s="4" t="str">
        <f t="shared" si="5"/>
        <v/>
      </c>
      <c r="Z32" s="6" t="str">
        <f>IF(H32&lt;&gt;"",Tabela1[[#This Row],[Iniciais]],"")</f>
        <v/>
      </c>
      <c r="AB32" s="6" t="str">
        <f>IF($H32&lt;&gt;"",RIGHT(Tabela1[[#This Row],[Ref.]],2),"")</f>
        <v/>
      </c>
      <c r="AC32" s="37" t="str">
        <f>IF($H32&lt;&gt;"",DATE(LEFT(Tabela1[[#This Row],[Ref.]],4),RIGHT(Tabela1[[#This Row],[Ref.]],2),1),"")</f>
        <v/>
      </c>
      <c r="AD32" s="4" t="str">
        <f t="shared" si="1"/>
        <v/>
      </c>
      <c r="AE32" s="5" t="str">
        <f t="shared" si="2"/>
        <v/>
      </c>
      <c r="AF32" s="4"/>
      <c r="AG32" s="6" t="str">
        <f t="shared" si="3"/>
        <v/>
      </c>
    </row>
    <row r="33" spans="1:35" ht="15.75" customHeight="1" x14ac:dyDescent="0.2">
      <c r="A33" s="35"/>
      <c r="B33" s="44"/>
      <c r="C33" s="35"/>
      <c r="D33" s="35"/>
      <c r="E33" s="48"/>
      <c r="F33" s="45"/>
      <c r="G33" s="38"/>
      <c r="H33" s="45"/>
      <c r="I33" s="45"/>
      <c r="J33" s="2"/>
      <c r="K33" s="25"/>
      <c r="L33" s="30"/>
      <c r="M33" s="9"/>
      <c r="N33" s="25"/>
      <c r="O33" s="25"/>
      <c r="P33" s="28"/>
      <c r="Q33" s="3"/>
      <c r="R33" s="6" t="str">
        <f>IF($H33&lt;&gt;"",RIGHT(Tabela1[[#This Row],[Ref.]],2),"")</f>
        <v/>
      </c>
      <c r="S33" s="6" t="str">
        <f t="shared" si="0"/>
        <v/>
      </c>
      <c r="T33" s="4" t="str">
        <f>IF($H33&lt;&gt;"",_xlfn.XLOOKUP(H33,Naturezas!B:B,Naturezas!E:E,"",0,1),"")</f>
        <v/>
      </c>
      <c r="U33" s="4" t="str">
        <f>IF($H33&lt;&gt;"",_xlfn.XLOOKUP($H33,Naturezas!B:B,Naturezas!D:D,"",0,1),"")</f>
        <v/>
      </c>
      <c r="V33" s="5" t="str">
        <f>IF(H33&lt;&gt;"",IF(OR(H33=Naturezas!$B$3,H33=Naturezas!$B$4,H33=Naturezas!$B$5,H33=Naturezas!$B$17,H33=Naturezas!$B$18,H33=Naturezas!$B$19),G33,-G33),"")</f>
        <v/>
      </c>
      <c r="W33" s="4" t="str">
        <f t="shared" si="4"/>
        <v/>
      </c>
      <c r="X33" s="4"/>
      <c r="Y33" s="4" t="str">
        <f t="shared" si="5"/>
        <v/>
      </c>
      <c r="Z33" s="6" t="str">
        <f>IF(H33&lt;&gt;"",Tabela1[[#This Row],[Iniciais]],"")</f>
        <v/>
      </c>
      <c r="AB33" s="6" t="str">
        <f>IF($H33&lt;&gt;"",RIGHT(Tabela1[[#This Row],[Ref.]],2),"")</f>
        <v/>
      </c>
      <c r="AC33" s="37" t="str">
        <f>IF($H33&lt;&gt;"",DATE(LEFT(Tabela1[[#This Row],[Ref.]],4),RIGHT(Tabela1[[#This Row],[Ref.]],2),1),"")</f>
        <v/>
      </c>
      <c r="AD33" s="4" t="str">
        <f t="shared" si="1"/>
        <v/>
      </c>
      <c r="AE33" s="5" t="str">
        <f t="shared" si="2"/>
        <v/>
      </c>
      <c r="AF33" s="4"/>
      <c r="AG33" s="6" t="str">
        <f t="shared" si="3"/>
        <v/>
      </c>
    </row>
    <row r="34" spans="1:35" ht="15.75" customHeight="1" x14ac:dyDescent="0.2">
      <c r="A34" s="35"/>
      <c r="B34" s="44"/>
      <c r="C34" s="35"/>
      <c r="D34" s="35"/>
      <c r="E34" s="48"/>
      <c r="F34" s="45"/>
      <c r="G34" s="38"/>
      <c r="H34" s="45"/>
      <c r="I34" s="45"/>
      <c r="J34" s="2"/>
      <c r="K34" s="25"/>
      <c r="L34" s="30"/>
      <c r="M34" s="9"/>
      <c r="N34" s="25"/>
      <c r="O34" s="25"/>
      <c r="P34" s="28"/>
      <c r="Q34" s="3"/>
      <c r="R34" s="6" t="str">
        <f>IF($H34&lt;&gt;"",RIGHT(Tabela1[[#This Row],[Ref.]],2),"")</f>
        <v/>
      </c>
      <c r="S34" s="6" t="str">
        <f t="shared" si="0"/>
        <v/>
      </c>
      <c r="T34" s="4" t="str">
        <f>IF($H34&lt;&gt;"",_xlfn.XLOOKUP(H34,Naturezas!B:B,Naturezas!E:E,"",0,1),"")</f>
        <v/>
      </c>
      <c r="U34" s="4" t="str">
        <f>IF($H34&lt;&gt;"",_xlfn.XLOOKUP($H34,Naturezas!B:B,Naturezas!D:D,"",0,1),"")</f>
        <v/>
      </c>
      <c r="V34" s="5" t="str">
        <f>IF(H34&lt;&gt;"",IF(OR(H34=Naturezas!$B$3,H34=Naturezas!$B$4,H34=Naturezas!$B$5,H34=Naturezas!$B$17,H34=Naturezas!$B$18,H34=Naturezas!$B$19),G34,-G34),"")</f>
        <v/>
      </c>
      <c r="W34" s="4" t="str">
        <f t="shared" si="4"/>
        <v/>
      </c>
      <c r="X34" s="4"/>
      <c r="Y34" s="4" t="str">
        <f t="shared" si="5"/>
        <v/>
      </c>
      <c r="Z34" s="6" t="str">
        <f>IF(H34&lt;&gt;"",Tabela1[[#This Row],[Iniciais]],"")</f>
        <v/>
      </c>
      <c r="AB34" s="6" t="str">
        <f>IF($H34&lt;&gt;"",RIGHT(Tabela1[[#This Row],[Ref.]],2),"")</f>
        <v/>
      </c>
      <c r="AC34" s="37" t="str">
        <f>IF($H34&lt;&gt;"",DATE(LEFT(Tabela1[[#This Row],[Ref.]],4),RIGHT(Tabela1[[#This Row],[Ref.]],2),1),"")</f>
        <v/>
      </c>
      <c r="AD34" s="4" t="str">
        <f t="shared" si="1"/>
        <v/>
      </c>
      <c r="AE34" s="5" t="str">
        <f t="shared" si="2"/>
        <v/>
      </c>
      <c r="AF34" s="4"/>
      <c r="AG34" s="6" t="str">
        <f t="shared" si="3"/>
        <v/>
      </c>
    </row>
    <row r="35" spans="1:35" ht="15.75" customHeight="1" x14ac:dyDescent="0.2">
      <c r="A35" s="35"/>
      <c r="B35" s="44"/>
      <c r="C35" s="35"/>
      <c r="D35" s="35"/>
      <c r="E35" s="48"/>
      <c r="F35" s="45"/>
      <c r="G35" s="38"/>
      <c r="H35" s="45"/>
      <c r="I35" s="45"/>
      <c r="J35" s="2"/>
      <c r="K35" s="25"/>
      <c r="L35" s="30"/>
      <c r="M35" s="9"/>
      <c r="N35" s="25"/>
      <c r="O35" s="25"/>
      <c r="P35" s="28"/>
      <c r="Q35" s="3"/>
      <c r="R35" s="6" t="str">
        <f>IF($H35&lt;&gt;"",RIGHT(Tabela1[[#This Row],[Ref.]],2),"")</f>
        <v/>
      </c>
      <c r="S35" s="6" t="str">
        <f t="shared" si="0"/>
        <v/>
      </c>
      <c r="T35" s="4" t="str">
        <f>IF($H35&lt;&gt;"",_xlfn.XLOOKUP(H35,Naturezas!B:B,Naturezas!E:E,"",0,1),"")</f>
        <v/>
      </c>
      <c r="U35" s="4" t="str">
        <f>IF($H35&lt;&gt;"",_xlfn.XLOOKUP($H35,Naturezas!B:B,Naturezas!D:D,"",0,1),"")</f>
        <v/>
      </c>
      <c r="V35" s="5" t="str">
        <f>IF(H35&lt;&gt;"",IF(OR(H35=Naturezas!$B$3,H35=Naturezas!$B$4,H35=Naturezas!$B$5,H35=Naturezas!$B$17,H35=Naturezas!$B$18,H35=Naturezas!$B$19),G35,-G35),"")</f>
        <v/>
      </c>
      <c r="W35" s="4" t="str">
        <f t="shared" si="4"/>
        <v/>
      </c>
      <c r="X35" s="4"/>
      <c r="Y35" s="4" t="str">
        <f t="shared" si="5"/>
        <v/>
      </c>
      <c r="Z35" s="6" t="str">
        <f>IF(H35&lt;&gt;"",Tabela1[[#This Row],[Iniciais]],"")</f>
        <v/>
      </c>
      <c r="AB35" s="6" t="str">
        <f>IF($H35&lt;&gt;"",RIGHT(Tabela1[[#This Row],[Ref.]],2),"")</f>
        <v/>
      </c>
      <c r="AC35" s="37" t="str">
        <f>IF($H35&lt;&gt;"",DATE(LEFT(Tabela1[[#This Row],[Ref.]],4),RIGHT(Tabela1[[#This Row],[Ref.]],2),1),"")</f>
        <v/>
      </c>
      <c r="AD35" s="4" t="str">
        <f t="shared" si="1"/>
        <v/>
      </c>
      <c r="AE35" s="5" t="str">
        <f t="shared" si="2"/>
        <v/>
      </c>
      <c r="AF35" s="4"/>
      <c r="AG35" s="6" t="str">
        <f t="shared" si="3"/>
        <v/>
      </c>
    </row>
    <row r="36" spans="1:35" ht="15.75" customHeight="1" x14ac:dyDescent="0.2">
      <c r="A36" s="35"/>
      <c r="B36" s="44"/>
      <c r="C36" s="35"/>
      <c r="D36" s="35"/>
      <c r="E36" s="48"/>
      <c r="F36" s="45"/>
      <c r="G36" s="38"/>
      <c r="H36" s="45"/>
      <c r="I36" s="45"/>
      <c r="J36" s="2"/>
      <c r="K36" s="25"/>
      <c r="L36" s="30"/>
      <c r="M36" s="9"/>
      <c r="N36" s="25"/>
      <c r="O36" s="25"/>
      <c r="P36" s="28"/>
      <c r="Q36" s="3"/>
      <c r="R36" s="6" t="str">
        <f>IF($H36&lt;&gt;"",RIGHT(Tabela1[[#This Row],[Ref.]],2),"")</f>
        <v/>
      </c>
      <c r="S36" s="6" t="str">
        <f t="shared" si="0"/>
        <v/>
      </c>
      <c r="T36" s="4" t="str">
        <f>IF($H36&lt;&gt;"",_xlfn.XLOOKUP(H36,Naturezas!B:B,Naturezas!E:E,"",0,1),"")</f>
        <v/>
      </c>
      <c r="U36" s="4" t="str">
        <f>IF($H36&lt;&gt;"",_xlfn.XLOOKUP($H36,Naturezas!B:B,Naturezas!D:D,"",0,1),"")</f>
        <v/>
      </c>
      <c r="V36" s="5" t="str">
        <f>IF(H36&lt;&gt;"",IF(OR(H36=Naturezas!$B$3,H36=Naturezas!$B$4,H36=Naturezas!$B$5,H36=Naturezas!$B$17,H36=Naturezas!$B$18,H36=Naturezas!$B$19),G36,-G36),"")</f>
        <v/>
      </c>
      <c r="W36" s="4" t="str">
        <f t="shared" si="4"/>
        <v/>
      </c>
      <c r="X36" s="4"/>
      <c r="Y36" s="4" t="str">
        <f t="shared" si="5"/>
        <v/>
      </c>
      <c r="Z36" s="6" t="str">
        <f>IF(H36&lt;&gt;"",Tabela1[[#This Row],[Iniciais]],"")</f>
        <v/>
      </c>
      <c r="AB36" s="6" t="str">
        <f>IF($H36&lt;&gt;"",RIGHT(Tabela1[[#This Row],[Ref.]],2),"")</f>
        <v/>
      </c>
      <c r="AC36" s="37" t="str">
        <f>IF($H36&lt;&gt;"",DATE(LEFT(Tabela1[[#This Row],[Ref.]],4),RIGHT(Tabela1[[#This Row],[Ref.]],2),1),"")</f>
        <v/>
      </c>
      <c r="AD36" s="4" t="str">
        <f t="shared" si="1"/>
        <v/>
      </c>
      <c r="AE36" s="5" t="str">
        <f t="shared" si="2"/>
        <v/>
      </c>
      <c r="AF36" s="4"/>
      <c r="AG36" s="6" t="str">
        <f t="shared" si="3"/>
        <v/>
      </c>
    </row>
    <row r="37" spans="1:35" ht="15.75" customHeight="1" x14ac:dyDescent="0.2">
      <c r="A37" s="35"/>
      <c r="B37" s="44"/>
      <c r="C37" s="35"/>
      <c r="D37" s="35"/>
      <c r="E37" s="48"/>
      <c r="F37" s="45"/>
      <c r="G37" s="38"/>
      <c r="H37" s="45"/>
      <c r="I37" s="45"/>
      <c r="J37" s="2"/>
      <c r="K37" s="25"/>
      <c r="L37" s="30"/>
      <c r="M37" s="9"/>
      <c r="N37" s="25"/>
      <c r="O37" s="25"/>
      <c r="P37" s="28"/>
      <c r="Q37" s="3"/>
      <c r="R37" s="6" t="str">
        <f>IF($H37&lt;&gt;"",RIGHT(Tabela1[[#This Row],[Ref.]],2),"")</f>
        <v/>
      </c>
      <c r="S37" s="6" t="str">
        <f t="shared" si="0"/>
        <v/>
      </c>
      <c r="T37" s="4" t="str">
        <f>IF($H37&lt;&gt;"",_xlfn.XLOOKUP(H37,Naturezas!B:B,Naturezas!E:E,"",0,1),"")</f>
        <v/>
      </c>
      <c r="U37" s="4" t="str">
        <f>IF($H37&lt;&gt;"",_xlfn.XLOOKUP($H37,Naturezas!B:B,Naturezas!D:D,"",0,1),"")</f>
        <v/>
      </c>
      <c r="V37" s="5" t="str">
        <f>IF(H37&lt;&gt;"",IF(OR(H37=Naturezas!$B$3,H37=Naturezas!$B$4,H37=Naturezas!$B$5,H37=Naturezas!$B$17,H37=Naturezas!$B$18,H37=Naturezas!$B$19),G37,-G37),"")</f>
        <v/>
      </c>
      <c r="W37" s="4" t="str">
        <f t="shared" si="4"/>
        <v/>
      </c>
      <c r="X37" s="4"/>
      <c r="Y37" s="4" t="str">
        <f t="shared" si="5"/>
        <v/>
      </c>
      <c r="Z37" s="6" t="str">
        <f>IF(H37&lt;&gt;"",Tabela1[[#This Row],[Iniciais]],"")</f>
        <v/>
      </c>
      <c r="AB37" s="6" t="str">
        <f>IF($H37&lt;&gt;"",RIGHT(Tabela1[[#This Row],[Ref.]],2),"")</f>
        <v/>
      </c>
      <c r="AC37" s="37" t="str">
        <f>IF($H37&lt;&gt;"",DATE(LEFT(Tabela1[[#This Row],[Ref.]],4),RIGHT(Tabela1[[#This Row],[Ref.]],2),1),"")</f>
        <v/>
      </c>
      <c r="AD37" s="4" t="str">
        <f t="shared" si="1"/>
        <v/>
      </c>
      <c r="AE37" s="5" t="str">
        <f t="shared" si="2"/>
        <v/>
      </c>
      <c r="AF37" s="4"/>
      <c r="AG37" s="6" t="str">
        <f t="shared" si="3"/>
        <v/>
      </c>
    </row>
    <row r="38" spans="1:35" ht="15.75" customHeight="1" x14ac:dyDescent="0.2">
      <c r="A38" s="35"/>
      <c r="B38" s="44"/>
      <c r="C38" s="35"/>
      <c r="D38" s="35"/>
      <c r="E38" s="48"/>
      <c r="F38" s="45"/>
      <c r="G38" s="38"/>
      <c r="H38" s="45"/>
      <c r="I38" s="45"/>
      <c r="J38" s="2"/>
      <c r="K38" s="23"/>
      <c r="L38" s="30"/>
      <c r="M38" s="9"/>
      <c r="N38" s="25"/>
      <c r="O38" s="25"/>
      <c r="P38" s="28"/>
      <c r="Q38" s="3"/>
      <c r="R38" s="6" t="str">
        <f>IF($H38&lt;&gt;"",RIGHT(Tabela1[[#This Row],[Ref.]],2),"")</f>
        <v/>
      </c>
      <c r="S38" s="6" t="str">
        <f t="shared" si="0"/>
        <v/>
      </c>
      <c r="T38" s="4" t="str">
        <f>IF($H38&lt;&gt;"",_xlfn.XLOOKUP(H38,Naturezas!B:B,Naturezas!E:E,"",0,1),"")</f>
        <v/>
      </c>
      <c r="U38" s="4" t="str">
        <f>IF($H38&lt;&gt;"",_xlfn.XLOOKUP($H38,Naturezas!B:B,Naturezas!D:D,"",0,1),"")</f>
        <v/>
      </c>
      <c r="V38" s="5" t="str">
        <f>IF(H38&lt;&gt;"",IF(OR(H38=Naturezas!$B$3,H38=Naturezas!$B$4,H38=Naturezas!$B$5,H38=Naturezas!$B$17,H38=Naturezas!$B$18,H38=Naturezas!$B$19),G38,-G38),"")</f>
        <v/>
      </c>
      <c r="W38" s="4" t="str">
        <f t="shared" si="4"/>
        <v/>
      </c>
      <c r="X38" s="4"/>
      <c r="Y38" s="4" t="str">
        <f t="shared" si="5"/>
        <v/>
      </c>
      <c r="Z38" s="6" t="str">
        <f>IF(H38&lt;&gt;"",Tabela1[[#This Row],[Iniciais]],"")</f>
        <v/>
      </c>
      <c r="AB38" s="6" t="str">
        <f>IF($H38&lt;&gt;"",RIGHT(Tabela1[[#This Row],[Ref.]],2),"")</f>
        <v/>
      </c>
      <c r="AC38" s="37" t="str">
        <f>IF($H38&lt;&gt;"",DATE(LEFT(Tabela1[[#This Row],[Ref.]],4),RIGHT(Tabela1[[#This Row],[Ref.]],2),1),"")</f>
        <v/>
      </c>
      <c r="AD38" s="4" t="str">
        <f t="shared" si="1"/>
        <v/>
      </c>
      <c r="AE38" s="5" t="str">
        <f t="shared" si="2"/>
        <v/>
      </c>
      <c r="AF38" s="4"/>
      <c r="AG38" s="6" t="str">
        <f t="shared" si="3"/>
        <v/>
      </c>
    </row>
    <row r="39" spans="1:35" ht="15.75" customHeight="1" x14ac:dyDescent="0.2">
      <c r="A39" s="35"/>
      <c r="B39" s="44"/>
      <c r="C39" s="35"/>
      <c r="D39" s="35"/>
      <c r="E39" s="48"/>
      <c r="F39" s="45"/>
      <c r="G39" s="38"/>
      <c r="H39" s="45"/>
      <c r="I39" s="45"/>
      <c r="J39" s="2"/>
      <c r="K39" s="2"/>
      <c r="L39" s="20"/>
      <c r="M39" s="9"/>
      <c r="N39" s="25"/>
      <c r="O39" s="25"/>
      <c r="P39" s="28"/>
      <c r="Q39" s="3"/>
      <c r="R39" s="6" t="str">
        <f>IF($H39&lt;&gt;"",RIGHT(Tabela1[[#This Row],[Ref.]],2),"")</f>
        <v/>
      </c>
      <c r="S39" s="6" t="str">
        <f t="shared" si="0"/>
        <v/>
      </c>
      <c r="T39" s="4" t="str">
        <f>IF($H39&lt;&gt;"",_xlfn.XLOOKUP(H39,Naturezas!B:B,Naturezas!E:E,"",0,1),"")</f>
        <v/>
      </c>
      <c r="U39" s="4" t="str">
        <f>IF($H39&lt;&gt;"",_xlfn.XLOOKUP($H39,Naturezas!B:B,Naturezas!D:D,"",0,1),"")</f>
        <v/>
      </c>
      <c r="V39" s="5" t="str">
        <f>IF(H39&lt;&gt;"",IF(OR(H39=Naturezas!$B$3,H39=Naturezas!$B$4,H39=Naturezas!$B$5,H39=Naturezas!$B$17,H39=Naturezas!$B$18,H39=Naturezas!$B$19),G39,-G39),"")</f>
        <v/>
      </c>
      <c r="W39" s="4" t="str">
        <f t="shared" si="4"/>
        <v/>
      </c>
      <c r="X39" s="4"/>
      <c r="Y39" s="4" t="str">
        <f t="shared" si="5"/>
        <v/>
      </c>
      <c r="Z39" s="6" t="str">
        <f>IF(H39&lt;&gt;"",Tabela1[[#This Row],[Iniciais]],"")</f>
        <v/>
      </c>
      <c r="AA39" s="3"/>
      <c r="AB39" s="6" t="str">
        <f>IF($H39&lt;&gt;"",RIGHT(Tabela1[[#This Row],[Ref.]],2),"")</f>
        <v/>
      </c>
      <c r="AC39" s="37" t="str">
        <f>IF($H39&lt;&gt;"",DATE(LEFT(Tabela1[[#This Row],[Ref.]],4),RIGHT(Tabela1[[#This Row],[Ref.]],2),1),"")</f>
        <v/>
      </c>
      <c r="AD39" s="4" t="str">
        <f t="shared" si="1"/>
        <v/>
      </c>
      <c r="AE39" s="5" t="str">
        <f t="shared" si="2"/>
        <v/>
      </c>
      <c r="AF39" s="4"/>
      <c r="AG39" s="6" t="str">
        <f t="shared" si="3"/>
        <v/>
      </c>
    </row>
    <row r="40" spans="1:35" ht="15.75" customHeight="1" x14ac:dyDescent="0.2">
      <c r="A40" s="35"/>
      <c r="B40" s="44"/>
      <c r="C40" s="35"/>
      <c r="D40" s="35"/>
      <c r="E40" s="48"/>
      <c r="F40" s="45"/>
      <c r="G40" s="38"/>
      <c r="H40" s="45"/>
      <c r="I40" s="45"/>
      <c r="J40" s="2"/>
      <c r="K40" s="2"/>
      <c r="L40" s="20"/>
      <c r="M40" s="9"/>
      <c r="N40" s="25"/>
      <c r="O40" s="25"/>
      <c r="P40" s="28"/>
      <c r="Q40" s="3"/>
      <c r="R40" s="6" t="str">
        <f>IF($H40&lt;&gt;"",RIGHT(Tabela1[[#This Row],[Ref.]],2),"")</f>
        <v/>
      </c>
      <c r="S40" s="6" t="str">
        <f t="shared" si="0"/>
        <v/>
      </c>
      <c r="T40" s="4" t="str">
        <f>IF($H40&lt;&gt;"",_xlfn.XLOOKUP(H40,Naturezas!B:B,Naturezas!E:E,"",0,1),"")</f>
        <v/>
      </c>
      <c r="U40" s="4" t="str">
        <f>IF($H40&lt;&gt;"",_xlfn.XLOOKUP($H40,Naturezas!B:B,Naturezas!D:D,"",0,1),"")</f>
        <v/>
      </c>
      <c r="V40" s="5" t="str">
        <f>IF(H40&lt;&gt;"",IF(OR(H40=Naturezas!$B$3,H40=Naturezas!$B$4,H40=Naturezas!$B$5,H40=Naturezas!$B$17,H40=Naturezas!$B$18,H40=Naturezas!$B$19),G40,-G40),"")</f>
        <v/>
      </c>
      <c r="W40" s="4" t="str">
        <f t="shared" si="4"/>
        <v/>
      </c>
      <c r="X40" s="4"/>
      <c r="Y40" s="4" t="str">
        <f t="shared" si="5"/>
        <v/>
      </c>
      <c r="Z40" s="6" t="str">
        <f>IF(H40&lt;&gt;"",Tabela1[[#This Row],[Iniciais]],"")</f>
        <v/>
      </c>
      <c r="AA40" s="3"/>
      <c r="AB40" s="6" t="str">
        <f>IF($H40&lt;&gt;"",RIGHT(Tabela1[[#This Row],[Ref.]],2),"")</f>
        <v/>
      </c>
      <c r="AC40" s="37" t="str">
        <f>IF($H40&lt;&gt;"",DATE(LEFT(Tabela1[[#This Row],[Ref.]],4),RIGHT(Tabela1[[#This Row],[Ref.]],2),1),"")</f>
        <v/>
      </c>
      <c r="AD40" s="4" t="str">
        <f t="shared" si="1"/>
        <v/>
      </c>
      <c r="AE40" s="5" t="str">
        <f t="shared" si="2"/>
        <v/>
      </c>
      <c r="AF40" s="4"/>
      <c r="AG40" s="6" t="str">
        <f t="shared" si="3"/>
        <v/>
      </c>
    </row>
    <row r="41" spans="1:35" ht="15.75" customHeight="1" x14ac:dyDescent="0.2">
      <c r="A41" s="35"/>
      <c r="B41" s="44"/>
      <c r="C41" s="35"/>
      <c r="D41" s="35"/>
      <c r="E41" s="48"/>
      <c r="F41" s="45"/>
      <c r="G41" s="38"/>
      <c r="H41" s="45"/>
      <c r="I41" s="45"/>
      <c r="J41" s="2"/>
      <c r="K41" s="2"/>
      <c r="L41" s="20"/>
      <c r="M41" s="9"/>
      <c r="N41" s="25"/>
      <c r="O41" s="25"/>
      <c r="P41" s="28"/>
      <c r="Q41" s="3"/>
      <c r="R41" s="6" t="str">
        <f>IF($H41&lt;&gt;"",RIGHT(Tabela1[[#This Row],[Ref.]],2),"")</f>
        <v/>
      </c>
      <c r="S41" s="6" t="str">
        <f t="shared" si="0"/>
        <v/>
      </c>
      <c r="T41" s="4" t="str">
        <f>IF($H41&lt;&gt;"",_xlfn.XLOOKUP(H41,Naturezas!B:B,Naturezas!E:E,"",0,1),"")</f>
        <v/>
      </c>
      <c r="U41" s="4" t="str">
        <f>IF($H41&lt;&gt;"",_xlfn.XLOOKUP($H41,Naturezas!B:B,Naturezas!D:D,"",0,1),"")</f>
        <v/>
      </c>
      <c r="V41" s="5" t="str">
        <f>IF(H41&lt;&gt;"",IF(OR(H41=Naturezas!$B$3,H41=Naturezas!$B$4,H41=Naturezas!$B$5,H41=Naturezas!$B$17,H41=Naturezas!$B$18,H41=Naturezas!$B$19),G41,-G41),"")</f>
        <v/>
      </c>
      <c r="W41" s="4" t="str">
        <f t="shared" si="4"/>
        <v/>
      </c>
      <c r="X41" s="4"/>
      <c r="Y41" s="4" t="str">
        <f t="shared" si="5"/>
        <v/>
      </c>
      <c r="Z41" s="6" t="str">
        <f>IF(H41&lt;&gt;"",Tabela1[[#This Row],[Iniciais]],"")</f>
        <v/>
      </c>
      <c r="AA41" s="3"/>
      <c r="AB41" s="6" t="str">
        <f>IF($H41&lt;&gt;"",RIGHT(Tabela1[[#This Row],[Ref.]],2),"")</f>
        <v/>
      </c>
      <c r="AC41" s="37" t="str">
        <f>IF($H41&lt;&gt;"",DATE(LEFT(Tabela1[[#This Row],[Ref.]],4),RIGHT(Tabela1[[#This Row],[Ref.]],2),1),"")</f>
        <v/>
      </c>
      <c r="AD41" s="4" t="str">
        <f t="shared" si="1"/>
        <v/>
      </c>
      <c r="AE41" s="5" t="str">
        <f t="shared" si="2"/>
        <v/>
      </c>
      <c r="AF41" s="4"/>
      <c r="AG41" s="6" t="str">
        <f t="shared" si="3"/>
        <v/>
      </c>
    </row>
    <row r="42" spans="1:35" ht="15.75" customHeight="1" x14ac:dyDescent="0.2">
      <c r="A42" s="35"/>
      <c r="B42" s="44"/>
      <c r="C42" s="35"/>
      <c r="D42" s="35"/>
      <c r="E42" s="48"/>
      <c r="F42" s="45"/>
      <c r="G42" s="38"/>
      <c r="H42" s="45"/>
      <c r="I42" s="45"/>
      <c r="J42" s="2"/>
      <c r="K42" s="2"/>
      <c r="L42" s="20"/>
      <c r="M42" s="9"/>
      <c r="N42" s="25"/>
      <c r="O42" s="25"/>
      <c r="P42" s="28"/>
      <c r="Q42" s="3"/>
      <c r="R42" s="6" t="str">
        <f>IF($H42&lt;&gt;"",RIGHT(Tabela1[[#This Row],[Ref.]],2),"")</f>
        <v/>
      </c>
      <c r="S42" s="6" t="str">
        <f t="shared" si="0"/>
        <v/>
      </c>
      <c r="T42" s="4" t="str">
        <f>IF($H42&lt;&gt;"",_xlfn.XLOOKUP(H42,Naturezas!B:B,Naturezas!E:E,"",0,1),"")</f>
        <v/>
      </c>
      <c r="U42" s="4" t="str">
        <f>IF($H42&lt;&gt;"",_xlfn.XLOOKUP($H42,Naturezas!B:B,Naturezas!D:D,"",0,1),"")</f>
        <v/>
      </c>
      <c r="V42" s="5" t="str">
        <f>IF(H42&lt;&gt;"",IF(OR(H42=Naturezas!$B$3,H42=Naturezas!$B$4,H42=Naturezas!$B$5,H42=Naturezas!$B$17,H42=Naturezas!$B$18,H42=Naturezas!$B$19),G42,-G42),"")</f>
        <v/>
      </c>
      <c r="W42" s="4" t="str">
        <f t="shared" si="4"/>
        <v/>
      </c>
      <c r="X42" s="4"/>
      <c r="Y42" s="4" t="str">
        <f t="shared" si="5"/>
        <v/>
      </c>
      <c r="Z42" s="6" t="str">
        <f>IF(H42&lt;&gt;"",Tabela1[[#This Row],[Iniciais]],"")</f>
        <v/>
      </c>
      <c r="AA42" s="3"/>
      <c r="AB42" s="6" t="str">
        <f>IF($H42&lt;&gt;"",RIGHT(Tabela1[[#This Row],[Ref.]],2),"")</f>
        <v/>
      </c>
      <c r="AC42" s="37" t="str">
        <f>IF($H42&lt;&gt;"",DATE(LEFT(Tabela1[[#This Row],[Ref.]],4),RIGHT(Tabela1[[#This Row],[Ref.]],2),1),"")</f>
        <v/>
      </c>
      <c r="AD42" s="4" t="str">
        <f t="shared" si="1"/>
        <v/>
      </c>
      <c r="AE42" s="5" t="str">
        <f t="shared" si="2"/>
        <v/>
      </c>
      <c r="AF42" s="4"/>
      <c r="AG42" s="6" t="str">
        <f t="shared" si="3"/>
        <v/>
      </c>
    </row>
    <row r="43" spans="1:35" ht="15.75" customHeight="1" x14ac:dyDescent="0.2">
      <c r="A43" s="35"/>
      <c r="B43" s="44"/>
      <c r="C43" s="35"/>
      <c r="D43" s="35"/>
      <c r="E43" s="48"/>
      <c r="F43" s="45"/>
      <c r="G43" s="38"/>
      <c r="H43" s="45"/>
      <c r="I43" s="45"/>
      <c r="J43" s="2"/>
      <c r="K43" s="2"/>
      <c r="L43" s="20"/>
      <c r="M43" s="9"/>
      <c r="N43" s="25"/>
      <c r="O43" s="25"/>
      <c r="P43" s="28"/>
      <c r="Q43" s="3"/>
      <c r="R43" s="6" t="str">
        <f>IF($H43&lt;&gt;"",RIGHT(Tabela1[[#This Row],[Ref.]],2),"")</f>
        <v/>
      </c>
      <c r="S43" s="6" t="str">
        <f t="shared" si="0"/>
        <v/>
      </c>
      <c r="T43" s="4" t="str">
        <f>IF($H43&lt;&gt;"",_xlfn.XLOOKUP(H43,Naturezas!B:B,Naturezas!E:E,"",0,1),"")</f>
        <v/>
      </c>
      <c r="U43" s="4" t="str">
        <f>IF($H43&lt;&gt;"",_xlfn.XLOOKUP($H43,Naturezas!B:B,Naturezas!D:D,"",0,1),"")</f>
        <v/>
      </c>
      <c r="V43" s="5" t="str">
        <f>IF(H43&lt;&gt;"",IF(OR(H43=Naturezas!$B$3,H43=Naturezas!$B$4,H43=Naturezas!$B$5,H43=Naturezas!$B$17,H43=Naturezas!$B$18,H43=Naturezas!$B$19),G43,-G43),"")</f>
        <v/>
      </c>
      <c r="W43" s="4" t="str">
        <f t="shared" si="4"/>
        <v/>
      </c>
      <c r="X43" s="4"/>
      <c r="Y43" s="4" t="str">
        <f t="shared" si="5"/>
        <v/>
      </c>
      <c r="Z43" s="6" t="str">
        <f>IF(H43&lt;&gt;"",Tabela1[[#This Row],[Iniciais]],"")</f>
        <v/>
      </c>
      <c r="AA43" s="3"/>
      <c r="AB43" s="6" t="str">
        <f>IF($H43&lt;&gt;"",RIGHT(Tabela1[[#This Row],[Ref.]],2),"")</f>
        <v/>
      </c>
      <c r="AC43" s="37" t="str">
        <f>IF($H43&lt;&gt;"",DATE(LEFT(Tabela1[[#This Row],[Ref.]],4),RIGHT(Tabela1[[#This Row],[Ref.]],2),1),"")</f>
        <v/>
      </c>
      <c r="AD43" s="4" t="str">
        <f t="shared" si="1"/>
        <v/>
      </c>
      <c r="AE43" s="5" t="str">
        <f t="shared" si="2"/>
        <v/>
      </c>
      <c r="AF43" s="4"/>
      <c r="AG43" s="6" t="str">
        <f t="shared" si="3"/>
        <v/>
      </c>
    </row>
    <row r="44" spans="1:35" ht="15.75" customHeight="1" x14ac:dyDescent="0.2">
      <c r="A44" s="35"/>
      <c r="B44" s="44"/>
      <c r="C44" s="35"/>
      <c r="D44" s="35"/>
      <c r="E44" s="48"/>
      <c r="F44" s="45"/>
      <c r="G44" s="38"/>
      <c r="H44" s="45"/>
      <c r="I44" s="45"/>
      <c r="J44" s="2"/>
      <c r="K44" s="2"/>
      <c r="L44" s="20"/>
      <c r="M44" s="9"/>
      <c r="N44" s="25"/>
      <c r="O44" s="25"/>
      <c r="P44" s="28"/>
      <c r="Q44" s="3"/>
      <c r="R44" s="6" t="str">
        <f>IF($H44&lt;&gt;"",RIGHT(Tabela1[[#This Row],[Ref.]],2),"")</f>
        <v/>
      </c>
      <c r="S44" s="6" t="str">
        <f t="shared" si="0"/>
        <v/>
      </c>
      <c r="T44" s="4" t="str">
        <f>IF($H44&lt;&gt;"",_xlfn.XLOOKUP(H44,Naturezas!B:B,Naturezas!E:E,"",0,1),"")</f>
        <v/>
      </c>
      <c r="U44" s="4" t="str">
        <f>IF($H44&lt;&gt;"",_xlfn.XLOOKUP($H44,Naturezas!B:B,Naturezas!D:D,"",0,1),"")</f>
        <v/>
      </c>
      <c r="V44" s="5" t="str">
        <f>IF(H44&lt;&gt;"",IF(OR(H44=Naturezas!$B$3,H44=Naturezas!$B$4,H44=Naturezas!$B$5,H44=Naturezas!$B$17,H44=Naturezas!$B$18,H44=Naturezas!$B$19),G44,-G44),"")</f>
        <v/>
      </c>
      <c r="W44" s="4" t="str">
        <f t="shared" si="4"/>
        <v/>
      </c>
      <c r="X44" s="4"/>
      <c r="Y44" s="4" t="str">
        <f t="shared" si="5"/>
        <v/>
      </c>
      <c r="Z44" s="6" t="str">
        <f>IF(H44&lt;&gt;"",Tabela1[[#This Row],[Iniciais]],"")</f>
        <v/>
      </c>
      <c r="AA44" s="3"/>
      <c r="AB44" s="6" t="str">
        <f>IF($H44&lt;&gt;"",RIGHT(Tabela1[[#This Row],[Ref.]],2),"")</f>
        <v/>
      </c>
      <c r="AC44" s="37" t="str">
        <f>IF($H44&lt;&gt;"",DATE(LEFT(Tabela1[[#This Row],[Ref.]],4),RIGHT(Tabela1[[#This Row],[Ref.]],2),1),"")</f>
        <v/>
      </c>
      <c r="AD44" s="4" t="str">
        <f t="shared" si="1"/>
        <v/>
      </c>
      <c r="AE44" s="5" t="str">
        <f t="shared" si="2"/>
        <v/>
      </c>
      <c r="AF44" s="4"/>
      <c r="AG44" s="6" t="str">
        <f t="shared" si="3"/>
        <v/>
      </c>
    </row>
    <row r="45" spans="1:35" ht="15.75" customHeight="1" x14ac:dyDescent="0.2">
      <c r="A45" s="35"/>
      <c r="B45" s="44"/>
      <c r="C45" s="35"/>
      <c r="D45" s="35"/>
      <c r="E45" s="48"/>
      <c r="F45" s="45"/>
      <c r="G45" s="38"/>
      <c r="H45" s="45"/>
      <c r="I45" s="45"/>
      <c r="J45" s="2"/>
      <c r="K45" s="2"/>
      <c r="L45" s="20"/>
      <c r="M45" s="9"/>
      <c r="N45" s="25"/>
      <c r="O45" s="25"/>
      <c r="P45" s="28"/>
      <c r="Q45" s="3"/>
      <c r="R45" s="6" t="str">
        <f>IF($H45&lt;&gt;"",RIGHT(Tabela1[[#This Row],[Ref.]],2),"")</f>
        <v/>
      </c>
      <c r="S45" s="6" t="str">
        <f t="shared" si="0"/>
        <v/>
      </c>
      <c r="T45" s="4" t="str">
        <f>IF($H45&lt;&gt;"",_xlfn.XLOOKUP(H45,Naturezas!B:B,Naturezas!E:E,"",0,1),"")</f>
        <v/>
      </c>
      <c r="U45" s="4" t="str">
        <f>IF($H45&lt;&gt;"",_xlfn.XLOOKUP($H45,Naturezas!B:B,Naturezas!D:D,"",0,1),"")</f>
        <v/>
      </c>
      <c r="V45" s="5" t="str">
        <f>IF(H45&lt;&gt;"",IF(OR(H45=Naturezas!$B$3,H45=Naturezas!$B$4,H45=Naturezas!$B$5,H45=Naturezas!$B$17,H45=Naturezas!$B$18,H45=Naturezas!$B$19),G45,-G45),"")</f>
        <v/>
      </c>
      <c r="W45" s="4" t="str">
        <f t="shared" si="4"/>
        <v/>
      </c>
      <c r="X45" s="4"/>
      <c r="Y45" s="4" t="str">
        <f t="shared" si="5"/>
        <v/>
      </c>
      <c r="Z45" s="6" t="str">
        <f>IF(H45&lt;&gt;"",Tabela1[[#This Row],[Iniciais]],"")</f>
        <v/>
      </c>
      <c r="AA45" s="3"/>
      <c r="AB45" s="6" t="str">
        <f>IF($H45&lt;&gt;"",RIGHT(Tabela1[[#This Row],[Ref.]],2),"")</f>
        <v/>
      </c>
      <c r="AC45" s="37" t="str">
        <f>IF($H45&lt;&gt;"",DATE(LEFT(Tabela1[[#This Row],[Ref.]],4),RIGHT(Tabela1[[#This Row],[Ref.]],2),1),"")</f>
        <v/>
      </c>
      <c r="AD45" s="4" t="str">
        <f t="shared" si="1"/>
        <v/>
      </c>
      <c r="AE45" s="5" t="str">
        <f t="shared" si="2"/>
        <v/>
      </c>
      <c r="AF45" s="4"/>
      <c r="AG45" s="6" t="str">
        <f t="shared" si="3"/>
        <v/>
      </c>
    </row>
    <row r="46" spans="1:35" ht="15.75" customHeight="1" x14ac:dyDescent="0.2">
      <c r="A46" s="35"/>
      <c r="B46" s="44"/>
      <c r="C46" s="35"/>
      <c r="D46" s="35"/>
      <c r="E46" s="48"/>
      <c r="F46" s="45"/>
      <c r="G46" s="38"/>
      <c r="H46" s="45"/>
      <c r="I46" s="45"/>
      <c r="J46" s="2"/>
      <c r="K46" s="2"/>
      <c r="L46" s="20"/>
      <c r="M46" s="9"/>
      <c r="N46" s="25"/>
      <c r="O46" s="25"/>
      <c r="P46" s="28"/>
      <c r="Q46" s="3"/>
      <c r="R46" s="6" t="str">
        <f>IF($H46&lt;&gt;"",RIGHT(Tabela1[[#This Row],[Ref.]],2),"")</f>
        <v/>
      </c>
      <c r="S46" s="6" t="str">
        <f t="shared" si="0"/>
        <v/>
      </c>
      <c r="T46" s="4" t="str">
        <f>IF($H46&lt;&gt;"",_xlfn.XLOOKUP(H46,Naturezas!B:B,Naturezas!E:E,"",0,1),"")</f>
        <v/>
      </c>
      <c r="U46" s="4" t="str">
        <f>IF($H46&lt;&gt;"",_xlfn.XLOOKUP($H46,Naturezas!B:B,Naturezas!D:D,"",0,1),"")</f>
        <v/>
      </c>
      <c r="V46" s="5" t="str">
        <f>IF(H46&lt;&gt;"",IF(OR(H46=Naturezas!$B$3,H46=Naturezas!$B$4,H46=Naturezas!$B$5,H46=Naturezas!$B$17,H46=Naturezas!$B$18,H46=Naturezas!$B$19),G46,-G46),"")</f>
        <v/>
      </c>
      <c r="W46" s="4" t="str">
        <f t="shared" si="4"/>
        <v/>
      </c>
      <c r="X46" s="4"/>
      <c r="Y46" s="4" t="str">
        <f t="shared" si="5"/>
        <v/>
      </c>
      <c r="Z46" s="6" t="str">
        <f>IF(H46&lt;&gt;"",Tabela1[[#This Row],[Iniciais]],"")</f>
        <v/>
      </c>
      <c r="AA46" s="3"/>
      <c r="AB46" s="6" t="str">
        <f>IF($H46&lt;&gt;"",RIGHT(Tabela1[[#This Row],[Ref.]],2),"")</f>
        <v/>
      </c>
      <c r="AC46" s="37" t="str">
        <f>IF($H46&lt;&gt;"",DATE(LEFT(Tabela1[[#This Row],[Ref.]],4),RIGHT(Tabela1[[#This Row],[Ref.]],2),1),"")</f>
        <v/>
      </c>
      <c r="AD46" s="4" t="str">
        <f t="shared" si="1"/>
        <v/>
      </c>
      <c r="AE46" s="5" t="str">
        <f t="shared" si="2"/>
        <v/>
      </c>
      <c r="AF46" s="4"/>
      <c r="AG46" s="6" t="str">
        <f t="shared" si="3"/>
        <v/>
      </c>
    </row>
    <row r="47" spans="1:35" ht="15.75" customHeight="1" x14ac:dyDescent="0.2">
      <c r="A47" s="35"/>
      <c r="B47" s="44"/>
      <c r="C47" s="35"/>
      <c r="D47" s="35"/>
      <c r="E47" s="48"/>
      <c r="F47" s="45"/>
      <c r="G47" s="38"/>
      <c r="H47" s="45"/>
      <c r="I47" s="45"/>
      <c r="L47" s="19"/>
      <c r="M47" s="9"/>
      <c r="N47" s="25"/>
      <c r="O47" s="25"/>
      <c r="P47" s="28"/>
      <c r="Q47" s="3"/>
      <c r="R47" s="6" t="str">
        <f>IF($H47&lt;&gt;"",RIGHT(Tabela1[[#This Row],[Ref.]],2),"")</f>
        <v/>
      </c>
      <c r="S47" s="6" t="str">
        <f t="shared" si="0"/>
        <v/>
      </c>
      <c r="T47" s="4" t="str">
        <f>IF($H47&lt;&gt;"",_xlfn.XLOOKUP(H47,Naturezas!B:B,Naturezas!E:E,"",0,1),"")</f>
        <v/>
      </c>
      <c r="U47" s="4" t="str">
        <f>IF($H47&lt;&gt;"",_xlfn.XLOOKUP($H47,Naturezas!B:B,Naturezas!D:D,"",0,1),"")</f>
        <v/>
      </c>
      <c r="V47" s="5" t="str">
        <f>IF(H47&lt;&gt;"",IF(OR(H47=Naturezas!$B$3,H47=Naturezas!$B$4,H47=Naturezas!$B$5,H47=Naturezas!$B$17,H47=Naturezas!$B$18,H47=Naturezas!$B$19),G47,-G47),"")</f>
        <v/>
      </c>
      <c r="W47" s="4" t="str">
        <f t="shared" si="4"/>
        <v/>
      </c>
      <c r="X47" s="4"/>
      <c r="Y47" s="4" t="str">
        <f t="shared" si="5"/>
        <v/>
      </c>
      <c r="Z47" s="6" t="str">
        <f>IF(H47&lt;&gt;"",Tabela1[[#This Row],[Iniciais]],"")</f>
        <v/>
      </c>
      <c r="AA47" s="3"/>
      <c r="AB47" s="6" t="str">
        <f>IF($H47&lt;&gt;"",RIGHT(Tabela1[[#This Row],[Ref.]],2),"")</f>
        <v/>
      </c>
      <c r="AC47" s="37" t="str">
        <f>IF($H47&lt;&gt;"",DATE(LEFT(Tabela1[[#This Row],[Ref.]],4),RIGHT(Tabela1[[#This Row],[Ref.]],2),1),"")</f>
        <v/>
      </c>
      <c r="AD47" s="4" t="str">
        <f t="shared" si="1"/>
        <v/>
      </c>
      <c r="AE47" s="5" t="str">
        <f t="shared" si="2"/>
        <v/>
      </c>
      <c r="AF47" s="4"/>
      <c r="AG47" s="6" t="str">
        <f t="shared" si="3"/>
        <v/>
      </c>
    </row>
    <row r="48" spans="1:35" ht="15.75" customHeight="1" x14ac:dyDescent="0.2">
      <c r="A48" s="35"/>
      <c r="B48" s="44"/>
      <c r="C48" s="35"/>
      <c r="D48" s="35"/>
      <c r="E48" s="48"/>
      <c r="F48" s="45"/>
      <c r="G48" s="38"/>
      <c r="H48" s="45"/>
      <c r="I48" s="45"/>
      <c r="J48" s="1"/>
      <c r="K48" s="1"/>
      <c r="L48" s="20"/>
      <c r="M48" s="9"/>
      <c r="N48" s="25"/>
      <c r="O48" s="25"/>
      <c r="P48" s="28"/>
      <c r="Q48" s="3"/>
      <c r="R48" s="6" t="str">
        <f>IF($H48&lt;&gt;"",RIGHT(Tabela1[[#This Row],[Ref.]],2),"")</f>
        <v/>
      </c>
      <c r="S48" s="6" t="str">
        <f t="shared" si="0"/>
        <v/>
      </c>
      <c r="T48" s="4" t="str">
        <f>IF($H48&lt;&gt;"",_xlfn.XLOOKUP(H48,Naturezas!B:B,Naturezas!E:E,"",0,1),"")</f>
        <v/>
      </c>
      <c r="U48" s="4" t="str">
        <f>IF($H48&lt;&gt;"",_xlfn.XLOOKUP($H48,Naturezas!B:B,Naturezas!D:D,"",0,1),"")</f>
        <v/>
      </c>
      <c r="V48" s="5" t="str">
        <f>IF(H48&lt;&gt;"",IF(OR(H48=Naturezas!$B$3,H48=Naturezas!$B$4,H48=Naturezas!$B$5,H48=Naturezas!$B$17,H48=Naturezas!$B$18,H48=Naturezas!$B$19),G48,-G48),"")</f>
        <v/>
      </c>
      <c r="W48" s="4" t="str">
        <f t="shared" si="4"/>
        <v/>
      </c>
      <c r="X48" s="4"/>
      <c r="Y48" s="4" t="str">
        <f t="shared" si="5"/>
        <v/>
      </c>
      <c r="Z48" s="6" t="str">
        <f>IF(H48&lt;&gt;"",Tabela1[[#This Row],[Iniciais]],"")</f>
        <v/>
      </c>
      <c r="AA48" s="3"/>
      <c r="AB48" s="6" t="str">
        <f>IF($H48&lt;&gt;"",RIGHT(Tabela1[[#This Row],[Ref.]],2),"")</f>
        <v/>
      </c>
      <c r="AC48" s="37" t="str">
        <f>IF($H48&lt;&gt;"",DATE(LEFT(Tabela1[[#This Row],[Ref.]],4),RIGHT(Tabela1[[#This Row],[Ref.]],2),1),"")</f>
        <v/>
      </c>
      <c r="AD48" s="4" t="str">
        <f t="shared" si="1"/>
        <v/>
      </c>
      <c r="AE48" s="5" t="str">
        <f t="shared" si="2"/>
        <v/>
      </c>
      <c r="AF48" s="4"/>
      <c r="AG48" s="6" t="str">
        <f t="shared" si="3"/>
        <v/>
      </c>
      <c r="AH48" s="1"/>
      <c r="AI48" s="1"/>
    </row>
    <row r="49" spans="1:38" ht="15.75" customHeight="1" x14ac:dyDescent="0.2">
      <c r="A49" s="35"/>
      <c r="B49" s="44"/>
      <c r="C49" s="35"/>
      <c r="D49" s="35"/>
      <c r="E49" s="48"/>
      <c r="F49" s="45"/>
      <c r="G49" s="38"/>
      <c r="H49" s="45"/>
      <c r="I49" s="45"/>
      <c r="L49" s="19"/>
      <c r="M49" s="3"/>
      <c r="N49" s="25"/>
      <c r="O49" s="25"/>
      <c r="P49" s="28"/>
      <c r="Q49" s="3"/>
      <c r="R49" s="6" t="str">
        <f>IF($H49&lt;&gt;"",RIGHT(Tabela1[[#This Row],[Ref.]],2),"")</f>
        <v/>
      </c>
      <c r="S49" s="6" t="str">
        <f t="shared" si="0"/>
        <v/>
      </c>
      <c r="T49" s="4" t="str">
        <f>IF($H49&lt;&gt;"",_xlfn.XLOOKUP(H49,Naturezas!B:B,Naturezas!E:E,"",0,1),"")</f>
        <v/>
      </c>
      <c r="U49" s="4" t="str">
        <f>IF($H49&lt;&gt;"",_xlfn.XLOOKUP($H49,Naturezas!B:B,Naturezas!D:D,"",0,1),"")</f>
        <v/>
      </c>
      <c r="V49" s="5" t="str">
        <f>IF(H49&lt;&gt;"",IF(OR(H49=Naturezas!$B$3,H49=Naturezas!$B$4,H49=Naturezas!$B$5,H49=Naturezas!$B$17,H49=Naturezas!$B$18,H49=Naturezas!$B$19),G49,-G49),"")</f>
        <v/>
      </c>
      <c r="W49" s="4" t="str">
        <f t="shared" si="4"/>
        <v/>
      </c>
      <c r="X49" s="4"/>
      <c r="Y49" s="4" t="str">
        <f t="shared" si="5"/>
        <v/>
      </c>
      <c r="Z49" s="6" t="str">
        <f>IF(H49&lt;&gt;"",Tabela1[[#This Row],[Iniciais]],"")</f>
        <v/>
      </c>
      <c r="AA49" s="3"/>
      <c r="AB49" s="6" t="str">
        <f>IF($H49&lt;&gt;"",RIGHT(Tabela1[[#This Row],[Ref.]],2),"")</f>
        <v/>
      </c>
      <c r="AC49" s="37" t="str">
        <f>IF($H49&lt;&gt;"",DATE(LEFT(Tabela1[[#This Row],[Ref.]],4),RIGHT(Tabela1[[#This Row],[Ref.]],2),1),"")</f>
        <v/>
      </c>
      <c r="AD49" s="4" t="str">
        <f t="shared" si="1"/>
        <v/>
      </c>
      <c r="AE49" s="5" t="str">
        <f t="shared" si="2"/>
        <v/>
      </c>
      <c r="AF49" s="4"/>
      <c r="AG49" s="6" t="str">
        <f t="shared" si="3"/>
        <v/>
      </c>
    </row>
    <row r="50" spans="1:38" ht="15.75" customHeight="1" x14ac:dyDescent="0.2">
      <c r="A50" s="35"/>
      <c r="B50" s="44"/>
      <c r="C50" s="35"/>
      <c r="D50" s="35"/>
      <c r="E50" s="48"/>
      <c r="F50" s="45"/>
      <c r="G50" s="38"/>
      <c r="H50" s="45"/>
      <c r="I50" s="45"/>
      <c r="L50" s="19"/>
      <c r="M50" s="3"/>
      <c r="N50" s="25"/>
      <c r="O50" s="25"/>
      <c r="P50" s="28"/>
      <c r="Q50" s="3"/>
      <c r="R50" s="6" t="str">
        <f>IF($H50&lt;&gt;"",RIGHT(Tabela1[[#This Row],[Ref.]],2),"")</f>
        <v/>
      </c>
      <c r="S50" s="6" t="str">
        <f t="shared" si="0"/>
        <v/>
      </c>
      <c r="T50" s="4" t="str">
        <f>IF($H50&lt;&gt;"",_xlfn.XLOOKUP(H50,Naturezas!B:B,Naturezas!E:E,"",0,1),"")</f>
        <v/>
      </c>
      <c r="U50" s="4" t="str">
        <f>IF($H50&lt;&gt;"",_xlfn.XLOOKUP($H50,Naturezas!B:B,Naturezas!D:D,"",0,1),"")</f>
        <v/>
      </c>
      <c r="V50" s="5" t="str">
        <f>IF(H50&lt;&gt;"",IF(OR(H50=Naturezas!$B$3,H50=Naturezas!$B$4,H50=Naturezas!$B$5,H50=Naturezas!$B$17,H50=Naturezas!$B$18,H50=Naturezas!$B$19),G50,-G50),"")</f>
        <v/>
      </c>
      <c r="W50" s="4" t="str">
        <f t="shared" si="4"/>
        <v/>
      </c>
      <c r="X50" s="4"/>
      <c r="Y50" s="4" t="str">
        <f t="shared" si="5"/>
        <v/>
      </c>
      <c r="Z50" s="6" t="str">
        <f>IF(H50&lt;&gt;"",Tabela1[[#This Row],[Iniciais]],"")</f>
        <v/>
      </c>
      <c r="AA50" s="3"/>
      <c r="AB50" s="6" t="str">
        <f>IF($H50&lt;&gt;"",RIGHT(Tabela1[[#This Row],[Ref.]],2),"")</f>
        <v/>
      </c>
      <c r="AC50" s="37" t="str">
        <f>IF($H50&lt;&gt;"",DATE(LEFT(Tabela1[[#This Row],[Ref.]],4),RIGHT(Tabela1[[#This Row],[Ref.]],2),1),"")</f>
        <v/>
      </c>
      <c r="AD50" s="4" t="str">
        <f t="shared" si="1"/>
        <v/>
      </c>
      <c r="AE50" s="5" t="str">
        <f t="shared" si="2"/>
        <v/>
      </c>
      <c r="AF50" s="4"/>
      <c r="AG50" s="6" t="str">
        <f t="shared" si="3"/>
        <v/>
      </c>
    </row>
    <row r="51" spans="1:38" ht="15.75" customHeight="1" x14ac:dyDescent="0.2">
      <c r="A51" s="35"/>
      <c r="B51" s="44"/>
      <c r="C51" s="35"/>
      <c r="D51" s="35"/>
      <c r="E51" s="48"/>
      <c r="F51" s="45"/>
      <c r="G51" s="38"/>
      <c r="H51" s="45"/>
      <c r="I51" s="45"/>
      <c r="L51" s="19"/>
      <c r="M51" s="3"/>
      <c r="N51" s="25"/>
      <c r="O51" s="25"/>
      <c r="P51" s="28"/>
      <c r="Q51" s="3"/>
      <c r="R51" s="6" t="str">
        <f>IF($H51&lt;&gt;"",RIGHT(Tabela1[[#This Row],[Ref.]],2),"")</f>
        <v/>
      </c>
      <c r="S51" s="6" t="str">
        <f t="shared" si="0"/>
        <v/>
      </c>
      <c r="T51" s="4" t="str">
        <f>IF($H51&lt;&gt;"",_xlfn.XLOOKUP(H51,Naturezas!B:B,Naturezas!E:E,"",0,1),"")</f>
        <v/>
      </c>
      <c r="U51" s="4" t="str">
        <f>IF($H51&lt;&gt;"",_xlfn.XLOOKUP($H51,Naturezas!B:B,Naturezas!D:D,"",0,1),"")</f>
        <v/>
      </c>
      <c r="V51" s="5" t="str">
        <f>IF(H51&lt;&gt;"",IF(OR(H51=Naturezas!$B$3,H51=Naturezas!$B$4,H51=Naturezas!$B$5,H51=Naturezas!$B$17,H51=Naturezas!$B$18,H51=Naturezas!$B$19),G51,-G51),"")</f>
        <v/>
      </c>
      <c r="W51" s="4" t="str">
        <f t="shared" si="4"/>
        <v/>
      </c>
      <c r="X51" s="4"/>
      <c r="Y51" s="4" t="str">
        <f t="shared" si="5"/>
        <v/>
      </c>
      <c r="Z51" s="6" t="str">
        <f>IF(H51&lt;&gt;"",Tabela1[[#This Row],[Iniciais]],"")</f>
        <v/>
      </c>
      <c r="AA51" s="3"/>
      <c r="AB51" s="6" t="str">
        <f>IF($H51&lt;&gt;"",RIGHT(Tabela1[[#This Row],[Ref.]],2),"")</f>
        <v/>
      </c>
      <c r="AC51" s="37" t="str">
        <f>IF($H51&lt;&gt;"",DATE(LEFT(Tabela1[[#This Row],[Ref.]],4),RIGHT(Tabela1[[#This Row],[Ref.]],2),1),"")</f>
        <v/>
      </c>
      <c r="AD51" s="4" t="str">
        <f t="shared" si="1"/>
        <v/>
      </c>
      <c r="AE51" s="5" t="str">
        <f t="shared" si="2"/>
        <v/>
      </c>
      <c r="AF51" s="4"/>
      <c r="AG51" s="6" t="str">
        <f t="shared" si="3"/>
        <v/>
      </c>
    </row>
    <row r="52" spans="1:38" ht="15.75" customHeight="1" x14ac:dyDescent="0.2">
      <c r="A52" s="35"/>
      <c r="B52" s="44"/>
      <c r="C52" s="35"/>
      <c r="D52" s="35"/>
      <c r="E52" s="48"/>
      <c r="F52" s="45"/>
      <c r="G52" s="38"/>
      <c r="H52" s="45"/>
      <c r="I52" s="45"/>
      <c r="L52" s="19"/>
      <c r="M52" s="3"/>
      <c r="N52" s="25"/>
      <c r="O52" s="25"/>
      <c r="P52" s="28"/>
      <c r="Q52" s="3"/>
      <c r="R52" s="6" t="str">
        <f>IF($H52&lt;&gt;"",RIGHT(Tabela1[[#This Row],[Ref.]],2),"")</f>
        <v/>
      </c>
      <c r="S52" s="6" t="str">
        <f t="shared" si="0"/>
        <v/>
      </c>
      <c r="T52" s="4" t="str">
        <f>IF($H52&lt;&gt;"",_xlfn.XLOOKUP(H52,Naturezas!B:B,Naturezas!E:E,"",0,1),"")</f>
        <v/>
      </c>
      <c r="U52" s="4" t="str">
        <f>IF($H52&lt;&gt;"",_xlfn.XLOOKUP($H52,Naturezas!B:B,Naturezas!D:D,"",0,1),"")</f>
        <v/>
      </c>
      <c r="V52" s="5" t="str">
        <f>IF(H52&lt;&gt;"",IF(OR(H52=Naturezas!$B$3,H52=Naturezas!$B$4,H52=Naturezas!$B$5,H52=Naturezas!$B$17,H52=Naturezas!$B$18,H52=Naturezas!$B$19),G52,-G52),"")</f>
        <v/>
      </c>
      <c r="W52" s="4" t="str">
        <f t="shared" si="4"/>
        <v/>
      </c>
      <c r="X52" s="4"/>
      <c r="Y52" s="4" t="str">
        <f t="shared" si="5"/>
        <v/>
      </c>
      <c r="Z52" s="6" t="str">
        <f>IF(H52&lt;&gt;"",Tabela1[[#This Row],[Iniciais]],"")</f>
        <v/>
      </c>
      <c r="AA52" s="3"/>
      <c r="AB52" s="6" t="str">
        <f>IF($H52&lt;&gt;"",RIGHT(Tabela1[[#This Row],[Ref.]],2),"")</f>
        <v/>
      </c>
      <c r="AC52" s="37" t="str">
        <f>IF($H52&lt;&gt;"",DATE(LEFT(Tabela1[[#This Row],[Ref.]],4),RIGHT(Tabela1[[#This Row],[Ref.]],2),1),"")</f>
        <v/>
      </c>
      <c r="AD52" s="4" t="str">
        <f t="shared" si="1"/>
        <v/>
      </c>
      <c r="AE52" s="5" t="str">
        <f t="shared" si="2"/>
        <v/>
      </c>
      <c r="AF52" s="4"/>
      <c r="AG52" s="6" t="str">
        <f t="shared" si="3"/>
        <v/>
      </c>
    </row>
    <row r="53" spans="1:38" ht="15.75" customHeight="1" x14ac:dyDescent="0.2">
      <c r="A53" s="35"/>
      <c r="B53" s="44"/>
      <c r="C53" s="35"/>
      <c r="D53" s="35"/>
      <c r="E53" s="48"/>
      <c r="F53" s="45"/>
      <c r="G53" s="38"/>
      <c r="H53" s="45"/>
      <c r="I53" s="45"/>
      <c r="L53" s="19"/>
      <c r="M53" s="3"/>
      <c r="N53" s="25"/>
      <c r="O53" s="25"/>
      <c r="P53" s="28"/>
      <c r="Q53" s="3"/>
      <c r="R53" s="6" t="str">
        <f>IF($H53&lt;&gt;"",RIGHT(Tabela1[[#This Row],[Ref.]],2),"")</f>
        <v/>
      </c>
      <c r="S53" s="6" t="str">
        <f t="shared" si="0"/>
        <v/>
      </c>
      <c r="T53" s="4" t="str">
        <f>IF($H53&lt;&gt;"",_xlfn.XLOOKUP(H53,Naturezas!B:B,Naturezas!E:E,"",0,1),"")</f>
        <v/>
      </c>
      <c r="U53" s="4" t="str">
        <f>IF($H53&lt;&gt;"",_xlfn.XLOOKUP($H53,Naturezas!B:B,Naturezas!D:D,"",0,1),"")</f>
        <v/>
      </c>
      <c r="V53" s="5" t="str">
        <f>IF(H53&lt;&gt;"",IF(OR(H53=Naturezas!$B$3,H53=Naturezas!$B$4,H53=Naturezas!$B$5,H53=Naturezas!$B$17,H53=Naturezas!$B$18,H53=Naturezas!$B$19),G53,-G53),"")</f>
        <v/>
      </c>
      <c r="W53" s="4" t="str">
        <f t="shared" si="4"/>
        <v/>
      </c>
      <c r="X53" s="4"/>
      <c r="Y53" s="4" t="str">
        <f t="shared" si="5"/>
        <v/>
      </c>
      <c r="Z53" s="6" t="str">
        <f>IF(H53&lt;&gt;"",Tabela1[[#This Row],[Iniciais]],"")</f>
        <v/>
      </c>
      <c r="AA53" s="3"/>
      <c r="AB53" s="6" t="str">
        <f>IF($H53&lt;&gt;"",RIGHT(Tabela1[[#This Row],[Ref.]],2),"")</f>
        <v/>
      </c>
      <c r="AC53" s="37" t="str">
        <f>IF($H53&lt;&gt;"",DATE(LEFT(Tabela1[[#This Row],[Ref.]],4),RIGHT(Tabela1[[#This Row],[Ref.]],2),1),"")</f>
        <v/>
      </c>
      <c r="AD53" s="4" t="str">
        <f t="shared" si="1"/>
        <v/>
      </c>
      <c r="AE53" s="5" t="str">
        <f t="shared" si="2"/>
        <v/>
      </c>
      <c r="AF53" s="4"/>
      <c r="AG53" s="6" t="str">
        <f t="shared" si="3"/>
        <v/>
      </c>
    </row>
    <row r="54" spans="1:38" ht="15.75" customHeight="1" x14ac:dyDescent="0.2">
      <c r="A54" s="35"/>
      <c r="B54" s="44"/>
      <c r="C54" s="35"/>
      <c r="D54" s="35"/>
      <c r="E54" s="48"/>
      <c r="F54" s="45"/>
      <c r="G54" s="38"/>
      <c r="H54" s="45"/>
      <c r="I54" s="45"/>
      <c r="L54" s="19"/>
      <c r="M54" s="3"/>
      <c r="N54" s="25"/>
      <c r="O54" s="25"/>
      <c r="P54" s="28"/>
      <c r="Q54" s="3"/>
      <c r="R54" s="6" t="str">
        <f>IF($H54&lt;&gt;"",RIGHT(Tabela1[[#This Row],[Ref.]],2),"")</f>
        <v/>
      </c>
      <c r="S54" s="6" t="str">
        <f t="shared" si="0"/>
        <v/>
      </c>
      <c r="T54" s="4" t="str">
        <f>IF($H54&lt;&gt;"",_xlfn.XLOOKUP(H54,Naturezas!B:B,Naturezas!E:E,"",0,1),"")</f>
        <v/>
      </c>
      <c r="U54" s="4" t="str">
        <f>IF($H54&lt;&gt;"",_xlfn.XLOOKUP($H54,Naturezas!B:B,Naturezas!D:D,"",0,1),"")</f>
        <v/>
      </c>
      <c r="V54" s="5" t="str">
        <f>IF(H54&lt;&gt;"",IF(OR(H54=Naturezas!$B$3,H54=Naturezas!$B$4,H54=Naturezas!$B$5,H54=Naturezas!$B$17,H54=Naturezas!$B$18,H54=Naturezas!$B$19),G54,-G54),"")</f>
        <v/>
      </c>
      <c r="W54" s="4" t="str">
        <f t="shared" si="4"/>
        <v/>
      </c>
      <c r="X54" s="4"/>
      <c r="Y54" s="4" t="str">
        <f t="shared" si="5"/>
        <v/>
      </c>
      <c r="Z54" s="6" t="str">
        <f>IF(H54&lt;&gt;"",Tabela1[[#This Row],[Iniciais]],"")</f>
        <v/>
      </c>
      <c r="AA54" s="3"/>
      <c r="AB54" s="6" t="str">
        <f>IF($H54&lt;&gt;"",RIGHT(Tabela1[[#This Row],[Ref.]],2),"")</f>
        <v/>
      </c>
      <c r="AC54" s="37" t="str">
        <f>IF($H54&lt;&gt;"",DATE(LEFT(Tabela1[[#This Row],[Ref.]],4),RIGHT(Tabela1[[#This Row],[Ref.]],2),1),"")</f>
        <v/>
      </c>
      <c r="AD54" s="4" t="str">
        <f t="shared" si="1"/>
        <v/>
      </c>
      <c r="AE54" s="5" t="str">
        <f t="shared" si="2"/>
        <v/>
      </c>
      <c r="AF54" s="4"/>
      <c r="AG54" s="6" t="str">
        <f t="shared" si="3"/>
        <v/>
      </c>
    </row>
    <row r="55" spans="1:38" ht="15.75" customHeight="1" x14ac:dyDescent="0.2">
      <c r="A55" s="35"/>
      <c r="B55" s="44"/>
      <c r="C55" s="35"/>
      <c r="D55" s="35"/>
      <c r="E55" s="48"/>
      <c r="F55" s="45"/>
      <c r="G55" s="38"/>
      <c r="H55" s="45"/>
      <c r="I55" s="45"/>
      <c r="L55" s="19"/>
      <c r="N55" s="25"/>
      <c r="O55" s="25"/>
      <c r="P55" s="27"/>
      <c r="Q55" s="3"/>
      <c r="R55" s="6" t="str">
        <f>IF($H55&lt;&gt;"",RIGHT(Tabela1[[#This Row],[Ref.]],2),"")</f>
        <v/>
      </c>
      <c r="S55" s="6" t="str">
        <f t="shared" si="0"/>
        <v/>
      </c>
      <c r="T55" s="4" t="str">
        <f>IF($H55&lt;&gt;"",_xlfn.XLOOKUP(H55,Naturezas!B:B,Naturezas!E:E,"",0,1),"")</f>
        <v/>
      </c>
      <c r="U55" s="4" t="str">
        <f>IF($H55&lt;&gt;"",_xlfn.XLOOKUP($H55,Naturezas!B:B,Naturezas!D:D,"",0,1),"")</f>
        <v/>
      </c>
      <c r="V55" s="5" t="str">
        <f>IF(H55&lt;&gt;"",IF(OR(H55=Naturezas!$B$3,H55=Naturezas!$B$4,H55=Naturezas!$B$5,H55=Naturezas!$B$17,H55=Naturezas!$B$18,H55=Naturezas!$B$19),G55,-G55),"")</f>
        <v/>
      </c>
      <c r="W55" s="4" t="str">
        <f t="shared" si="4"/>
        <v/>
      </c>
      <c r="X55" s="4"/>
      <c r="Y55" s="4" t="str">
        <f t="shared" si="5"/>
        <v/>
      </c>
      <c r="Z55" s="6" t="str">
        <f>IF(H55&lt;&gt;"",Tabela1[[#This Row],[Iniciais]],"")</f>
        <v/>
      </c>
      <c r="AB55" s="6" t="str">
        <f>IF($H55&lt;&gt;"",RIGHT(Tabela1[[#This Row],[Ref.]],2),"")</f>
        <v/>
      </c>
      <c r="AC55" s="37" t="str">
        <f>IF($H55&lt;&gt;"",DATE(LEFT(Tabela1[[#This Row],[Ref.]],4),RIGHT(Tabela1[[#This Row],[Ref.]],2),1),"")</f>
        <v/>
      </c>
      <c r="AD55" s="4" t="str">
        <f t="shared" si="1"/>
        <v/>
      </c>
      <c r="AE55" s="5" t="str">
        <f t="shared" si="2"/>
        <v/>
      </c>
      <c r="AF55" s="4"/>
      <c r="AG55" s="6" t="str">
        <f t="shared" si="3"/>
        <v/>
      </c>
    </row>
    <row r="56" spans="1:38" ht="15.75" customHeight="1" x14ac:dyDescent="0.2">
      <c r="A56" s="35"/>
      <c r="B56" s="44"/>
      <c r="C56" s="35"/>
      <c r="D56" s="35"/>
      <c r="E56" s="48"/>
      <c r="F56" s="45"/>
      <c r="G56" s="38"/>
      <c r="H56" s="45"/>
      <c r="I56" s="45"/>
      <c r="L56" s="19"/>
      <c r="N56" s="25"/>
      <c r="O56" s="25"/>
      <c r="P56" s="27"/>
      <c r="Q56" s="3"/>
      <c r="R56" s="6" t="str">
        <f>IF($H56&lt;&gt;"",RIGHT(Tabela1[[#This Row],[Ref.]],2),"")</f>
        <v/>
      </c>
      <c r="S56" s="6" t="str">
        <f t="shared" si="0"/>
        <v/>
      </c>
      <c r="T56" s="4" t="str">
        <f>IF($H56&lt;&gt;"",_xlfn.XLOOKUP(H56,Naturezas!B:B,Naturezas!E:E,"",0,1),"")</f>
        <v/>
      </c>
      <c r="U56" s="4" t="str">
        <f>IF($H56&lt;&gt;"",_xlfn.XLOOKUP($H56,Naturezas!B:B,Naturezas!D:D,"",0,1),"")</f>
        <v/>
      </c>
      <c r="V56" s="5" t="str">
        <f>IF(H56&lt;&gt;"",IF(OR(H56=Naturezas!$B$3,H56=Naturezas!$B$4,H56=Naturezas!$B$5,H56=Naturezas!$B$17,H56=Naturezas!$B$18,H56=Naturezas!$B$19),G56,-G56),"")</f>
        <v/>
      </c>
      <c r="W56" s="4" t="str">
        <f t="shared" si="4"/>
        <v/>
      </c>
      <c r="X56" s="4"/>
      <c r="Y56" s="4" t="str">
        <f t="shared" si="5"/>
        <v/>
      </c>
      <c r="Z56" s="6" t="str">
        <f>IF(H56&lt;&gt;"",Tabela1[[#This Row],[Iniciais]],"")</f>
        <v/>
      </c>
      <c r="AB56" s="6" t="str">
        <f>IF($H56&lt;&gt;"",RIGHT(Tabela1[[#This Row],[Ref.]],2),"")</f>
        <v/>
      </c>
      <c r="AC56" s="37" t="str">
        <f>IF($H56&lt;&gt;"",DATE(LEFT(Tabela1[[#This Row],[Ref.]],4),RIGHT(Tabela1[[#This Row],[Ref.]],2),1),"")</f>
        <v/>
      </c>
      <c r="AD56" s="4" t="str">
        <f t="shared" si="1"/>
        <v/>
      </c>
      <c r="AE56" s="5" t="str">
        <f t="shared" si="2"/>
        <v/>
      </c>
      <c r="AF56" s="4"/>
      <c r="AG56" s="6" t="str">
        <f t="shared" si="3"/>
        <v/>
      </c>
    </row>
    <row r="57" spans="1:38" ht="15.75" customHeight="1" x14ac:dyDescent="0.2">
      <c r="A57" s="35"/>
      <c r="B57" s="44"/>
      <c r="C57" s="35"/>
      <c r="D57" s="35"/>
      <c r="E57" s="48"/>
      <c r="F57" s="45"/>
      <c r="G57" s="38"/>
      <c r="H57" s="45"/>
      <c r="I57" s="45"/>
      <c r="L57" s="19"/>
      <c r="N57" s="25"/>
      <c r="O57" s="25"/>
      <c r="P57" s="27"/>
      <c r="Q57" s="3"/>
      <c r="R57" s="6" t="str">
        <f>IF($H57&lt;&gt;"",RIGHT(Tabela1[[#This Row],[Ref.]],2),"")</f>
        <v/>
      </c>
      <c r="S57" s="6" t="str">
        <f t="shared" si="0"/>
        <v/>
      </c>
      <c r="T57" s="4" t="str">
        <f>IF($H57&lt;&gt;"",_xlfn.XLOOKUP(H57,Naturezas!B:B,Naturezas!E:E,"",0,1),"")</f>
        <v/>
      </c>
      <c r="U57" s="4" t="str">
        <f>IF($H57&lt;&gt;"",_xlfn.XLOOKUP($H57,Naturezas!B:B,Naturezas!D:D,"",0,1),"")</f>
        <v/>
      </c>
      <c r="V57" s="5" t="str">
        <f>IF(H57&lt;&gt;"",IF(OR(H57=Naturezas!$B$3,H57=Naturezas!$B$4,H57=Naturezas!$B$5,H57=Naturezas!$B$17,H57=Naturezas!$B$18,H57=Naturezas!$B$19),G57,-G57),"")</f>
        <v/>
      </c>
      <c r="W57" s="4" t="str">
        <f t="shared" si="4"/>
        <v/>
      </c>
      <c r="X57" s="4"/>
      <c r="Y57" s="4" t="str">
        <f t="shared" si="5"/>
        <v/>
      </c>
      <c r="Z57" s="6" t="str">
        <f>IF(H57&lt;&gt;"",Tabela1[[#This Row],[Iniciais]],"")</f>
        <v/>
      </c>
      <c r="AB57" s="6" t="str">
        <f>IF($H57&lt;&gt;"",RIGHT(Tabela1[[#This Row],[Ref.]],2),"")</f>
        <v/>
      </c>
      <c r="AC57" s="37" t="str">
        <f>IF($H57&lt;&gt;"",DATE(LEFT(Tabela1[[#This Row],[Ref.]],4),RIGHT(Tabela1[[#This Row],[Ref.]],2),1),"")</f>
        <v/>
      </c>
      <c r="AD57" s="4" t="str">
        <f t="shared" si="1"/>
        <v/>
      </c>
      <c r="AE57" s="5" t="str">
        <f t="shared" si="2"/>
        <v/>
      </c>
      <c r="AF57" s="4"/>
      <c r="AG57" s="6" t="str">
        <f t="shared" si="3"/>
        <v/>
      </c>
    </row>
    <row r="58" spans="1:38" ht="15.75" customHeight="1" x14ac:dyDescent="0.2">
      <c r="A58" s="35"/>
      <c r="B58" s="44"/>
      <c r="C58" s="35"/>
      <c r="D58" s="35"/>
      <c r="E58" s="48"/>
      <c r="F58" s="45"/>
      <c r="G58" s="38"/>
      <c r="H58" s="45"/>
      <c r="I58" s="45"/>
      <c r="L58" s="19"/>
      <c r="N58" s="25"/>
      <c r="O58" s="25"/>
      <c r="P58" s="27"/>
      <c r="Q58" s="3"/>
      <c r="R58" s="6" t="str">
        <f>IF($H58&lt;&gt;"",RIGHT(Tabela1[[#This Row],[Ref.]],2),"")</f>
        <v/>
      </c>
      <c r="S58" s="6" t="str">
        <f t="shared" si="0"/>
        <v/>
      </c>
      <c r="T58" s="4" t="str">
        <f>IF($H58&lt;&gt;"",_xlfn.XLOOKUP(H58,Naturezas!B:B,Naturezas!E:E,"",0,1),"")</f>
        <v/>
      </c>
      <c r="U58" s="4" t="str">
        <f>IF($H58&lt;&gt;"",_xlfn.XLOOKUP($H58,Naturezas!B:B,Naturezas!D:D,"",0,1),"")</f>
        <v/>
      </c>
      <c r="V58" s="5" t="str">
        <f>IF(H58&lt;&gt;"",IF(OR(H58=Naturezas!$B$3,H58=Naturezas!$B$4,H58=Naturezas!$B$5,H58=Naturezas!$B$17,H58=Naturezas!$B$18,H58=Naturezas!$B$19),G58,-G58),"")</f>
        <v/>
      </c>
      <c r="W58" s="4" t="str">
        <f t="shared" si="4"/>
        <v/>
      </c>
      <c r="X58" s="4"/>
      <c r="Y58" s="4" t="str">
        <f t="shared" si="5"/>
        <v/>
      </c>
      <c r="Z58" s="6" t="str">
        <f>IF(H58&lt;&gt;"",Tabela1[[#This Row],[Iniciais]],"")</f>
        <v/>
      </c>
      <c r="AB58" s="6" t="str">
        <f>IF($H58&lt;&gt;"",RIGHT(Tabela1[[#This Row],[Ref.]],2),"")</f>
        <v/>
      </c>
      <c r="AC58" s="37" t="str">
        <f>IF($H58&lt;&gt;"",DATE(LEFT(Tabela1[[#This Row],[Ref.]],4),RIGHT(Tabela1[[#This Row],[Ref.]],2),1),"")</f>
        <v/>
      </c>
      <c r="AD58" s="4" t="str">
        <f t="shared" si="1"/>
        <v/>
      </c>
      <c r="AE58" s="5" t="str">
        <f t="shared" si="2"/>
        <v/>
      </c>
      <c r="AF58" s="4"/>
      <c r="AG58" s="6" t="str">
        <f t="shared" si="3"/>
        <v/>
      </c>
    </row>
    <row r="59" spans="1:38" ht="15.75" customHeight="1" x14ac:dyDescent="0.2">
      <c r="A59" s="35"/>
      <c r="B59" s="44"/>
      <c r="C59" s="35"/>
      <c r="D59" s="35"/>
      <c r="E59" s="48"/>
      <c r="F59" s="45"/>
      <c r="G59" s="38"/>
      <c r="H59" s="45"/>
      <c r="I59" s="45"/>
      <c r="L59" s="19"/>
      <c r="N59" s="25"/>
      <c r="O59" s="25"/>
      <c r="P59" s="27"/>
      <c r="Q59" s="3"/>
      <c r="R59" s="6" t="str">
        <f>IF($H59&lt;&gt;"",RIGHT(Tabela1[[#This Row],[Ref.]],2),"")</f>
        <v/>
      </c>
      <c r="S59" s="6" t="str">
        <f t="shared" si="0"/>
        <v/>
      </c>
      <c r="T59" s="4" t="str">
        <f>IF($H59&lt;&gt;"",_xlfn.XLOOKUP(H59,Naturezas!B:B,Naturezas!E:E,"",0,1),"")</f>
        <v/>
      </c>
      <c r="U59" s="4" t="str">
        <f>IF($H59&lt;&gt;"",_xlfn.XLOOKUP($H59,Naturezas!B:B,Naturezas!D:D,"",0,1),"")</f>
        <v/>
      </c>
      <c r="V59" s="5" t="str">
        <f>IF(H59&lt;&gt;"",IF(OR(H59=Naturezas!$B$3,H59=Naturezas!$B$4,H59=Naturezas!$B$5,H59=Naturezas!$B$17,H59=Naturezas!$B$18,H59=Naturezas!$B$19),G59,-G59),"")</f>
        <v/>
      </c>
      <c r="W59" s="4" t="str">
        <f t="shared" si="4"/>
        <v/>
      </c>
      <c r="X59" s="4"/>
      <c r="Y59" s="4" t="str">
        <f t="shared" si="5"/>
        <v/>
      </c>
      <c r="Z59" s="6" t="str">
        <f>IF(H59&lt;&gt;"",Tabela1[[#This Row],[Iniciais]],"")</f>
        <v/>
      </c>
      <c r="AB59" s="6" t="str">
        <f>IF($H59&lt;&gt;"",RIGHT(Tabela1[[#This Row],[Ref.]],2),"")</f>
        <v/>
      </c>
      <c r="AC59" s="37" t="str">
        <f>IF($H59&lt;&gt;"",DATE(LEFT(Tabela1[[#This Row],[Ref.]],4),RIGHT(Tabela1[[#This Row],[Ref.]],2),1),"")</f>
        <v/>
      </c>
      <c r="AD59" s="4" t="str">
        <f t="shared" si="1"/>
        <v/>
      </c>
      <c r="AE59" s="5" t="str">
        <f t="shared" si="2"/>
        <v/>
      </c>
      <c r="AF59" s="4"/>
      <c r="AG59" s="6" t="str">
        <f t="shared" si="3"/>
        <v/>
      </c>
    </row>
    <row r="60" spans="1:38" ht="15.75" customHeight="1" x14ac:dyDescent="0.2">
      <c r="A60" s="35"/>
      <c r="B60" s="44"/>
      <c r="C60" s="35"/>
      <c r="D60" s="35"/>
      <c r="E60" s="48"/>
      <c r="F60" s="45"/>
      <c r="G60" s="38"/>
      <c r="H60" s="45"/>
      <c r="I60" s="45"/>
      <c r="L60" s="19"/>
      <c r="N60" s="25"/>
      <c r="O60" s="25"/>
      <c r="P60" s="27"/>
      <c r="Q60" s="3"/>
      <c r="R60" s="6" t="str">
        <f>IF($H60&lt;&gt;"",RIGHT(Tabela1[[#This Row],[Ref.]],2),"")</f>
        <v/>
      </c>
      <c r="S60" s="6" t="str">
        <f t="shared" si="0"/>
        <v/>
      </c>
      <c r="T60" s="4" t="str">
        <f>IF($H60&lt;&gt;"",_xlfn.XLOOKUP(H60,Naturezas!B:B,Naturezas!E:E,"",0,1),"")</f>
        <v/>
      </c>
      <c r="U60" s="4" t="str">
        <f>IF($H60&lt;&gt;"",_xlfn.XLOOKUP($H60,Naturezas!B:B,Naturezas!D:D,"",0,1),"")</f>
        <v/>
      </c>
      <c r="V60" s="5" t="str">
        <f>IF(H60&lt;&gt;"",IF(OR(H60=Naturezas!$B$3,H60=Naturezas!$B$4,H60=Naturezas!$B$5,H60=Naturezas!$B$17,H60=Naturezas!$B$18,H60=Naturezas!$B$19),G60,-G60),"")</f>
        <v/>
      </c>
      <c r="W60" s="4" t="str">
        <f t="shared" si="4"/>
        <v/>
      </c>
      <c r="X60" s="4"/>
      <c r="Y60" s="4" t="str">
        <f t="shared" si="5"/>
        <v/>
      </c>
      <c r="Z60" s="6" t="str">
        <f>IF(H60&lt;&gt;"",Tabela1[[#This Row],[Iniciais]],"")</f>
        <v/>
      </c>
      <c r="AB60" s="6" t="str">
        <f>IF($H60&lt;&gt;"",RIGHT(Tabela1[[#This Row],[Ref.]],2),"")</f>
        <v/>
      </c>
      <c r="AC60" s="37" t="str">
        <f>IF($H60&lt;&gt;"",DATE(LEFT(Tabela1[[#This Row],[Ref.]],4),RIGHT(Tabela1[[#This Row],[Ref.]],2),1),"")</f>
        <v/>
      </c>
      <c r="AD60" s="4" t="str">
        <f t="shared" si="1"/>
        <v/>
      </c>
      <c r="AE60" s="5" t="str">
        <f t="shared" si="2"/>
        <v/>
      </c>
      <c r="AF60" s="4"/>
      <c r="AG60" s="6" t="str">
        <f t="shared" si="3"/>
        <v/>
      </c>
    </row>
    <row r="61" spans="1:38" ht="15.75" customHeight="1" x14ac:dyDescent="0.2">
      <c r="A61" s="35"/>
      <c r="B61" s="44"/>
      <c r="C61" s="35"/>
      <c r="D61" s="35"/>
      <c r="E61" s="48"/>
      <c r="F61" s="45"/>
      <c r="G61" s="38"/>
      <c r="H61" s="45"/>
      <c r="I61" s="45"/>
      <c r="L61" s="19"/>
      <c r="N61" s="25"/>
      <c r="O61" s="25"/>
      <c r="P61" s="27"/>
      <c r="Q61" s="3"/>
      <c r="R61" s="6" t="str">
        <f>IF($H61&lt;&gt;"",RIGHT(Tabela1[[#This Row],[Ref.]],2),"")</f>
        <v/>
      </c>
      <c r="S61" s="6" t="str">
        <f t="shared" si="0"/>
        <v/>
      </c>
      <c r="T61" s="4" t="str">
        <f>IF($H61&lt;&gt;"",_xlfn.XLOOKUP(H61,Naturezas!B:B,Naturezas!E:E,"",0,1),"")</f>
        <v/>
      </c>
      <c r="U61" s="4" t="str">
        <f>IF($H61&lt;&gt;"",_xlfn.XLOOKUP($H61,Naturezas!B:B,Naturezas!D:D,"",0,1),"")</f>
        <v/>
      </c>
      <c r="V61" s="5" t="str">
        <f>IF(H61&lt;&gt;"",IF(OR(H61=Naturezas!$B$3,H61=Naturezas!$B$4,H61=Naturezas!$B$5,H61=Naturezas!$B$17,H61=Naturezas!$B$18,H61=Naturezas!$B$19),G61,-G61),"")</f>
        <v/>
      </c>
      <c r="W61" s="4" t="str">
        <f t="shared" si="4"/>
        <v/>
      </c>
      <c r="X61" s="4"/>
      <c r="Y61" s="4" t="str">
        <f t="shared" si="5"/>
        <v/>
      </c>
      <c r="Z61" s="6" t="str">
        <f>IF(H61&lt;&gt;"",Tabela1[[#This Row],[Iniciais]],"")</f>
        <v/>
      </c>
      <c r="AB61" s="6" t="str">
        <f>IF($H61&lt;&gt;"",RIGHT(Tabela1[[#This Row],[Ref.]],2),"")</f>
        <v/>
      </c>
      <c r="AC61" s="37" t="str">
        <f>IF($H61&lt;&gt;"",DATE(LEFT(Tabela1[[#This Row],[Ref.]],4),RIGHT(Tabela1[[#This Row],[Ref.]],2),1),"")</f>
        <v/>
      </c>
      <c r="AD61" s="4" t="str">
        <f t="shared" si="1"/>
        <v/>
      </c>
      <c r="AE61" s="5" t="str">
        <f t="shared" si="2"/>
        <v/>
      </c>
      <c r="AF61" s="4"/>
      <c r="AG61" s="6" t="str">
        <f t="shared" si="3"/>
        <v/>
      </c>
    </row>
    <row r="62" spans="1:38" ht="15.75" customHeight="1" x14ac:dyDescent="0.2">
      <c r="A62" s="35"/>
      <c r="B62" s="44"/>
      <c r="C62" s="35"/>
      <c r="D62" s="35"/>
      <c r="E62" s="48"/>
      <c r="F62" s="45"/>
      <c r="G62" s="38"/>
      <c r="H62" s="45"/>
      <c r="I62" s="45"/>
      <c r="L62" s="19"/>
      <c r="N62" s="25"/>
      <c r="O62" s="25"/>
      <c r="P62" s="27"/>
      <c r="Q62" s="3"/>
      <c r="R62" s="6" t="str">
        <f>IF($H62&lt;&gt;"",RIGHT(Tabela1[[#This Row],[Ref.]],2),"")</f>
        <v/>
      </c>
      <c r="S62" s="6" t="str">
        <f t="shared" si="0"/>
        <v/>
      </c>
      <c r="T62" s="4" t="str">
        <f>IF($H62&lt;&gt;"",_xlfn.XLOOKUP(H62,Naturezas!B:B,Naturezas!E:E,"",0,1),"")</f>
        <v/>
      </c>
      <c r="U62" s="4" t="str">
        <f>IF($H62&lt;&gt;"",_xlfn.XLOOKUP($H62,Naturezas!B:B,Naturezas!D:D,"",0,1),"")</f>
        <v/>
      </c>
      <c r="V62" s="5" t="str">
        <f>IF(H62&lt;&gt;"",IF(OR(H62=Naturezas!$B$3,H62=Naturezas!$B$4,H62=Naturezas!$B$5,H62=Naturezas!$B$17,H62=Naturezas!$B$18,H62=Naturezas!$B$19),G62,-G62),"")</f>
        <v/>
      </c>
      <c r="W62" s="4" t="str">
        <f t="shared" si="4"/>
        <v/>
      </c>
      <c r="X62" s="4"/>
      <c r="Y62" s="4" t="str">
        <f t="shared" si="5"/>
        <v/>
      </c>
      <c r="Z62" s="6" t="str">
        <f>IF(H62&lt;&gt;"",Tabela1[[#This Row],[Iniciais]],"")</f>
        <v/>
      </c>
      <c r="AB62" s="6" t="str">
        <f>IF($H62&lt;&gt;"",RIGHT(Tabela1[[#This Row],[Ref.]],2),"")</f>
        <v/>
      </c>
      <c r="AC62" s="37" t="str">
        <f>IF($H62&lt;&gt;"",DATE(LEFT(Tabela1[[#This Row],[Ref.]],4),RIGHT(Tabela1[[#This Row],[Ref.]],2),1),"")</f>
        <v/>
      </c>
      <c r="AD62" s="4" t="str">
        <f t="shared" si="1"/>
        <v/>
      </c>
      <c r="AE62" s="5" t="str">
        <f t="shared" si="2"/>
        <v/>
      </c>
      <c r="AF62" s="4"/>
      <c r="AG62" s="6" t="str">
        <f t="shared" si="3"/>
        <v/>
      </c>
    </row>
    <row r="63" spans="1:38" ht="15.75" customHeight="1" x14ac:dyDescent="0.2">
      <c r="A63" s="35"/>
      <c r="B63" s="44"/>
      <c r="C63" s="35"/>
      <c r="D63" s="35"/>
      <c r="E63" s="48"/>
      <c r="F63" s="45"/>
      <c r="G63" s="38"/>
      <c r="H63" s="45"/>
      <c r="I63" s="45"/>
      <c r="L63" s="19"/>
      <c r="N63" s="25"/>
      <c r="O63" s="25"/>
      <c r="P63" s="27"/>
      <c r="Q63" s="3"/>
      <c r="R63" s="6" t="str">
        <f>IF($H63&lt;&gt;"",RIGHT(Tabela1[[#This Row],[Ref.]],2),"")</f>
        <v/>
      </c>
      <c r="S63" s="6" t="str">
        <f t="shared" si="0"/>
        <v/>
      </c>
      <c r="T63" s="4" t="str">
        <f>IF($H63&lt;&gt;"",_xlfn.XLOOKUP(H63,Naturezas!B:B,Naturezas!E:E,"",0,1),"")</f>
        <v/>
      </c>
      <c r="U63" s="4" t="str">
        <f>IF($H63&lt;&gt;"",_xlfn.XLOOKUP($H63,Naturezas!B:B,Naturezas!D:D,"",0,1),"")</f>
        <v/>
      </c>
      <c r="V63" s="5" t="str">
        <f>IF(H63&lt;&gt;"",IF(OR(H63=Naturezas!$B$3,H63=Naturezas!$B$4,H63=Naturezas!$B$5,H63=Naturezas!$B$17,H63=Naturezas!$B$18,H63=Naturezas!$B$19),G63,-G63),"")</f>
        <v/>
      </c>
      <c r="W63" s="4" t="str">
        <f t="shared" si="4"/>
        <v/>
      </c>
      <c r="X63" s="4"/>
      <c r="Y63" s="4" t="str">
        <f t="shared" si="5"/>
        <v/>
      </c>
      <c r="Z63" s="6" t="str">
        <f>IF(H63&lt;&gt;"",Tabela1[[#This Row],[Iniciais]],"")</f>
        <v/>
      </c>
      <c r="AB63" s="6" t="str">
        <f>IF($H63&lt;&gt;"",RIGHT(Tabela1[[#This Row],[Ref.]],2),"")</f>
        <v/>
      </c>
      <c r="AC63" s="37" t="str">
        <f>IF($H63&lt;&gt;"",DATE(LEFT(Tabela1[[#This Row],[Ref.]],4),RIGHT(Tabela1[[#This Row],[Ref.]],2),1),"")</f>
        <v/>
      </c>
      <c r="AD63" s="4" t="str">
        <f t="shared" si="1"/>
        <v/>
      </c>
      <c r="AE63" s="5" t="str">
        <f t="shared" si="2"/>
        <v/>
      </c>
      <c r="AF63" s="4"/>
      <c r="AG63" s="6" t="str">
        <f t="shared" si="3"/>
        <v/>
      </c>
      <c r="AK63" s="10" t="s">
        <v>78</v>
      </c>
      <c r="AL63" s="10" t="s">
        <v>79</v>
      </c>
    </row>
    <row r="64" spans="1:38" ht="15.75" customHeight="1" x14ac:dyDescent="0.2">
      <c r="A64" s="35"/>
      <c r="B64" s="44"/>
      <c r="C64" s="35"/>
      <c r="D64" s="35"/>
      <c r="E64" s="48"/>
      <c r="F64" s="45"/>
      <c r="G64" s="38"/>
      <c r="H64" s="45"/>
      <c r="I64" s="45"/>
      <c r="L64" s="19"/>
      <c r="N64" s="25"/>
      <c r="O64" s="25"/>
      <c r="P64" s="27"/>
      <c r="Q64" s="3"/>
      <c r="R64" s="6" t="str">
        <f>IF($H64&lt;&gt;"",RIGHT(Tabela1[[#This Row],[Ref.]],2),"")</f>
        <v/>
      </c>
      <c r="S64" s="6" t="str">
        <f t="shared" si="0"/>
        <v/>
      </c>
      <c r="T64" s="4" t="str">
        <f>IF($H64&lt;&gt;"",_xlfn.XLOOKUP(H64,Naturezas!B:B,Naturezas!E:E,"",0,1),"")</f>
        <v/>
      </c>
      <c r="U64" s="4" t="str">
        <f>IF($H64&lt;&gt;"",_xlfn.XLOOKUP($H64,Naturezas!B:B,Naturezas!D:D,"",0,1),"")</f>
        <v/>
      </c>
      <c r="V64" s="5" t="str">
        <f>IF(H64&lt;&gt;"",IF(OR(H64=Naturezas!$B$3,H64=Naturezas!$B$4,H64=Naturezas!$B$5,H64=Naturezas!$B$17,H64=Naturezas!$B$18,H64=Naturezas!$B$19),G64,-G64),"")</f>
        <v/>
      </c>
      <c r="W64" s="4" t="str">
        <f t="shared" si="4"/>
        <v/>
      </c>
      <c r="X64" s="4"/>
      <c r="Y64" s="4" t="str">
        <f t="shared" si="5"/>
        <v/>
      </c>
      <c r="Z64" s="6" t="str">
        <f>IF(H64&lt;&gt;"",Tabela1[[#This Row],[Iniciais]],"")</f>
        <v/>
      </c>
      <c r="AB64" s="6" t="str">
        <f>IF($H64&lt;&gt;"",RIGHT(Tabela1[[#This Row],[Ref.]],2),"")</f>
        <v/>
      </c>
      <c r="AC64" s="37" t="str">
        <f>IF($H64&lt;&gt;"",DATE(LEFT(Tabela1[[#This Row],[Ref.]],4),RIGHT(Tabela1[[#This Row],[Ref.]],2),1),"")</f>
        <v/>
      </c>
      <c r="AD64" s="4" t="str">
        <f t="shared" si="1"/>
        <v/>
      </c>
      <c r="AE64" s="5" t="str">
        <f t="shared" si="2"/>
        <v/>
      </c>
      <c r="AF64" s="4"/>
      <c r="AG64" s="6" t="str">
        <f t="shared" si="3"/>
        <v/>
      </c>
      <c r="AK64" s="10">
        <v>198.48</v>
      </c>
      <c r="AL64" s="2">
        <v>279.9399999999996</v>
      </c>
    </row>
    <row r="65" spans="1:37" ht="15.75" customHeight="1" x14ac:dyDescent="0.2">
      <c r="A65" s="35"/>
      <c r="B65" s="44"/>
      <c r="C65" s="35"/>
      <c r="D65" s="35"/>
      <c r="E65" s="48"/>
      <c r="F65" s="45"/>
      <c r="G65" s="38"/>
      <c r="H65" s="45"/>
      <c r="I65" s="45"/>
      <c r="L65" s="19"/>
      <c r="N65" s="25"/>
      <c r="O65" s="25"/>
      <c r="P65" s="27"/>
      <c r="Q65" s="3"/>
      <c r="R65" s="6" t="str">
        <f>IF($H65&lt;&gt;"",RIGHT(Tabela1[[#This Row],[Ref.]],2),"")</f>
        <v/>
      </c>
      <c r="S65" s="6" t="str">
        <f t="shared" si="0"/>
        <v/>
      </c>
      <c r="T65" s="4" t="str">
        <f>IF($H65&lt;&gt;"",_xlfn.XLOOKUP(H65,Naturezas!B:B,Naturezas!E:E,"",0,1),"")</f>
        <v/>
      </c>
      <c r="U65" s="4" t="str">
        <f>IF($H65&lt;&gt;"",_xlfn.XLOOKUP($H65,Naturezas!B:B,Naturezas!D:D,"",0,1),"")</f>
        <v/>
      </c>
      <c r="V65" s="5" t="str">
        <f>IF(H65&lt;&gt;"",IF(OR(H65=Naturezas!$B$3,H65=Naturezas!$B$4,H65=Naturezas!$B$5,H65=Naturezas!$B$17,H65=Naturezas!$B$18,H65=Naturezas!$B$19),G65,-G65),"")</f>
        <v/>
      </c>
      <c r="W65" s="4" t="str">
        <f t="shared" si="4"/>
        <v/>
      </c>
      <c r="X65" s="4"/>
      <c r="Y65" s="4" t="str">
        <f t="shared" si="5"/>
        <v/>
      </c>
      <c r="Z65" s="6" t="str">
        <f>IF(H65&lt;&gt;"",Tabela1[[#This Row],[Iniciais]],"")</f>
        <v/>
      </c>
      <c r="AB65" s="6" t="str">
        <f>IF($H65&lt;&gt;"",RIGHT(Tabela1[[#This Row],[Ref.]],2),"")</f>
        <v/>
      </c>
      <c r="AC65" s="37" t="str">
        <f>IF($H65&lt;&gt;"",DATE(LEFT(Tabela1[[#This Row],[Ref.]],4),RIGHT(Tabela1[[#This Row],[Ref.]],2),1),"")</f>
        <v/>
      </c>
      <c r="AD65" s="4" t="str">
        <f t="shared" si="1"/>
        <v/>
      </c>
      <c r="AE65" s="5" t="str">
        <f t="shared" si="2"/>
        <v/>
      </c>
      <c r="AF65" s="4"/>
      <c r="AG65" s="6" t="str">
        <f t="shared" si="3"/>
        <v/>
      </c>
    </row>
    <row r="66" spans="1:37" ht="15.75" customHeight="1" x14ac:dyDescent="0.2">
      <c r="A66" s="35"/>
      <c r="B66" s="44"/>
      <c r="C66" s="35"/>
      <c r="D66" s="35"/>
      <c r="E66" s="48"/>
      <c r="F66" s="45"/>
      <c r="G66" s="38"/>
      <c r="H66" s="45"/>
      <c r="I66" s="45"/>
      <c r="L66" s="19"/>
      <c r="N66" s="25"/>
      <c r="O66" s="25"/>
      <c r="P66" s="27"/>
      <c r="Q66" s="3"/>
      <c r="R66" s="6" t="str">
        <f>IF($H66&lt;&gt;"",RIGHT(Tabela1[[#This Row],[Ref.]],2),"")</f>
        <v/>
      </c>
      <c r="S66" s="6" t="str">
        <f t="shared" si="0"/>
        <v/>
      </c>
      <c r="T66" s="4" t="str">
        <f>IF($H66&lt;&gt;"",_xlfn.XLOOKUP(H66,Naturezas!B:B,Naturezas!E:E,"",0,1),"")</f>
        <v/>
      </c>
      <c r="U66" s="4" t="str">
        <f>IF($H66&lt;&gt;"",_xlfn.XLOOKUP($H66,Naturezas!B:B,Naturezas!D:D,"",0,1),"")</f>
        <v/>
      </c>
      <c r="V66" s="5" t="str">
        <f>IF(H66&lt;&gt;"",IF(OR(H66=Naturezas!$B$3,H66=Naturezas!$B$4,H66=Naturezas!$B$5,H66=Naturezas!$B$17,H66=Naturezas!$B$18,H66=Naturezas!$B$19),G66,-G66),"")</f>
        <v/>
      </c>
      <c r="W66" s="4" t="str">
        <f t="shared" si="4"/>
        <v/>
      </c>
      <c r="X66" s="4"/>
      <c r="Y66" s="4" t="str">
        <f t="shared" si="5"/>
        <v/>
      </c>
      <c r="Z66" s="6" t="str">
        <f>IF(H66&lt;&gt;"",Tabela1[[#This Row],[Iniciais]],"")</f>
        <v/>
      </c>
      <c r="AB66" s="6" t="str">
        <f>IF($H66&lt;&gt;"",RIGHT(Tabela1[[#This Row],[Ref.]],2),"")</f>
        <v/>
      </c>
      <c r="AC66" s="37" t="str">
        <f>IF($H66&lt;&gt;"",DATE(LEFT(Tabela1[[#This Row],[Ref.]],4),RIGHT(Tabela1[[#This Row],[Ref.]],2),1),"")</f>
        <v/>
      </c>
      <c r="AD66" s="4" t="str">
        <f t="shared" si="1"/>
        <v/>
      </c>
      <c r="AE66" s="5" t="str">
        <f t="shared" si="2"/>
        <v/>
      </c>
      <c r="AF66" s="4"/>
      <c r="AG66" s="6" t="str">
        <f t="shared" si="3"/>
        <v/>
      </c>
    </row>
    <row r="67" spans="1:37" ht="15.75" customHeight="1" x14ac:dyDescent="0.2">
      <c r="A67" s="35"/>
      <c r="B67" s="44"/>
      <c r="C67" s="35"/>
      <c r="D67" s="35"/>
      <c r="E67" s="48"/>
      <c r="F67" s="45"/>
      <c r="G67" s="38"/>
      <c r="H67" s="45"/>
      <c r="I67" s="45"/>
      <c r="L67" s="19"/>
      <c r="N67" s="25"/>
      <c r="O67" s="25"/>
      <c r="P67" s="27"/>
      <c r="Q67" s="3"/>
      <c r="R67" s="6" t="str">
        <f>IF($H67&lt;&gt;"",RIGHT(Tabela1[[#This Row],[Ref.]],2),"")</f>
        <v/>
      </c>
      <c r="S67" s="6" t="str">
        <f t="shared" si="0"/>
        <v/>
      </c>
      <c r="T67" s="4" t="str">
        <f>IF($H67&lt;&gt;"",_xlfn.XLOOKUP(H67,Naturezas!B:B,Naturezas!E:E,"",0,1),"")</f>
        <v/>
      </c>
      <c r="U67" s="4" t="str">
        <f>IF($H67&lt;&gt;"",_xlfn.XLOOKUP($H67,Naturezas!B:B,Naturezas!D:D,"",0,1),"")</f>
        <v/>
      </c>
      <c r="V67" s="5" t="str">
        <f>IF(H67&lt;&gt;"",IF(OR(H67=Naturezas!$B$3,H67=Naturezas!$B$4,H67=Naturezas!$B$5,H67=Naturezas!$B$17,H67=Naturezas!$B$18,H67=Naturezas!$B$19),G67,-G67),"")</f>
        <v/>
      </c>
      <c r="W67" s="4" t="str">
        <f t="shared" si="4"/>
        <v/>
      </c>
      <c r="X67" s="4"/>
      <c r="Y67" s="4" t="str">
        <f t="shared" si="5"/>
        <v/>
      </c>
      <c r="Z67" s="6" t="str">
        <f>IF(H67&lt;&gt;"",Tabela1[[#This Row],[Iniciais]],"")</f>
        <v/>
      </c>
      <c r="AB67" s="6" t="str">
        <f>IF($H67&lt;&gt;"",RIGHT(Tabela1[[#This Row],[Ref.]],2),"")</f>
        <v/>
      </c>
      <c r="AC67" s="37" t="str">
        <f>IF($H67&lt;&gt;"",DATE(LEFT(Tabela1[[#This Row],[Ref.]],4),RIGHT(Tabela1[[#This Row],[Ref.]],2),1),"")</f>
        <v/>
      </c>
      <c r="AD67" s="4" t="str">
        <f t="shared" si="1"/>
        <v/>
      </c>
      <c r="AE67" s="5" t="str">
        <f t="shared" si="2"/>
        <v/>
      </c>
      <c r="AF67" s="4"/>
      <c r="AG67" s="6" t="str">
        <f t="shared" si="3"/>
        <v/>
      </c>
    </row>
    <row r="68" spans="1:37" ht="15.75" customHeight="1" x14ac:dyDescent="0.2">
      <c r="A68" s="35"/>
      <c r="B68" s="44"/>
      <c r="C68" s="35"/>
      <c r="D68" s="35"/>
      <c r="E68" s="48"/>
      <c r="F68" s="45"/>
      <c r="G68" s="38"/>
      <c r="H68" s="45"/>
      <c r="I68" s="45"/>
      <c r="L68" s="19"/>
      <c r="N68" s="25"/>
      <c r="O68" s="25"/>
      <c r="P68" s="27"/>
      <c r="Q68" s="3"/>
      <c r="R68" s="6" t="str">
        <f>IF($H68&lt;&gt;"",RIGHT(Tabela1[[#This Row],[Ref.]],2),"")</f>
        <v/>
      </c>
      <c r="S68" s="6" t="str">
        <f t="shared" si="0"/>
        <v/>
      </c>
      <c r="T68" s="4" t="str">
        <f>IF($H68&lt;&gt;"",_xlfn.XLOOKUP(H68,Naturezas!B:B,Naturezas!E:E,"",0,1),"")</f>
        <v/>
      </c>
      <c r="U68" s="4" t="str">
        <f>IF($H68&lt;&gt;"",_xlfn.XLOOKUP($H68,Naturezas!B:B,Naturezas!D:D,"",0,1),"")</f>
        <v/>
      </c>
      <c r="V68" s="5" t="str">
        <f>IF(H68&lt;&gt;"",IF(OR(H68=Naturezas!$B$3,H68=Naturezas!$B$4,H68=Naturezas!$B$5,H68=Naturezas!$B$17,H68=Naturezas!$B$18,H68=Naturezas!$B$19),G68,-G68),"")</f>
        <v/>
      </c>
      <c r="W68" s="4" t="str">
        <f t="shared" si="4"/>
        <v/>
      </c>
      <c r="X68" s="4"/>
      <c r="Y68" s="4" t="str">
        <f t="shared" si="5"/>
        <v/>
      </c>
      <c r="Z68" s="6" t="str">
        <f>IF(H68&lt;&gt;"",Tabela1[[#This Row],[Iniciais]],"")</f>
        <v/>
      </c>
      <c r="AB68" s="6" t="str">
        <f>IF($H68&lt;&gt;"",RIGHT(Tabela1[[#This Row],[Ref.]],2),"")</f>
        <v/>
      </c>
      <c r="AC68" s="37" t="str">
        <f>IF($H68&lt;&gt;"",DATE(LEFT(Tabela1[[#This Row],[Ref.]],4),RIGHT(Tabela1[[#This Row],[Ref.]],2),1),"")</f>
        <v/>
      </c>
      <c r="AD68" s="4" t="str">
        <f t="shared" si="1"/>
        <v/>
      </c>
      <c r="AE68" s="5" t="str">
        <f t="shared" si="2"/>
        <v/>
      </c>
      <c r="AF68" s="4"/>
      <c r="AG68" s="6" t="str">
        <f t="shared" si="3"/>
        <v/>
      </c>
    </row>
    <row r="69" spans="1:37" ht="15.75" customHeight="1" x14ac:dyDescent="0.2">
      <c r="A69" s="35"/>
      <c r="B69" s="44"/>
      <c r="C69" s="35"/>
      <c r="D69" s="35"/>
      <c r="E69" s="48"/>
      <c r="F69" s="45"/>
      <c r="G69" s="38"/>
      <c r="H69" s="45"/>
      <c r="I69" s="45"/>
      <c r="L69" s="19"/>
      <c r="N69" s="25"/>
      <c r="O69" s="25"/>
      <c r="P69" s="27"/>
      <c r="Q69" s="3"/>
      <c r="R69" s="6" t="str">
        <f>IF($H69&lt;&gt;"",RIGHT(Tabela1[[#This Row],[Ref.]],2),"")</f>
        <v/>
      </c>
      <c r="S69" s="6" t="str">
        <f t="shared" si="0"/>
        <v/>
      </c>
      <c r="T69" s="4" t="str">
        <f>IF($H69&lt;&gt;"",_xlfn.XLOOKUP(H69,Naturezas!B:B,Naturezas!E:E,"",0,1),"")</f>
        <v/>
      </c>
      <c r="U69" s="4" t="str">
        <f>IF($H69&lt;&gt;"",_xlfn.XLOOKUP($H69,Naturezas!B:B,Naturezas!D:D,"",0,1),"")</f>
        <v/>
      </c>
      <c r="V69" s="5" t="str">
        <f>IF(H69&lt;&gt;"",IF(OR(H69=Naturezas!$B$3,H69=Naturezas!$B$4,H69=Naturezas!$B$5,H69=Naturezas!$B$17,H69=Naturezas!$B$18,H69=Naturezas!$B$19),G69,-G69),"")</f>
        <v/>
      </c>
      <c r="W69" s="4" t="str">
        <f t="shared" si="4"/>
        <v/>
      </c>
      <c r="X69" s="4"/>
      <c r="Y69" s="4" t="str">
        <f t="shared" si="5"/>
        <v/>
      </c>
      <c r="Z69" s="6" t="str">
        <f>IF(H69&lt;&gt;"",Tabela1[[#This Row],[Iniciais]],"")</f>
        <v/>
      </c>
      <c r="AB69" s="6" t="str">
        <f>IF($H69&lt;&gt;"",RIGHT(Tabela1[[#This Row],[Ref.]],2),"")</f>
        <v/>
      </c>
      <c r="AC69" s="37" t="str">
        <f>IF($H69&lt;&gt;"",DATE(LEFT(Tabela1[[#This Row],[Ref.]],4),RIGHT(Tabela1[[#This Row],[Ref.]],2),1),"")</f>
        <v/>
      </c>
      <c r="AD69" s="4" t="str">
        <f t="shared" si="1"/>
        <v/>
      </c>
      <c r="AE69" s="5" t="str">
        <f t="shared" si="2"/>
        <v/>
      </c>
      <c r="AF69" s="4"/>
      <c r="AG69" s="6" t="str">
        <f t="shared" si="3"/>
        <v/>
      </c>
    </row>
    <row r="70" spans="1:37" ht="15.75" customHeight="1" x14ac:dyDescent="0.2">
      <c r="A70" s="35"/>
      <c r="B70" s="44"/>
      <c r="C70" s="35"/>
      <c r="D70" s="35"/>
      <c r="E70" s="48"/>
      <c r="F70" s="45"/>
      <c r="G70" s="38"/>
      <c r="H70" s="45"/>
      <c r="I70" s="45"/>
      <c r="L70" s="19"/>
      <c r="N70" s="25"/>
      <c r="O70" s="25"/>
      <c r="P70" s="27"/>
      <c r="Q70" s="3"/>
      <c r="R70" s="6" t="str">
        <f>IF($H70&lt;&gt;"",RIGHT(Tabela1[[#This Row],[Ref.]],2),"")</f>
        <v/>
      </c>
      <c r="S70" s="6" t="str">
        <f t="shared" si="0"/>
        <v/>
      </c>
      <c r="T70" s="4" t="str">
        <f>IF($H70&lt;&gt;"",_xlfn.XLOOKUP(H70,Naturezas!B:B,Naturezas!E:E,"",0,1),"")</f>
        <v/>
      </c>
      <c r="U70" s="4" t="str">
        <f>IF($H70&lt;&gt;"",_xlfn.XLOOKUP($H70,Naturezas!B:B,Naturezas!D:D,"",0,1),"")</f>
        <v/>
      </c>
      <c r="V70" s="5" t="str">
        <f>IF(H70&lt;&gt;"",IF(OR(H70=Naturezas!$B$3,H70=Naturezas!$B$4,H70=Naturezas!$B$5,H70=Naturezas!$B$17,H70=Naturezas!$B$18,H70=Naturezas!$B$19),G70,-G70),"")</f>
        <v/>
      </c>
      <c r="W70" s="4" t="str">
        <f t="shared" si="4"/>
        <v/>
      </c>
      <c r="X70" s="4"/>
      <c r="Y70" s="4" t="str">
        <f t="shared" si="5"/>
        <v/>
      </c>
      <c r="Z70" s="6" t="str">
        <f>IF(H70&lt;&gt;"",Tabela1[[#This Row],[Iniciais]],"")</f>
        <v/>
      </c>
      <c r="AB70" s="6" t="str">
        <f>IF($H70&lt;&gt;"",RIGHT(Tabela1[[#This Row],[Ref.]],2),"")</f>
        <v/>
      </c>
      <c r="AC70" s="37" t="str">
        <f>IF($H70&lt;&gt;"",DATE(LEFT(Tabela1[[#This Row],[Ref.]],4),RIGHT(Tabela1[[#This Row],[Ref.]],2),1),"")</f>
        <v/>
      </c>
      <c r="AD70" s="4" t="str">
        <f t="shared" si="1"/>
        <v/>
      </c>
      <c r="AE70" s="5" t="str">
        <f t="shared" si="2"/>
        <v/>
      </c>
      <c r="AF70" s="4"/>
      <c r="AG70" s="6" t="str">
        <f t="shared" si="3"/>
        <v/>
      </c>
    </row>
    <row r="71" spans="1:37" ht="15.75" customHeight="1" x14ac:dyDescent="0.2">
      <c r="A71" s="35"/>
      <c r="B71" s="44"/>
      <c r="C71" s="35"/>
      <c r="D71" s="35"/>
      <c r="E71" s="48"/>
      <c r="F71" s="45"/>
      <c r="G71" s="38"/>
      <c r="H71" s="45"/>
      <c r="I71" s="45"/>
      <c r="L71" s="19"/>
      <c r="N71" s="25"/>
      <c r="O71" s="25"/>
      <c r="P71" s="27"/>
      <c r="Q71" s="3"/>
      <c r="R71" s="6" t="str">
        <f>IF($H71&lt;&gt;"",RIGHT(Tabela1[[#This Row],[Ref.]],2),"")</f>
        <v/>
      </c>
      <c r="S71" s="6" t="str">
        <f t="shared" si="0"/>
        <v/>
      </c>
      <c r="T71" s="4" t="str">
        <f>IF($H71&lt;&gt;"",_xlfn.XLOOKUP(H71,Naturezas!B:B,Naturezas!E:E,"",0,1),"")</f>
        <v/>
      </c>
      <c r="U71" s="4" t="str">
        <f>IF($H71&lt;&gt;"",_xlfn.XLOOKUP($H71,Naturezas!B:B,Naturezas!D:D,"",0,1),"")</f>
        <v/>
      </c>
      <c r="V71" s="5" t="str">
        <f>IF(H71&lt;&gt;"",IF(OR(H71=Naturezas!$B$3,H71=Naturezas!$B$4,H71=Naturezas!$B$5,H71=Naturezas!$B$17,H71=Naturezas!$B$18,H71=Naturezas!$B$19),G71,-G71),"")</f>
        <v/>
      </c>
      <c r="W71" s="4" t="str">
        <f t="shared" si="4"/>
        <v/>
      </c>
      <c r="X71" s="4"/>
      <c r="Y71" s="4" t="str">
        <f t="shared" si="5"/>
        <v/>
      </c>
      <c r="Z71" s="6" t="str">
        <f>IF(H71&lt;&gt;"",Tabela1[[#This Row],[Iniciais]],"")</f>
        <v/>
      </c>
      <c r="AB71" s="6" t="str">
        <f>IF($H71&lt;&gt;"",RIGHT(Tabela1[[#This Row],[Ref.]],2),"")</f>
        <v/>
      </c>
      <c r="AC71" s="37" t="str">
        <f>IF($H71&lt;&gt;"",DATE(LEFT(Tabela1[[#This Row],[Ref.]],4),RIGHT(Tabela1[[#This Row],[Ref.]],2),1),"")</f>
        <v/>
      </c>
      <c r="AD71" s="4" t="str">
        <f t="shared" si="1"/>
        <v/>
      </c>
      <c r="AE71" s="5" t="str">
        <f t="shared" si="2"/>
        <v/>
      </c>
      <c r="AF71" s="4"/>
      <c r="AG71" s="6" t="str">
        <f t="shared" si="3"/>
        <v/>
      </c>
    </row>
    <row r="72" spans="1:37" ht="15.75" customHeight="1" x14ac:dyDescent="0.2">
      <c r="A72" s="35"/>
      <c r="B72" s="44"/>
      <c r="C72" s="35"/>
      <c r="D72" s="35"/>
      <c r="E72" s="48"/>
      <c r="F72" s="45"/>
      <c r="G72" s="38"/>
      <c r="H72" s="45"/>
      <c r="I72" s="45"/>
      <c r="L72" s="19"/>
      <c r="N72" s="25"/>
      <c r="O72" s="25"/>
      <c r="P72" s="27"/>
      <c r="Q72" s="3"/>
      <c r="R72" s="6" t="str">
        <f>IF($H72&lt;&gt;"",RIGHT(Tabela1[[#This Row],[Ref.]],2),"")</f>
        <v/>
      </c>
      <c r="S72" s="6" t="str">
        <f t="shared" si="0"/>
        <v/>
      </c>
      <c r="T72" s="4" t="str">
        <f>IF($H72&lt;&gt;"",_xlfn.XLOOKUP(H72,Naturezas!B:B,Naturezas!E:E,"",0,1),"")</f>
        <v/>
      </c>
      <c r="U72" s="4" t="str">
        <f>IF($H72&lt;&gt;"",_xlfn.XLOOKUP($H72,Naturezas!B:B,Naturezas!D:D,"",0,1),"")</f>
        <v/>
      </c>
      <c r="V72" s="5" t="str">
        <f>IF(H72&lt;&gt;"",IF(OR(H72=Naturezas!$B$3,H72=Naturezas!$B$4,H72=Naturezas!$B$5,H72=Naturezas!$B$17,H72=Naturezas!$B$18,H72=Naturezas!$B$19),G72,-G72),"")</f>
        <v/>
      </c>
      <c r="W72" s="4" t="str">
        <f t="shared" si="4"/>
        <v/>
      </c>
      <c r="X72" s="4"/>
      <c r="Y72" s="4" t="str">
        <f t="shared" si="5"/>
        <v/>
      </c>
      <c r="Z72" s="6" t="str">
        <f>IF(H72&lt;&gt;"",Tabela1[[#This Row],[Iniciais]],"")</f>
        <v/>
      </c>
      <c r="AB72" s="6" t="str">
        <f>IF($H72&lt;&gt;"",RIGHT(Tabela1[[#This Row],[Ref.]],2),"")</f>
        <v/>
      </c>
      <c r="AC72" s="37" t="str">
        <f>IF($H72&lt;&gt;"",DATE(LEFT(Tabela1[[#This Row],[Ref.]],4),RIGHT(Tabela1[[#This Row],[Ref.]],2),1),"")</f>
        <v/>
      </c>
      <c r="AD72" s="4" t="str">
        <f t="shared" si="1"/>
        <v/>
      </c>
      <c r="AE72" s="5" t="str">
        <f t="shared" si="2"/>
        <v/>
      </c>
      <c r="AF72" s="4"/>
      <c r="AG72" s="6" t="str">
        <f t="shared" si="3"/>
        <v/>
      </c>
    </row>
    <row r="73" spans="1:37" ht="15.75" customHeight="1" x14ac:dyDescent="0.2">
      <c r="A73" s="35"/>
      <c r="B73" s="44"/>
      <c r="C73" s="35"/>
      <c r="D73" s="35"/>
      <c r="E73" s="48"/>
      <c r="F73" s="45"/>
      <c r="G73" s="38"/>
      <c r="H73" s="45"/>
      <c r="I73" s="45"/>
      <c r="L73" s="19"/>
      <c r="N73" s="25"/>
      <c r="O73" s="25"/>
      <c r="P73" s="27"/>
      <c r="Q73" s="3"/>
      <c r="R73" s="6" t="str">
        <f>IF($H73&lt;&gt;"",RIGHT(Tabela1[[#This Row],[Ref.]],2),"")</f>
        <v/>
      </c>
      <c r="S73" s="6" t="str">
        <f t="shared" ref="S73:S136" si="6">IF($H73&lt;&gt;"",1,"")</f>
        <v/>
      </c>
      <c r="T73" s="4" t="str">
        <f>IF($H73&lt;&gt;"",_xlfn.XLOOKUP(H73,Naturezas!B:B,Naturezas!E:E,"",0,1),"")</f>
        <v/>
      </c>
      <c r="U73" s="4" t="str">
        <f>IF($H73&lt;&gt;"",_xlfn.XLOOKUP($H73,Naturezas!B:B,Naturezas!D:D,"",0,1),"")</f>
        <v/>
      </c>
      <c r="V73" s="5" t="str">
        <f>IF(H73&lt;&gt;"",IF(OR(H73=Naturezas!$B$3,H73=Naturezas!$B$4,H73=Naturezas!$B$5,H73=Naturezas!$B$17,H73=Naturezas!$B$18,H73=Naturezas!$B$19),G73,-G73),"")</f>
        <v/>
      </c>
      <c r="W73" s="4" t="str">
        <f t="shared" si="4"/>
        <v/>
      </c>
      <c r="X73" s="4"/>
      <c r="Y73" s="4" t="str">
        <f t="shared" si="5"/>
        <v/>
      </c>
      <c r="Z73" s="6" t="str">
        <f>IF(H73&lt;&gt;"",Tabela1[[#This Row],[Iniciais]],"")</f>
        <v/>
      </c>
      <c r="AB73" s="6" t="str">
        <f>IF($H73&lt;&gt;"",RIGHT(Tabela1[[#This Row],[Ref.]],2),"")</f>
        <v/>
      </c>
      <c r="AC73" s="37" t="str">
        <f>IF($H73&lt;&gt;"",DATE(LEFT(Tabela1[[#This Row],[Ref.]],4),RIGHT(Tabela1[[#This Row],[Ref.]],2),1),"")</f>
        <v/>
      </c>
      <c r="AD73" s="4" t="str">
        <f t="shared" ref="AD73:AD136" si="7">IF($H73&lt;&gt;"",$F73,"")</f>
        <v/>
      </c>
      <c r="AE73" s="5" t="str">
        <f t="shared" ref="AE73:AE136" si="8">IF($H73&lt;&gt;"",$G73,"")</f>
        <v/>
      </c>
      <c r="AF73" s="4"/>
      <c r="AG73" s="6" t="str">
        <f t="shared" ref="AG73:AG136" si="9">IF($H73&lt;&gt;"",$B$2,"")</f>
        <v/>
      </c>
    </row>
    <row r="74" spans="1:37" ht="15.75" customHeight="1" x14ac:dyDescent="0.2">
      <c r="A74" s="35"/>
      <c r="B74" s="44"/>
      <c r="C74" s="35"/>
      <c r="D74" s="35"/>
      <c r="E74" s="48"/>
      <c r="F74" s="45"/>
      <c r="G74" s="38"/>
      <c r="H74" s="45"/>
      <c r="I74" s="45"/>
      <c r="J74" s="2"/>
      <c r="K74" s="2"/>
      <c r="L74" s="20"/>
      <c r="M74" s="2"/>
      <c r="N74" s="25"/>
      <c r="O74" s="25"/>
      <c r="P74" s="29"/>
      <c r="Q74" s="3"/>
      <c r="R74" s="6" t="str">
        <f>IF($H74&lt;&gt;"",RIGHT(Tabela1[[#This Row],[Ref.]],2),"")</f>
        <v/>
      </c>
      <c r="S74" s="6" t="str">
        <f t="shared" si="6"/>
        <v/>
      </c>
      <c r="T74" s="4" t="str">
        <f>IF($H74&lt;&gt;"",_xlfn.XLOOKUP(H74,Naturezas!B:B,Naturezas!E:E,"",0,1),"")</f>
        <v/>
      </c>
      <c r="U74" s="4" t="str">
        <f>IF($H74&lt;&gt;"",_xlfn.XLOOKUP($H74,Naturezas!B:B,Naturezas!D:D,"",0,1),"")</f>
        <v/>
      </c>
      <c r="V74" s="5" t="str">
        <f>IF(H74&lt;&gt;"",IF(OR(H74=Naturezas!$B$3,H74=Naturezas!$B$4,H74=Naturezas!$B$5,H74=Naturezas!$B$17,H74=Naturezas!$B$18,H74=Naturezas!$B$19),G74,-G74),"")</f>
        <v/>
      </c>
      <c r="W74" s="4" t="str">
        <f t="shared" ref="W74:W137" si="10">IF(H74&lt;&gt;"",H74,"")</f>
        <v/>
      </c>
      <c r="X74" s="4"/>
      <c r="Y74" s="4" t="str">
        <f t="shared" ref="Y74:Y137" si="11">IF(H74&lt;&gt;"",F74,"")</f>
        <v/>
      </c>
      <c r="Z74" s="6" t="str">
        <f>IF(H74&lt;&gt;"",Tabela1[[#This Row],[Iniciais]],"")</f>
        <v/>
      </c>
      <c r="AA74" s="2"/>
      <c r="AB74" s="6" t="str">
        <f>IF($H74&lt;&gt;"",RIGHT(Tabela1[[#This Row],[Ref.]],2),"")</f>
        <v/>
      </c>
      <c r="AC74" s="37" t="str">
        <f>IF($H74&lt;&gt;"",DATE(LEFT(Tabela1[[#This Row],[Ref.]],4),RIGHT(Tabela1[[#This Row],[Ref.]],2),1),"")</f>
        <v/>
      </c>
      <c r="AD74" s="4" t="str">
        <f t="shared" si="7"/>
        <v/>
      </c>
      <c r="AE74" s="5" t="str">
        <f t="shared" si="8"/>
        <v/>
      </c>
      <c r="AF74" s="4"/>
      <c r="AG74" s="6" t="str">
        <f t="shared" si="9"/>
        <v/>
      </c>
      <c r="AH74" s="2"/>
      <c r="AI74" s="2"/>
      <c r="AK74" s="2"/>
    </row>
    <row r="75" spans="1:37" ht="15.75" customHeight="1" x14ac:dyDescent="0.2">
      <c r="A75" s="35"/>
      <c r="B75" s="44"/>
      <c r="C75" s="35"/>
      <c r="D75" s="35"/>
      <c r="E75" s="48"/>
      <c r="F75" s="45"/>
      <c r="G75" s="38"/>
      <c r="H75" s="45"/>
      <c r="I75" s="45"/>
      <c r="L75" s="19"/>
      <c r="N75" s="25"/>
      <c r="O75" s="25"/>
      <c r="P75" s="27"/>
      <c r="Q75" s="3"/>
      <c r="R75" s="6" t="str">
        <f>IF($H75&lt;&gt;"",RIGHT(Tabela1[[#This Row],[Ref.]],2),"")</f>
        <v/>
      </c>
      <c r="S75" s="6" t="str">
        <f t="shared" si="6"/>
        <v/>
      </c>
      <c r="T75" s="4" t="str">
        <f>IF($H75&lt;&gt;"",_xlfn.XLOOKUP(H75,Naturezas!B:B,Naturezas!E:E,"",0,1),"")</f>
        <v/>
      </c>
      <c r="U75" s="4" t="str">
        <f>IF($H75&lt;&gt;"",_xlfn.XLOOKUP($H75,Naturezas!B:B,Naturezas!D:D,"",0,1),"")</f>
        <v/>
      </c>
      <c r="V75" s="5" t="str">
        <f>IF(H75&lt;&gt;"",IF(OR(H75=Naturezas!$B$3,H75=Naturezas!$B$4,H75=Naturezas!$B$5,H75=Naturezas!$B$17,H75=Naturezas!$B$18,H75=Naturezas!$B$19),G75,-G75),"")</f>
        <v/>
      </c>
      <c r="W75" s="4" t="str">
        <f t="shared" si="10"/>
        <v/>
      </c>
      <c r="X75" s="4"/>
      <c r="Y75" s="4" t="str">
        <f t="shared" si="11"/>
        <v/>
      </c>
      <c r="Z75" s="6" t="str">
        <f>IF(H75&lt;&gt;"",Tabela1[[#This Row],[Iniciais]],"")</f>
        <v/>
      </c>
      <c r="AB75" s="6" t="str">
        <f>IF($H75&lt;&gt;"",RIGHT(Tabela1[[#This Row],[Ref.]],2),"")</f>
        <v/>
      </c>
      <c r="AC75" s="37" t="str">
        <f>IF($H75&lt;&gt;"",DATE(LEFT(Tabela1[[#This Row],[Ref.]],4),RIGHT(Tabela1[[#This Row],[Ref.]],2),1),"")</f>
        <v/>
      </c>
      <c r="AD75" s="4" t="str">
        <f t="shared" si="7"/>
        <v/>
      </c>
      <c r="AE75" s="5" t="str">
        <f t="shared" si="8"/>
        <v/>
      </c>
      <c r="AF75" s="4"/>
      <c r="AG75" s="6" t="str">
        <f t="shared" si="9"/>
        <v/>
      </c>
    </row>
    <row r="76" spans="1:37" ht="15.75" customHeight="1" x14ac:dyDescent="0.2">
      <c r="A76" s="35"/>
      <c r="B76" s="44"/>
      <c r="C76" s="35"/>
      <c r="D76" s="35"/>
      <c r="E76" s="48"/>
      <c r="F76" s="45"/>
      <c r="G76" s="38"/>
      <c r="H76" s="45"/>
      <c r="I76" s="45"/>
      <c r="L76" s="19"/>
      <c r="N76" s="25"/>
      <c r="O76" s="25"/>
      <c r="P76" s="27"/>
      <c r="Q76" s="3"/>
      <c r="R76" s="6" t="str">
        <f>IF($H76&lt;&gt;"",RIGHT(Tabela1[[#This Row],[Ref.]],2),"")</f>
        <v/>
      </c>
      <c r="S76" s="6" t="str">
        <f t="shared" si="6"/>
        <v/>
      </c>
      <c r="T76" s="4" t="str">
        <f>IF($H76&lt;&gt;"",_xlfn.XLOOKUP(H76,Naturezas!B:B,Naturezas!E:E,"",0,1),"")</f>
        <v/>
      </c>
      <c r="U76" s="4" t="str">
        <f>IF($H76&lt;&gt;"",_xlfn.XLOOKUP($H76,Naturezas!B:B,Naturezas!D:D,"",0,1),"")</f>
        <v/>
      </c>
      <c r="V76" s="5" t="str">
        <f>IF(H76&lt;&gt;"",IF(OR(H76=Naturezas!$B$3,H76=Naturezas!$B$4,H76=Naturezas!$B$5,H76=Naturezas!$B$17,H76=Naturezas!$B$18,H76=Naturezas!$B$19),G76,-G76),"")</f>
        <v/>
      </c>
      <c r="W76" s="4" t="str">
        <f t="shared" si="10"/>
        <v/>
      </c>
      <c r="X76" s="4"/>
      <c r="Y76" s="4" t="str">
        <f t="shared" si="11"/>
        <v/>
      </c>
      <c r="Z76" s="6" t="str">
        <f>IF(H76&lt;&gt;"",Tabela1[[#This Row],[Iniciais]],"")</f>
        <v/>
      </c>
      <c r="AB76" s="6" t="str">
        <f>IF($H76&lt;&gt;"",RIGHT(Tabela1[[#This Row],[Ref.]],2),"")</f>
        <v/>
      </c>
      <c r="AC76" s="37" t="str">
        <f>IF($H76&lt;&gt;"",DATE(LEFT(Tabela1[[#This Row],[Ref.]],4),RIGHT(Tabela1[[#This Row],[Ref.]],2),1),"")</f>
        <v/>
      </c>
      <c r="AD76" s="4" t="str">
        <f t="shared" si="7"/>
        <v/>
      </c>
      <c r="AE76" s="5" t="str">
        <f t="shared" si="8"/>
        <v/>
      </c>
      <c r="AF76" s="4"/>
      <c r="AG76" s="6" t="str">
        <f t="shared" si="9"/>
        <v/>
      </c>
    </row>
    <row r="77" spans="1:37" ht="15.75" customHeight="1" x14ac:dyDescent="0.2">
      <c r="A77" s="35"/>
      <c r="B77" s="44"/>
      <c r="C77" s="35"/>
      <c r="D77" s="35"/>
      <c r="E77" s="48"/>
      <c r="F77" s="45"/>
      <c r="G77" s="38"/>
      <c r="H77" s="45"/>
      <c r="I77" s="45"/>
      <c r="L77" s="19"/>
      <c r="N77" s="25"/>
      <c r="O77" s="25"/>
      <c r="P77" s="27"/>
      <c r="Q77" s="3"/>
      <c r="R77" s="6" t="str">
        <f>IF($H77&lt;&gt;"",RIGHT(Tabela1[[#This Row],[Ref.]],2),"")</f>
        <v/>
      </c>
      <c r="S77" s="6" t="str">
        <f t="shared" si="6"/>
        <v/>
      </c>
      <c r="T77" s="4" t="str">
        <f>IF($H77&lt;&gt;"",_xlfn.XLOOKUP(H77,Naturezas!B:B,Naturezas!E:E,"",0,1),"")</f>
        <v/>
      </c>
      <c r="U77" s="4" t="str">
        <f>IF($H77&lt;&gt;"",_xlfn.XLOOKUP($H77,Naturezas!B:B,Naturezas!D:D,"",0,1),"")</f>
        <v/>
      </c>
      <c r="V77" s="5" t="str">
        <f>IF(H77&lt;&gt;"",IF(OR(H77=Naturezas!$B$3,H77=Naturezas!$B$4,H77=Naturezas!$B$5,H77=Naturezas!$B$17,H77=Naturezas!$B$18,H77=Naturezas!$B$19),G77,-G77),"")</f>
        <v/>
      </c>
      <c r="W77" s="4" t="str">
        <f t="shared" si="10"/>
        <v/>
      </c>
      <c r="X77" s="4"/>
      <c r="Y77" s="4" t="str">
        <f t="shared" si="11"/>
        <v/>
      </c>
      <c r="Z77" s="6" t="str">
        <f>IF(H77&lt;&gt;"",Tabela1[[#This Row],[Iniciais]],"")</f>
        <v/>
      </c>
      <c r="AB77" s="6" t="str">
        <f>IF($H77&lt;&gt;"",RIGHT(Tabela1[[#This Row],[Ref.]],2),"")</f>
        <v/>
      </c>
      <c r="AC77" s="37" t="str">
        <f>IF($H77&lt;&gt;"",DATE(LEFT(Tabela1[[#This Row],[Ref.]],4),RIGHT(Tabela1[[#This Row],[Ref.]],2),1),"")</f>
        <v/>
      </c>
      <c r="AD77" s="4" t="str">
        <f t="shared" si="7"/>
        <v/>
      </c>
      <c r="AE77" s="5" t="str">
        <f t="shared" si="8"/>
        <v/>
      </c>
      <c r="AF77" s="4"/>
      <c r="AG77" s="6" t="str">
        <f t="shared" si="9"/>
        <v/>
      </c>
    </row>
    <row r="78" spans="1:37" ht="15.75" customHeight="1" x14ac:dyDescent="0.2">
      <c r="A78" s="35"/>
      <c r="B78" s="44"/>
      <c r="C78" s="35"/>
      <c r="D78" s="35"/>
      <c r="E78" s="48"/>
      <c r="F78" s="45"/>
      <c r="G78" s="38"/>
      <c r="H78" s="45"/>
      <c r="I78" s="45"/>
      <c r="L78" s="19"/>
      <c r="N78" s="25"/>
      <c r="O78" s="25"/>
      <c r="P78" s="27"/>
      <c r="Q78" s="3"/>
      <c r="R78" s="6" t="str">
        <f>IF($H78&lt;&gt;"",RIGHT(Tabela1[[#This Row],[Ref.]],2),"")</f>
        <v/>
      </c>
      <c r="S78" s="6" t="str">
        <f t="shared" si="6"/>
        <v/>
      </c>
      <c r="T78" s="4" t="str">
        <f>IF($H78&lt;&gt;"",_xlfn.XLOOKUP(H78,Naturezas!B:B,Naturezas!E:E,"",0,1),"")</f>
        <v/>
      </c>
      <c r="U78" s="4" t="str">
        <f>IF($H78&lt;&gt;"",_xlfn.XLOOKUP($H78,Naturezas!B:B,Naturezas!D:D,"",0,1),"")</f>
        <v/>
      </c>
      <c r="V78" s="5" t="str">
        <f>IF(H78&lt;&gt;"",IF(OR(H78=Naturezas!$B$3,H78=Naturezas!$B$4,H78=Naturezas!$B$5,H78=Naturezas!$B$17,H78=Naturezas!$B$18,H78=Naturezas!$B$19),G78,-G78),"")</f>
        <v/>
      </c>
      <c r="W78" s="4" t="str">
        <f t="shared" si="10"/>
        <v/>
      </c>
      <c r="X78" s="4"/>
      <c r="Y78" s="4" t="str">
        <f t="shared" si="11"/>
        <v/>
      </c>
      <c r="Z78" s="6" t="str">
        <f>IF(H78&lt;&gt;"",Tabela1[[#This Row],[Iniciais]],"")</f>
        <v/>
      </c>
      <c r="AB78" s="6" t="str">
        <f>IF($H78&lt;&gt;"",RIGHT(Tabela1[[#This Row],[Ref.]],2),"")</f>
        <v/>
      </c>
      <c r="AC78" s="37" t="str">
        <f>IF($H78&lt;&gt;"",DATE(LEFT(Tabela1[[#This Row],[Ref.]],4),RIGHT(Tabela1[[#This Row],[Ref.]],2),1),"")</f>
        <v/>
      </c>
      <c r="AD78" s="4" t="str">
        <f t="shared" si="7"/>
        <v/>
      </c>
      <c r="AE78" s="5" t="str">
        <f t="shared" si="8"/>
        <v/>
      </c>
      <c r="AF78" s="4"/>
      <c r="AG78" s="6" t="str">
        <f t="shared" si="9"/>
        <v/>
      </c>
    </row>
    <row r="79" spans="1:37" ht="15.75" customHeight="1" x14ac:dyDescent="0.2">
      <c r="A79" s="35"/>
      <c r="B79" s="44"/>
      <c r="C79" s="35"/>
      <c r="D79" s="35"/>
      <c r="E79" s="48"/>
      <c r="F79" s="45"/>
      <c r="G79" s="38"/>
      <c r="H79" s="45"/>
      <c r="I79" s="45"/>
      <c r="L79" s="19"/>
      <c r="N79" s="25"/>
      <c r="O79" s="25"/>
      <c r="P79" s="27"/>
      <c r="Q79" s="3"/>
      <c r="R79" s="6" t="str">
        <f>IF($H79&lt;&gt;"",RIGHT(Tabela1[[#This Row],[Ref.]],2),"")</f>
        <v/>
      </c>
      <c r="S79" s="6" t="str">
        <f t="shared" si="6"/>
        <v/>
      </c>
      <c r="T79" s="4" t="str">
        <f>IF($H79&lt;&gt;"",_xlfn.XLOOKUP(H79,Naturezas!B:B,Naturezas!E:E,"",0,1),"")</f>
        <v/>
      </c>
      <c r="U79" s="4" t="str">
        <f>IF($H79&lt;&gt;"",_xlfn.XLOOKUP($H79,Naturezas!B:B,Naturezas!D:D,"",0,1),"")</f>
        <v/>
      </c>
      <c r="V79" s="5" t="str">
        <f>IF(H79&lt;&gt;"",IF(OR(H79=Naturezas!$B$3,H79=Naturezas!$B$4,H79=Naturezas!$B$5,H79=Naturezas!$B$17,H79=Naturezas!$B$18,H79=Naturezas!$B$19),G79,-G79),"")</f>
        <v/>
      </c>
      <c r="W79" s="4" t="str">
        <f t="shared" si="10"/>
        <v/>
      </c>
      <c r="X79" s="4"/>
      <c r="Y79" s="4" t="str">
        <f t="shared" si="11"/>
        <v/>
      </c>
      <c r="Z79" s="6" t="str">
        <f>IF(H79&lt;&gt;"",Tabela1[[#This Row],[Iniciais]],"")</f>
        <v/>
      </c>
      <c r="AB79" s="6" t="str">
        <f>IF($H79&lt;&gt;"",RIGHT(Tabela1[[#This Row],[Ref.]],2),"")</f>
        <v/>
      </c>
      <c r="AC79" s="37" t="str">
        <f>IF($H79&lt;&gt;"",DATE(LEFT(Tabela1[[#This Row],[Ref.]],4),RIGHT(Tabela1[[#This Row],[Ref.]],2),1),"")</f>
        <v/>
      </c>
      <c r="AD79" s="4" t="str">
        <f t="shared" si="7"/>
        <v/>
      </c>
      <c r="AE79" s="5" t="str">
        <f t="shared" si="8"/>
        <v/>
      </c>
      <c r="AF79" s="4"/>
      <c r="AG79" s="6" t="str">
        <f t="shared" si="9"/>
        <v/>
      </c>
    </row>
    <row r="80" spans="1:37" ht="15.75" customHeight="1" x14ac:dyDescent="0.2">
      <c r="A80" s="35"/>
      <c r="B80" s="44"/>
      <c r="C80" s="35"/>
      <c r="D80" s="35"/>
      <c r="E80" s="48"/>
      <c r="F80" s="45"/>
      <c r="G80" s="38"/>
      <c r="H80" s="45"/>
      <c r="I80" s="45"/>
      <c r="L80" s="19"/>
      <c r="N80" s="25"/>
      <c r="O80" s="25"/>
      <c r="P80" s="27"/>
      <c r="Q80" s="3"/>
      <c r="R80" s="6" t="str">
        <f>IF($H80&lt;&gt;"",RIGHT(Tabela1[[#This Row],[Ref.]],2),"")</f>
        <v/>
      </c>
      <c r="S80" s="6" t="str">
        <f t="shared" si="6"/>
        <v/>
      </c>
      <c r="T80" s="4" t="str">
        <f>IF($H80&lt;&gt;"",_xlfn.XLOOKUP(H80,Naturezas!B:B,Naturezas!E:E,"",0,1),"")</f>
        <v/>
      </c>
      <c r="U80" s="4" t="str">
        <f>IF($H80&lt;&gt;"",_xlfn.XLOOKUP($H80,Naturezas!B:B,Naturezas!D:D,"",0,1),"")</f>
        <v/>
      </c>
      <c r="V80" s="5" t="str">
        <f>IF(H80&lt;&gt;"",IF(OR(H80=Naturezas!$B$3,H80=Naturezas!$B$4,H80=Naturezas!$B$5,H80=Naturezas!$B$17,H80=Naturezas!$B$18,H80=Naturezas!$B$19),G80,-G80),"")</f>
        <v/>
      </c>
      <c r="W80" s="4" t="str">
        <f t="shared" si="10"/>
        <v/>
      </c>
      <c r="X80" s="4"/>
      <c r="Y80" s="4" t="str">
        <f t="shared" si="11"/>
        <v/>
      </c>
      <c r="Z80" s="6" t="str">
        <f>IF(H80&lt;&gt;"",Tabela1[[#This Row],[Iniciais]],"")</f>
        <v/>
      </c>
      <c r="AB80" s="6" t="str">
        <f>IF($H80&lt;&gt;"",RIGHT(Tabela1[[#This Row],[Ref.]],2),"")</f>
        <v/>
      </c>
      <c r="AC80" s="37" t="str">
        <f>IF($H80&lt;&gt;"",DATE(LEFT(Tabela1[[#This Row],[Ref.]],4),RIGHT(Tabela1[[#This Row],[Ref.]],2),1),"")</f>
        <v/>
      </c>
      <c r="AD80" s="4" t="str">
        <f t="shared" si="7"/>
        <v/>
      </c>
      <c r="AE80" s="5" t="str">
        <f t="shared" si="8"/>
        <v/>
      </c>
      <c r="AF80" s="4"/>
      <c r="AG80" s="6" t="str">
        <f t="shared" si="9"/>
        <v/>
      </c>
    </row>
    <row r="81" spans="1:33" ht="15.75" customHeight="1" x14ac:dyDescent="0.2">
      <c r="A81" s="35"/>
      <c r="B81" s="44"/>
      <c r="C81" s="35"/>
      <c r="D81" s="35"/>
      <c r="E81" s="48"/>
      <c r="F81" s="45"/>
      <c r="G81" s="38"/>
      <c r="H81" s="45"/>
      <c r="I81" s="45"/>
      <c r="L81" s="19"/>
      <c r="N81" s="25"/>
      <c r="O81" s="25"/>
      <c r="P81" s="27"/>
      <c r="Q81" s="3"/>
      <c r="R81" s="6" t="str">
        <f>IF($H81&lt;&gt;"",RIGHT(Tabela1[[#This Row],[Ref.]],2),"")</f>
        <v/>
      </c>
      <c r="S81" s="6" t="str">
        <f t="shared" si="6"/>
        <v/>
      </c>
      <c r="T81" s="4" t="str">
        <f>IF($H81&lt;&gt;"",_xlfn.XLOOKUP(H81,Naturezas!B:B,Naturezas!E:E,"",0,1),"")</f>
        <v/>
      </c>
      <c r="U81" s="4" t="str">
        <f>IF($H81&lt;&gt;"",_xlfn.XLOOKUP($H81,Naturezas!B:B,Naturezas!D:D,"",0,1),"")</f>
        <v/>
      </c>
      <c r="V81" s="5" t="str">
        <f>IF(H81&lt;&gt;"",IF(OR(H81=Naturezas!$B$3,H81=Naturezas!$B$4,H81=Naturezas!$B$5,H81=Naturezas!$B$17,H81=Naturezas!$B$18,H81=Naturezas!$B$19),G81,-G81),"")</f>
        <v/>
      </c>
      <c r="W81" s="4" t="str">
        <f t="shared" si="10"/>
        <v/>
      </c>
      <c r="X81" s="4"/>
      <c r="Y81" s="4" t="str">
        <f t="shared" si="11"/>
        <v/>
      </c>
      <c r="Z81" s="6" t="str">
        <f>IF(H81&lt;&gt;"",Tabela1[[#This Row],[Iniciais]],"")</f>
        <v/>
      </c>
      <c r="AB81" s="6" t="str">
        <f>IF($H81&lt;&gt;"",RIGHT(Tabela1[[#This Row],[Ref.]],2),"")</f>
        <v/>
      </c>
      <c r="AC81" s="37" t="str">
        <f>IF($H81&lt;&gt;"",DATE(LEFT(Tabela1[[#This Row],[Ref.]],4),RIGHT(Tabela1[[#This Row],[Ref.]],2),1),"")</f>
        <v/>
      </c>
      <c r="AD81" s="4" t="str">
        <f t="shared" si="7"/>
        <v/>
      </c>
      <c r="AE81" s="5" t="str">
        <f t="shared" si="8"/>
        <v/>
      </c>
      <c r="AF81" s="4"/>
      <c r="AG81" s="6" t="str">
        <f t="shared" si="9"/>
        <v/>
      </c>
    </row>
    <row r="82" spans="1:33" ht="15.75" customHeight="1" x14ac:dyDescent="0.2">
      <c r="A82" s="35"/>
      <c r="B82" s="44"/>
      <c r="C82" s="35"/>
      <c r="D82" s="35"/>
      <c r="E82" s="48"/>
      <c r="F82" s="45"/>
      <c r="G82" s="38"/>
      <c r="H82" s="45"/>
      <c r="I82" s="45"/>
      <c r="L82" s="19"/>
      <c r="N82" s="25"/>
      <c r="O82" s="25"/>
      <c r="P82" s="27"/>
      <c r="Q82" s="3"/>
      <c r="R82" s="6" t="str">
        <f>IF($H82&lt;&gt;"",RIGHT(Tabela1[[#This Row],[Ref.]],2),"")</f>
        <v/>
      </c>
      <c r="S82" s="6" t="str">
        <f t="shared" si="6"/>
        <v/>
      </c>
      <c r="T82" s="4" t="str">
        <f>IF($H82&lt;&gt;"",_xlfn.XLOOKUP(H82,Naturezas!B:B,Naturezas!E:E,"",0,1),"")</f>
        <v/>
      </c>
      <c r="U82" s="4" t="str">
        <f>IF($H82&lt;&gt;"",_xlfn.XLOOKUP($H82,Naturezas!B:B,Naturezas!D:D,"",0,1),"")</f>
        <v/>
      </c>
      <c r="V82" s="5" t="str">
        <f>IF(H82&lt;&gt;"",IF(OR(H82=Naturezas!$B$3,H82=Naturezas!$B$4,H82=Naturezas!$B$5,H82=Naturezas!$B$17,H82=Naturezas!$B$18,H82=Naturezas!$B$19),G82,-G82),"")</f>
        <v/>
      </c>
      <c r="W82" s="4" t="str">
        <f t="shared" si="10"/>
        <v/>
      </c>
      <c r="X82" s="4"/>
      <c r="Y82" s="4" t="str">
        <f t="shared" si="11"/>
        <v/>
      </c>
      <c r="Z82" s="6" t="str">
        <f>IF(H82&lt;&gt;"",Tabela1[[#This Row],[Iniciais]],"")</f>
        <v/>
      </c>
      <c r="AB82" s="6" t="str">
        <f>IF($H82&lt;&gt;"",RIGHT(Tabela1[[#This Row],[Ref.]],2),"")</f>
        <v/>
      </c>
      <c r="AC82" s="37" t="str">
        <f>IF($H82&lt;&gt;"",DATE(LEFT(Tabela1[[#This Row],[Ref.]],4),RIGHT(Tabela1[[#This Row],[Ref.]],2),1),"")</f>
        <v/>
      </c>
      <c r="AD82" s="4" t="str">
        <f t="shared" si="7"/>
        <v/>
      </c>
      <c r="AE82" s="5" t="str">
        <f t="shared" si="8"/>
        <v/>
      </c>
      <c r="AF82" s="4"/>
      <c r="AG82" s="6" t="str">
        <f t="shared" si="9"/>
        <v/>
      </c>
    </row>
    <row r="83" spans="1:33" ht="15.75" customHeight="1" x14ac:dyDescent="0.2">
      <c r="A83" s="35"/>
      <c r="B83" s="44"/>
      <c r="C83" s="35"/>
      <c r="D83" s="35"/>
      <c r="E83" s="48"/>
      <c r="F83" s="45"/>
      <c r="G83" s="38"/>
      <c r="H83" s="45"/>
      <c r="I83" s="45"/>
      <c r="L83" s="19"/>
      <c r="N83" s="25"/>
      <c r="O83" s="25"/>
      <c r="P83" s="27"/>
      <c r="Q83" s="3"/>
      <c r="R83" s="6" t="str">
        <f>IF($H83&lt;&gt;"",RIGHT(Tabela1[[#This Row],[Ref.]],2),"")</f>
        <v/>
      </c>
      <c r="S83" s="6" t="str">
        <f t="shared" si="6"/>
        <v/>
      </c>
      <c r="T83" s="4" t="str">
        <f>IF($H83&lt;&gt;"",_xlfn.XLOOKUP(H83,Naturezas!B:B,Naturezas!E:E,"",0,1),"")</f>
        <v/>
      </c>
      <c r="U83" s="4" t="str">
        <f>IF($H83&lt;&gt;"",_xlfn.XLOOKUP($H83,Naturezas!B:B,Naturezas!D:D,"",0,1),"")</f>
        <v/>
      </c>
      <c r="V83" s="5" t="str">
        <f>IF(H83&lt;&gt;"",IF(OR(H83=Naturezas!$B$3,H83=Naturezas!$B$4,H83=Naturezas!$B$5,H83=Naturezas!$B$17,H83=Naturezas!$B$18,H83=Naturezas!$B$19),G83,-G83),"")</f>
        <v/>
      </c>
      <c r="W83" s="4" t="str">
        <f t="shared" si="10"/>
        <v/>
      </c>
      <c r="X83" s="4"/>
      <c r="Y83" s="4" t="str">
        <f t="shared" si="11"/>
        <v/>
      </c>
      <c r="Z83" s="6" t="str">
        <f>IF(H83&lt;&gt;"",Tabela1[[#This Row],[Iniciais]],"")</f>
        <v/>
      </c>
      <c r="AB83" s="6" t="str">
        <f>IF($H83&lt;&gt;"",RIGHT(Tabela1[[#This Row],[Ref.]],2),"")</f>
        <v/>
      </c>
      <c r="AC83" s="37" t="str">
        <f>IF($H83&lt;&gt;"",DATE(LEFT(Tabela1[[#This Row],[Ref.]],4),RIGHT(Tabela1[[#This Row],[Ref.]],2),1),"")</f>
        <v/>
      </c>
      <c r="AD83" s="4" t="str">
        <f t="shared" si="7"/>
        <v/>
      </c>
      <c r="AE83" s="5" t="str">
        <f t="shared" si="8"/>
        <v/>
      </c>
      <c r="AF83" s="4"/>
      <c r="AG83" s="6" t="str">
        <f t="shared" si="9"/>
        <v/>
      </c>
    </row>
    <row r="84" spans="1:33" ht="15.75" customHeight="1" x14ac:dyDescent="0.2">
      <c r="A84" s="35"/>
      <c r="B84" s="44"/>
      <c r="C84" s="35"/>
      <c r="D84" s="35"/>
      <c r="E84" s="48"/>
      <c r="F84" s="45"/>
      <c r="G84" s="38"/>
      <c r="H84" s="45"/>
      <c r="I84" s="45"/>
      <c r="L84" s="19"/>
      <c r="N84" s="25"/>
      <c r="O84" s="25"/>
      <c r="P84" s="27"/>
      <c r="Q84" s="3"/>
      <c r="R84" s="6" t="str">
        <f>IF($H84&lt;&gt;"",RIGHT(Tabela1[[#This Row],[Ref.]],2),"")</f>
        <v/>
      </c>
      <c r="S84" s="6" t="str">
        <f t="shared" si="6"/>
        <v/>
      </c>
      <c r="T84" s="4" t="str">
        <f>IF($H84&lt;&gt;"",_xlfn.XLOOKUP(H84,Naturezas!B:B,Naturezas!E:E,"",0,1),"")</f>
        <v/>
      </c>
      <c r="U84" s="4" t="str">
        <f>IF($H84&lt;&gt;"",_xlfn.XLOOKUP($H84,Naturezas!B:B,Naturezas!D:D,"",0,1),"")</f>
        <v/>
      </c>
      <c r="V84" s="5" t="str">
        <f>IF(H84&lt;&gt;"",IF(OR(H84=Naturezas!$B$3,H84=Naturezas!$B$4,H84=Naturezas!$B$5,H84=Naturezas!$B$17,H84=Naturezas!$B$18,H84=Naturezas!$B$19),G84,-G84),"")</f>
        <v/>
      </c>
      <c r="W84" s="4" t="str">
        <f t="shared" si="10"/>
        <v/>
      </c>
      <c r="X84" s="4"/>
      <c r="Y84" s="4" t="str">
        <f t="shared" si="11"/>
        <v/>
      </c>
      <c r="Z84" s="6" t="str">
        <f>IF(H84&lt;&gt;"",Tabela1[[#This Row],[Iniciais]],"")</f>
        <v/>
      </c>
      <c r="AB84" s="6" t="str">
        <f>IF($H84&lt;&gt;"",RIGHT(Tabela1[[#This Row],[Ref.]],2),"")</f>
        <v/>
      </c>
      <c r="AC84" s="37" t="str">
        <f>IF($H84&lt;&gt;"",DATE(LEFT(Tabela1[[#This Row],[Ref.]],4),RIGHT(Tabela1[[#This Row],[Ref.]],2),1),"")</f>
        <v/>
      </c>
      <c r="AD84" s="4" t="str">
        <f t="shared" si="7"/>
        <v/>
      </c>
      <c r="AE84" s="5" t="str">
        <f t="shared" si="8"/>
        <v/>
      </c>
      <c r="AF84" s="4"/>
      <c r="AG84" s="6" t="str">
        <f t="shared" si="9"/>
        <v/>
      </c>
    </row>
    <row r="85" spans="1:33" ht="15.75" customHeight="1" x14ac:dyDescent="0.2">
      <c r="A85" s="35"/>
      <c r="B85" s="44"/>
      <c r="C85" s="35"/>
      <c r="D85" s="35"/>
      <c r="E85" s="48"/>
      <c r="F85" s="45"/>
      <c r="G85" s="38"/>
      <c r="H85" s="45"/>
      <c r="I85" s="45"/>
      <c r="L85" s="19"/>
      <c r="N85" s="25"/>
      <c r="O85" s="25"/>
      <c r="P85" s="27"/>
      <c r="Q85" s="3"/>
      <c r="R85" s="6" t="str">
        <f>IF($H85&lt;&gt;"",RIGHT(Tabela1[[#This Row],[Ref.]],2),"")</f>
        <v/>
      </c>
      <c r="S85" s="6" t="str">
        <f t="shared" si="6"/>
        <v/>
      </c>
      <c r="T85" s="4" t="str">
        <f>IF($H85&lt;&gt;"",_xlfn.XLOOKUP(H85,Naturezas!B:B,Naturezas!E:E,"",0,1),"")</f>
        <v/>
      </c>
      <c r="U85" s="4" t="str">
        <f>IF($H85&lt;&gt;"",_xlfn.XLOOKUP($H85,Naturezas!B:B,Naturezas!D:D,"",0,1),"")</f>
        <v/>
      </c>
      <c r="V85" s="5" t="str">
        <f>IF(H85&lt;&gt;"",IF(OR(H85=Naturezas!$B$3,H85=Naturezas!$B$4,H85=Naturezas!$B$5,H85=Naturezas!$B$17,H85=Naturezas!$B$18,H85=Naturezas!$B$19),G85,-G85),"")</f>
        <v/>
      </c>
      <c r="W85" s="4" t="str">
        <f t="shared" si="10"/>
        <v/>
      </c>
      <c r="X85" s="4"/>
      <c r="Y85" s="4" t="str">
        <f t="shared" si="11"/>
        <v/>
      </c>
      <c r="Z85" s="6" t="str">
        <f>IF(H85&lt;&gt;"",Tabela1[[#This Row],[Iniciais]],"")</f>
        <v/>
      </c>
      <c r="AB85" s="6" t="str">
        <f>IF($H85&lt;&gt;"",RIGHT(Tabela1[[#This Row],[Ref.]],2),"")</f>
        <v/>
      </c>
      <c r="AC85" s="37" t="str">
        <f>IF($H85&lt;&gt;"",DATE(LEFT(Tabela1[[#This Row],[Ref.]],4),RIGHT(Tabela1[[#This Row],[Ref.]],2),1),"")</f>
        <v/>
      </c>
      <c r="AD85" s="4" t="str">
        <f t="shared" si="7"/>
        <v/>
      </c>
      <c r="AE85" s="5" t="str">
        <f t="shared" si="8"/>
        <v/>
      </c>
      <c r="AF85" s="4"/>
      <c r="AG85" s="6" t="str">
        <f t="shared" si="9"/>
        <v/>
      </c>
    </row>
    <row r="86" spans="1:33" ht="15.75" customHeight="1" x14ac:dyDescent="0.2">
      <c r="A86" s="35"/>
      <c r="B86" s="44"/>
      <c r="C86" s="35"/>
      <c r="D86" s="35"/>
      <c r="E86" s="48"/>
      <c r="F86" s="45"/>
      <c r="G86" s="38"/>
      <c r="H86" s="45"/>
      <c r="I86" s="45"/>
      <c r="L86" s="19"/>
      <c r="N86" s="25"/>
      <c r="O86" s="25"/>
      <c r="P86" s="27"/>
      <c r="Q86" s="3"/>
      <c r="R86" s="6" t="str">
        <f>IF($H86&lt;&gt;"",RIGHT(Tabela1[[#This Row],[Ref.]],2),"")</f>
        <v/>
      </c>
      <c r="S86" s="6" t="str">
        <f t="shared" si="6"/>
        <v/>
      </c>
      <c r="T86" s="4" t="str">
        <f>IF($H86&lt;&gt;"",_xlfn.XLOOKUP(H86,Naturezas!B:B,Naturezas!E:E,"",0,1),"")</f>
        <v/>
      </c>
      <c r="U86" s="4" t="str">
        <f>IF($H86&lt;&gt;"",_xlfn.XLOOKUP($H86,Naturezas!B:B,Naturezas!D:D,"",0,1),"")</f>
        <v/>
      </c>
      <c r="V86" s="5" t="str">
        <f>IF(H86&lt;&gt;"",IF(OR(H86=Naturezas!$B$3,H86=Naturezas!$B$4,H86=Naturezas!$B$5,H86=Naturezas!$B$17,H86=Naturezas!$B$18,H86=Naturezas!$B$19),G86,-G86),"")</f>
        <v/>
      </c>
      <c r="W86" s="4" t="str">
        <f t="shared" si="10"/>
        <v/>
      </c>
      <c r="X86" s="4"/>
      <c r="Y86" s="4" t="str">
        <f t="shared" si="11"/>
        <v/>
      </c>
      <c r="Z86" s="6" t="str">
        <f>IF(H86&lt;&gt;"",Tabela1[[#This Row],[Iniciais]],"")</f>
        <v/>
      </c>
      <c r="AB86" s="6" t="str">
        <f>IF($H86&lt;&gt;"",RIGHT(Tabela1[[#This Row],[Ref.]],2),"")</f>
        <v/>
      </c>
      <c r="AC86" s="37" t="str">
        <f>IF($H86&lt;&gt;"",DATE(LEFT(Tabela1[[#This Row],[Ref.]],4),RIGHT(Tabela1[[#This Row],[Ref.]],2),1),"")</f>
        <v/>
      </c>
      <c r="AD86" s="4" t="str">
        <f t="shared" si="7"/>
        <v/>
      </c>
      <c r="AE86" s="5" t="str">
        <f t="shared" si="8"/>
        <v/>
      </c>
      <c r="AF86" s="4"/>
      <c r="AG86" s="6" t="str">
        <f t="shared" si="9"/>
        <v/>
      </c>
    </row>
    <row r="87" spans="1:33" ht="15.75" customHeight="1" x14ac:dyDescent="0.2">
      <c r="A87" s="35"/>
      <c r="B87" s="44"/>
      <c r="C87" s="35"/>
      <c r="D87" s="35"/>
      <c r="E87" s="48"/>
      <c r="F87" s="45"/>
      <c r="G87" s="38"/>
      <c r="H87" s="45"/>
      <c r="I87" s="45"/>
      <c r="L87" s="19"/>
      <c r="N87" s="25"/>
      <c r="O87" s="25"/>
      <c r="P87" s="27"/>
      <c r="Q87" s="3"/>
      <c r="R87" s="6" t="str">
        <f>IF($H87&lt;&gt;"",RIGHT(Tabela1[[#This Row],[Ref.]],2),"")</f>
        <v/>
      </c>
      <c r="S87" s="6" t="str">
        <f t="shared" si="6"/>
        <v/>
      </c>
      <c r="T87" s="4" t="str">
        <f>IF($H87&lt;&gt;"",_xlfn.XLOOKUP(H87,Naturezas!B:B,Naturezas!E:E,"",0,1),"")</f>
        <v/>
      </c>
      <c r="U87" s="4" t="str">
        <f>IF($H87&lt;&gt;"",_xlfn.XLOOKUP($H87,Naturezas!B:B,Naturezas!D:D,"",0,1),"")</f>
        <v/>
      </c>
      <c r="V87" s="5" t="str">
        <f>IF(H87&lt;&gt;"",IF(OR(H87=Naturezas!$B$3,H87=Naturezas!$B$4,H87=Naturezas!$B$5,H87=Naturezas!$B$17,H87=Naturezas!$B$18,H87=Naturezas!$B$19),G87,-G87),"")</f>
        <v/>
      </c>
      <c r="W87" s="4" t="str">
        <f t="shared" si="10"/>
        <v/>
      </c>
      <c r="X87" s="4"/>
      <c r="Y87" s="4" t="str">
        <f t="shared" si="11"/>
        <v/>
      </c>
      <c r="Z87" s="6" t="str">
        <f>IF(H87&lt;&gt;"",Tabela1[[#This Row],[Iniciais]],"")</f>
        <v/>
      </c>
      <c r="AB87" s="6" t="str">
        <f>IF($H87&lt;&gt;"",RIGHT(Tabela1[[#This Row],[Ref.]],2),"")</f>
        <v/>
      </c>
      <c r="AC87" s="37" t="str">
        <f>IF($H87&lt;&gt;"",DATE(LEFT(Tabela1[[#This Row],[Ref.]],4),RIGHT(Tabela1[[#This Row],[Ref.]],2),1),"")</f>
        <v/>
      </c>
      <c r="AD87" s="4" t="str">
        <f t="shared" si="7"/>
        <v/>
      </c>
      <c r="AE87" s="5" t="str">
        <f t="shared" si="8"/>
        <v/>
      </c>
      <c r="AF87" s="4"/>
      <c r="AG87" s="6" t="str">
        <f t="shared" si="9"/>
        <v/>
      </c>
    </row>
    <row r="88" spans="1:33" ht="15.75" customHeight="1" x14ac:dyDescent="0.2">
      <c r="A88" s="35"/>
      <c r="B88" s="44"/>
      <c r="C88" s="35"/>
      <c r="D88" s="35"/>
      <c r="E88" s="48"/>
      <c r="F88" s="45"/>
      <c r="G88" s="38"/>
      <c r="H88" s="45"/>
      <c r="I88" s="45"/>
      <c r="L88" s="19"/>
      <c r="N88" s="25"/>
      <c r="O88" s="25"/>
      <c r="P88" s="27"/>
      <c r="Q88" s="3"/>
      <c r="R88" s="6" t="str">
        <f>IF($H88&lt;&gt;"",RIGHT(Tabela1[[#This Row],[Ref.]],2),"")</f>
        <v/>
      </c>
      <c r="S88" s="6" t="str">
        <f t="shared" si="6"/>
        <v/>
      </c>
      <c r="T88" s="4" t="str">
        <f>IF($H88&lt;&gt;"",_xlfn.XLOOKUP(H88,Naturezas!B:B,Naturezas!E:E,"",0,1),"")</f>
        <v/>
      </c>
      <c r="U88" s="4" t="str">
        <f>IF($H88&lt;&gt;"",_xlfn.XLOOKUP($H88,Naturezas!B:B,Naturezas!D:D,"",0,1),"")</f>
        <v/>
      </c>
      <c r="V88" s="5" t="str">
        <f>IF(H88&lt;&gt;"",IF(OR(H88=Naturezas!$B$3,H88=Naturezas!$B$4,H88=Naturezas!$B$5,H88=Naturezas!$B$17,H88=Naturezas!$B$18,H88=Naturezas!$B$19),G88,-G88),"")</f>
        <v/>
      </c>
      <c r="W88" s="4" t="str">
        <f t="shared" si="10"/>
        <v/>
      </c>
      <c r="X88" s="4"/>
      <c r="Y88" s="4" t="str">
        <f t="shared" si="11"/>
        <v/>
      </c>
      <c r="Z88" s="6" t="str">
        <f>IF(H88&lt;&gt;"",Tabela1[[#This Row],[Iniciais]],"")</f>
        <v/>
      </c>
      <c r="AB88" s="6" t="str">
        <f>IF($H88&lt;&gt;"",RIGHT(Tabela1[[#This Row],[Ref.]],2),"")</f>
        <v/>
      </c>
      <c r="AC88" s="37" t="str">
        <f>IF($H88&lt;&gt;"",DATE(LEFT(Tabela1[[#This Row],[Ref.]],4),RIGHT(Tabela1[[#This Row],[Ref.]],2),1),"")</f>
        <v/>
      </c>
      <c r="AD88" s="4" t="str">
        <f t="shared" si="7"/>
        <v/>
      </c>
      <c r="AE88" s="5" t="str">
        <f t="shared" si="8"/>
        <v/>
      </c>
      <c r="AF88" s="4"/>
      <c r="AG88" s="6" t="str">
        <f t="shared" si="9"/>
        <v/>
      </c>
    </row>
    <row r="89" spans="1:33" ht="15.75" customHeight="1" x14ac:dyDescent="0.2">
      <c r="A89" s="35"/>
      <c r="B89" s="44"/>
      <c r="C89" s="35"/>
      <c r="D89" s="35"/>
      <c r="E89" s="48"/>
      <c r="F89" s="45"/>
      <c r="G89" s="38"/>
      <c r="H89" s="45"/>
      <c r="I89" s="45"/>
      <c r="L89" s="19"/>
      <c r="N89" s="25"/>
      <c r="O89" s="25"/>
      <c r="P89" s="27"/>
      <c r="Q89" s="3"/>
      <c r="R89" s="6" t="str">
        <f>IF($H89&lt;&gt;"",RIGHT(Tabela1[[#This Row],[Ref.]],2),"")</f>
        <v/>
      </c>
      <c r="S89" s="6" t="str">
        <f t="shared" si="6"/>
        <v/>
      </c>
      <c r="T89" s="4" t="str">
        <f>IF($H89&lt;&gt;"",_xlfn.XLOOKUP(H89,Naturezas!B:B,Naturezas!E:E,"",0,1),"")</f>
        <v/>
      </c>
      <c r="U89" s="4" t="str">
        <f>IF($H89&lt;&gt;"",_xlfn.XLOOKUP($H89,Naturezas!B:B,Naturezas!D:D,"",0,1),"")</f>
        <v/>
      </c>
      <c r="V89" s="5" t="str">
        <f>IF(H89&lt;&gt;"",IF(OR(H89=Naturezas!$B$3,H89=Naturezas!$B$4,H89=Naturezas!$B$5,H89=Naturezas!$B$17,H89=Naturezas!$B$18,H89=Naturezas!$B$19),G89,-G89),"")</f>
        <v/>
      </c>
      <c r="W89" s="4" t="str">
        <f t="shared" si="10"/>
        <v/>
      </c>
      <c r="X89" s="4"/>
      <c r="Y89" s="4" t="str">
        <f t="shared" si="11"/>
        <v/>
      </c>
      <c r="Z89" s="6" t="str">
        <f>IF(H89&lt;&gt;"",Tabela1[[#This Row],[Iniciais]],"")</f>
        <v/>
      </c>
      <c r="AB89" s="6" t="str">
        <f>IF($H89&lt;&gt;"",RIGHT(Tabela1[[#This Row],[Ref.]],2),"")</f>
        <v/>
      </c>
      <c r="AC89" s="37" t="str">
        <f>IF($H89&lt;&gt;"",DATE(LEFT(Tabela1[[#This Row],[Ref.]],4),RIGHT(Tabela1[[#This Row],[Ref.]],2),1),"")</f>
        <v/>
      </c>
      <c r="AD89" s="4" t="str">
        <f t="shared" si="7"/>
        <v/>
      </c>
      <c r="AE89" s="5" t="str">
        <f t="shared" si="8"/>
        <v/>
      </c>
      <c r="AF89" s="4"/>
      <c r="AG89" s="6" t="str">
        <f t="shared" si="9"/>
        <v/>
      </c>
    </row>
    <row r="90" spans="1:33" ht="15.75" customHeight="1" x14ac:dyDescent="0.2">
      <c r="A90" s="35"/>
      <c r="B90" s="44"/>
      <c r="C90" s="35"/>
      <c r="D90" s="35"/>
      <c r="E90" s="48"/>
      <c r="F90" s="45"/>
      <c r="G90" s="38"/>
      <c r="H90" s="45"/>
      <c r="I90" s="45"/>
      <c r="L90" s="19"/>
      <c r="N90" s="25"/>
      <c r="O90" s="25"/>
      <c r="P90" s="27"/>
      <c r="Q90" s="3"/>
      <c r="R90" s="6" t="str">
        <f>IF($H90&lt;&gt;"",RIGHT(Tabela1[[#This Row],[Ref.]],2),"")</f>
        <v/>
      </c>
      <c r="S90" s="6" t="str">
        <f t="shared" si="6"/>
        <v/>
      </c>
      <c r="T90" s="4" t="str">
        <f>IF($H90&lt;&gt;"",_xlfn.XLOOKUP(H90,Naturezas!B:B,Naturezas!E:E,"",0,1),"")</f>
        <v/>
      </c>
      <c r="U90" s="4" t="str">
        <f>IF($H90&lt;&gt;"",_xlfn.XLOOKUP($H90,Naturezas!B:B,Naturezas!D:D,"",0,1),"")</f>
        <v/>
      </c>
      <c r="V90" s="5" t="str">
        <f>IF(H90&lt;&gt;"",IF(OR(H90=Naturezas!$B$3,H90=Naturezas!$B$4,H90=Naturezas!$B$5,H90=Naturezas!$B$17,H90=Naturezas!$B$18,H90=Naturezas!$B$19),G90,-G90),"")</f>
        <v/>
      </c>
      <c r="W90" s="4" t="str">
        <f t="shared" si="10"/>
        <v/>
      </c>
      <c r="X90" s="4"/>
      <c r="Y90" s="4" t="str">
        <f t="shared" si="11"/>
        <v/>
      </c>
      <c r="Z90" s="6" t="str">
        <f>IF(H90&lt;&gt;"",Tabela1[[#This Row],[Iniciais]],"")</f>
        <v/>
      </c>
      <c r="AB90" s="6" t="str">
        <f>IF($H90&lt;&gt;"",RIGHT(Tabela1[[#This Row],[Ref.]],2),"")</f>
        <v/>
      </c>
      <c r="AC90" s="37" t="str">
        <f>IF($H90&lt;&gt;"",DATE(LEFT(Tabela1[[#This Row],[Ref.]],4),RIGHT(Tabela1[[#This Row],[Ref.]],2),1),"")</f>
        <v/>
      </c>
      <c r="AD90" s="4" t="str">
        <f t="shared" si="7"/>
        <v/>
      </c>
      <c r="AE90" s="5" t="str">
        <f t="shared" si="8"/>
        <v/>
      </c>
      <c r="AF90" s="4"/>
      <c r="AG90" s="6" t="str">
        <f t="shared" si="9"/>
        <v/>
      </c>
    </row>
    <row r="91" spans="1:33" ht="15.75" customHeight="1" x14ac:dyDescent="0.2">
      <c r="A91" s="35"/>
      <c r="B91" s="44"/>
      <c r="C91" s="35"/>
      <c r="D91" s="35"/>
      <c r="E91" s="48"/>
      <c r="F91" s="45"/>
      <c r="G91" s="38"/>
      <c r="H91" s="45"/>
      <c r="I91" s="45"/>
      <c r="L91" s="19"/>
      <c r="N91" s="25"/>
      <c r="O91" s="25"/>
      <c r="P91" s="27"/>
      <c r="Q91" s="3"/>
      <c r="R91" s="6" t="str">
        <f>IF($H91&lt;&gt;"",RIGHT(Tabela1[[#This Row],[Ref.]],2),"")</f>
        <v/>
      </c>
      <c r="S91" s="6" t="str">
        <f t="shared" si="6"/>
        <v/>
      </c>
      <c r="T91" s="4" t="str">
        <f>IF($H91&lt;&gt;"",_xlfn.XLOOKUP(H91,Naturezas!B:B,Naturezas!E:E,"",0,1),"")</f>
        <v/>
      </c>
      <c r="U91" s="4" t="str">
        <f>IF($H91&lt;&gt;"",_xlfn.XLOOKUP($H91,Naturezas!B:B,Naturezas!D:D,"",0,1),"")</f>
        <v/>
      </c>
      <c r="V91" s="5" t="str">
        <f>IF(H91&lt;&gt;"",IF(OR(H91=Naturezas!$B$3,H91=Naturezas!$B$4,H91=Naturezas!$B$5,H91=Naturezas!$B$17,H91=Naturezas!$B$18,H91=Naturezas!$B$19),G91,-G91),"")</f>
        <v/>
      </c>
      <c r="W91" s="4" t="str">
        <f t="shared" si="10"/>
        <v/>
      </c>
      <c r="X91" s="4"/>
      <c r="Y91" s="4" t="str">
        <f t="shared" si="11"/>
        <v/>
      </c>
      <c r="Z91" s="6" t="str">
        <f>IF(H91&lt;&gt;"",Tabela1[[#This Row],[Iniciais]],"")</f>
        <v/>
      </c>
      <c r="AB91" s="6" t="str">
        <f>IF($H91&lt;&gt;"",RIGHT(Tabela1[[#This Row],[Ref.]],2),"")</f>
        <v/>
      </c>
      <c r="AC91" s="37" t="str">
        <f>IF($H91&lt;&gt;"",DATE(LEFT(Tabela1[[#This Row],[Ref.]],4),RIGHT(Tabela1[[#This Row],[Ref.]],2),1),"")</f>
        <v/>
      </c>
      <c r="AD91" s="4" t="str">
        <f t="shared" si="7"/>
        <v/>
      </c>
      <c r="AE91" s="5" t="str">
        <f t="shared" si="8"/>
        <v/>
      </c>
      <c r="AF91" s="4"/>
      <c r="AG91" s="6" t="str">
        <f t="shared" si="9"/>
        <v/>
      </c>
    </row>
    <row r="92" spans="1:33" ht="15.75" customHeight="1" x14ac:dyDescent="0.2">
      <c r="A92" s="35"/>
      <c r="B92" s="44"/>
      <c r="C92" s="35"/>
      <c r="D92" s="35"/>
      <c r="E92" s="48"/>
      <c r="F92" s="45"/>
      <c r="G92" s="38"/>
      <c r="H92" s="45"/>
      <c r="I92" s="45"/>
      <c r="L92" s="19"/>
      <c r="N92" s="25"/>
      <c r="O92" s="25"/>
      <c r="P92" s="27"/>
      <c r="Q92" s="3"/>
      <c r="R92" s="6" t="str">
        <f>IF($H92&lt;&gt;"",RIGHT(Tabela1[[#This Row],[Ref.]],2),"")</f>
        <v/>
      </c>
      <c r="S92" s="6" t="str">
        <f t="shared" si="6"/>
        <v/>
      </c>
      <c r="T92" s="4" t="str">
        <f>IF($H92&lt;&gt;"",_xlfn.XLOOKUP(H92,Naturezas!B:B,Naturezas!E:E,"",0,1),"")</f>
        <v/>
      </c>
      <c r="U92" s="4" t="str">
        <f>IF($H92&lt;&gt;"",_xlfn.XLOOKUP($H92,Naturezas!B:B,Naturezas!D:D,"",0,1),"")</f>
        <v/>
      </c>
      <c r="V92" s="5" t="str">
        <f>IF(H92&lt;&gt;"",IF(OR(H92=Naturezas!$B$3,H92=Naturezas!$B$4,H92=Naturezas!$B$5,H92=Naturezas!$B$17,H92=Naturezas!$B$18,H92=Naturezas!$B$19),G92,-G92),"")</f>
        <v/>
      </c>
      <c r="W92" s="4" t="str">
        <f t="shared" si="10"/>
        <v/>
      </c>
      <c r="X92" s="4"/>
      <c r="Y92" s="4" t="str">
        <f t="shared" si="11"/>
        <v/>
      </c>
      <c r="Z92" s="6" t="str">
        <f>IF(H92&lt;&gt;"",Tabela1[[#This Row],[Iniciais]],"")</f>
        <v/>
      </c>
      <c r="AB92" s="6" t="str">
        <f>IF($H92&lt;&gt;"",RIGHT(Tabela1[[#This Row],[Ref.]],2),"")</f>
        <v/>
      </c>
      <c r="AC92" s="37" t="str">
        <f>IF($H92&lt;&gt;"",DATE(LEFT(Tabela1[[#This Row],[Ref.]],4),RIGHT(Tabela1[[#This Row],[Ref.]],2),1),"")</f>
        <v/>
      </c>
      <c r="AD92" s="4" t="str">
        <f t="shared" si="7"/>
        <v/>
      </c>
      <c r="AE92" s="5" t="str">
        <f t="shared" si="8"/>
        <v/>
      </c>
      <c r="AF92" s="4"/>
      <c r="AG92" s="6" t="str">
        <f t="shared" si="9"/>
        <v/>
      </c>
    </row>
    <row r="93" spans="1:33" ht="15.75" customHeight="1" x14ac:dyDescent="0.2">
      <c r="A93" s="35"/>
      <c r="B93" s="44"/>
      <c r="C93" s="35"/>
      <c r="D93" s="35"/>
      <c r="E93" s="48"/>
      <c r="F93" s="45"/>
      <c r="G93" s="38"/>
      <c r="H93" s="45"/>
      <c r="I93" s="45"/>
      <c r="L93" s="19"/>
      <c r="N93" s="25"/>
      <c r="O93" s="25"/>
      <c r="P93" s="27"/>
      <c r="Q93" s="3"/>
      <c r="R93" s="6" t="str">
        <f>IF($H93&lt;&gt;"",RIGHT(Tabela1[[#This Row],[Ref.]],2),"")</f>
        <v/>
      </c>
      <c r="S93" s="6" t="str">
        <f t="shared" si="6"/>
        <v/>
      </c>
      <c r="T93" s="4" t="str">
        <f>IF($H93&lt;&gt;"",_xlfn.XLOOKUP(H93,Naturezas!B:B,Naturezas!E:E,"",0,1),"")</f>
        <v/>
      </c>
      <c r="U93" s="4" t="str">
        <f>IF($H93&lt;&gt;"",_xlfn.XLOOKUP($H93,Naturezas!B:B,Naturezas!D:D,"",0,1),"")</f>
        <v/>
      </c>
      <c r="V93" s="5" t="str">
        <f>IF(H93&lt;&gt;"",IF(OR(H93=Naturezas!$B$3,H93=Naturezas!$B$4,H93=Naturezas!$B$5,H93=Naturezas!$B$17,H93=Naturezas!$B$18,H93=Naturezas!$B$19),G93,-G93),"")</f>
        <v/>
      </c>
      <c r="W93" s="4" t="str">
        <f t="shared" si="10"/>
        <v/>
      </c>
      <c r="X93" s="4"/>
      <c r="Y93" s="4" t="str">
        <f t="shared" si="11"/>
        <v/>
      </c>
      <c r="Z93" s="6" t="str">
        <f>IF(H93&lt;&gt;"",Tabela1[[#This Row],[Iniciais]],"")</f>
        <v/>
      </c>
      <c r="AB93" s="6" t="str">
        <f>IF($H93&lt;&gt;"",RIGHT(Tabela1[[#This Row],[Ref.]],2),"")</f>
        <v/>
      </c>
      <c r="AC93" s="37" t="str">
        <f>IF($H93&lt;&gt;"",DATE(LEFT(Tabela1[[#This Row],[Ref.]],4),RIGHT(Tabela1[[#This Row],[Ref.]],2),1),"")</f>
        <v/>
      </c>
      <c r="AD93" s="4" t="str">
        <f t="shared" si="7"/>
        <v/>
      </c>
      <c r="AE93" s="5" t="str">
        <f t="shared" si="8"/>
        <v/>
      </c>
      <c r="AF93" s="4"/>
      <c r="AG93" s="6" t="str">
        <f t="shared" si="9"/>
        <v/>
      </c>
    </row>
    <row r="94" spans="1:33" ht="15.75" customHeight="1" x14ac:dyDescent="0.2">
      <c r="A94" s="35"/>
      <c r="B94" s="44"/>
      <c r="C94" s="35"/>
      <c r="D94" s="35"/>
      <c r="E94" s="48"/>
      <c r="F94" s="45"/>
      <c r="G94" s="38"/>
      <c r="H94" s="45"/>
      <c r="I94" s="45"/>
      <c r="L94" s="19"/>
      <c r="N94" s="25"/>
      <c r="O94" s="25"/>
      <c r="P94" s="27"/>
      <c r="Q94" s="3"/>
      <c r="R94" s="6" t="str">
        <f>IF($H94&lt;&gt;"",RIGHT(Tabela1[[#This Row],[Ref.]],2),"")</f>
        <v/>
      </c>
      <c r="S94" s="6" t="str">
        <f t="shared" si="6"/>
        <v/>
      </c>
      <c r="T94" s="4" t="str">
        <f>IF($H94&lt;&gt;"",_xlfn.XLOOKUP(H94,Naturezas!B:B,Naturezas!E:E,"",0,1),"")</f>
        <v/>
      </c>
      <c r="U94" s="4" t="str">
        <f>IF($H94&lt;&gt;"",_xlfn.XLOOKUP($H94,Naturezas!B:B,Naturezas!D:D,"",0,1),"")</f>
        <v/>
      </c>
      <c r="V94" s="5" t="str">
        <f>IF(H94&lt;&gt;"",IF(OR(H94=Naturezas!$B$3,H94=Naturezas!$B$4,H94=Naturezas!$B$5,H94=Naturezas!$B$17,H94=Naturezas!$B$18,H94=Naturezas!$B$19),G94,-G94),"")</f>
        <v/>
      </c>
      <c r="W94" s="4" t="str">
        <f t="shared" si="10"/>
        <v/>
      </c>
      <c r="X94" s="4"/>
      <c r="Y94" s="4" t="str">
        <f t="shared" si="11"/>
        <v/>
      </c>
      <c r="Z94" s="6" t="str">
        <f>IF(H94&lt;&gt;"",Tabela1[[#This Row],[Iniciais]],"")</f>
        <v/>
      </c>
      <c r="AB94" s="6" t="str">
        <f>IF($H94&lt;&gt;"",RIGHT(Tabela1[[#This Row],[Ref.]],2),"")</f>
        <v/>
      </c>
      <c r="AC94" s="37" t="str">
        <f>IF($H94&lt;&gt;"",DATE(LEFT(Tabela1[[#This Row],[Ref.]],4),RIGHT(Tabela1[[#This Row],[Ref.]],2),1),"")</f>
        <v/>
      </c>
      <c r="AD94" s="4" t="str">
        <f t="shared" si="7"/>
        <v/>
      </c>
      <c r="AE94" s="5" t="str">
        <f t="shared" si="8"/>
        <v/>
      </c>
      <c r="AF94" s="4"/>
      <c r="AG94" s="6" t="str">
        <f t="shared" si="9"/>
        <v/>
      </c>
    </row>
    <row r="95" spans="1:33" ht="15.75" customHeight="1" x14ac:dyDescent="0.2">
      <c r="A95" s="35"/>
      <c r="B95" s="44"/>
      <c r="C95" s="35"/>
      <c r="D95" s="35"/>
      <c r="E95" s="48"/>
      <c r="F95" s="45"/>
      <c r="G95" s="38"/>
      <c r="H95" s="45"/>
      <c r="I95" s="45"/>
      <c r="L95" s="19"/>
      <c r="N95" s="25"/>
      <c r="O95" s="25"/>
      <c r="P95" s="27"/>
      <c r="Q95" s="3"/>
      <c r="R95" s="6" t="str">
        <f>IF($H95&lt;&gt;"",RIGHT(Tabela1[[#This Row],[Ref.]],2),"")</f>
        <v/>
      </c>
      <c r="S95" s="6" t="str">
        <f t="shared" si="6"/>
        <v/>
      </c>
      <c r="T95" s="4" t="str">
        <f>IF($H95&lt;&gt;"",_xlfn.XLOOKUP(H95,Naturezas!B:B,Naturezas!E:E,"",0,1),"")</f>
        <v/>
      </c>
      <c r="U95" s="4" t="str">
        <f>IF($H95&lt;&gt;"",_xlfn.XLOOKUP($H95,Naturezas!B:B,Naturezas!D:D,"",0,1),"")</f>
        <v/>
      </c>
      <c r="V95" s="5" t="str">
        <f>IF(H95&lt;&gt;"",IF(OR(H95=Naturezas!$B$3,H95=Naturezas!$B$4,H95=Naturezas!$B$5,H95=Naturezas!$B$17,H95=Naturezas!$B$18,H95=Naturezas!$B$19),G95,-G95),"")</f>
        <v/>
      </c>
      <c r="W95" s="4" t="str">
        <f t="shared" si="10"/>
        <v/>
      </c>
      <c r="X95" s="4"/>
      <c r="Y95" s="4" t="str">
        <f t="shared" si="11"/>
        <v/>
      </c>
      <c r="Z95" s="6" t="str">
        <f>IF(H95&lt;&gt;"",Tabela1[[#This Row],[Iniciais]],"")</f>
        <v/>
      </c>
      <c r="AB95" s="6" t="str">
        <f>IF($H95&lt;&gt;"",RIGHT(Tabela1[[#This Row],[Ref.]],2),"")</f>
        <v/>
      </c>
      <c r="AC95" s="37" t="str">
        <f>IF($H95&lt;&gt;"",DATE(LEFT(Tabela1[[#This Row],[Ref.]],4),RIGHT(Tabela1[[#This Row],[Ref.]],2),1),"")</f>
        <v/>
      </c>
      <c r="AD95" s="4" t="str">
        <f t="shared" si="7"/>
        <v/>
      </c>
      <c r="AE95" s="5" t="str">
        <f t="shared" si="8"/>
        <v/>
      </c>
      <c r="AF95" s="4"/>
      <c r="AG95" s="6" t="str">
        <f t="shared" si="9"/>
        <v/>
      </c>
    </row>
    <row r="96" spans="1:33" ht="15.75" customHeight="1" x14ac:dyDescent="0.2">
      <c r="A96" s="35"/>
      <c r="B96" s="44"/>
      <c r="C96" s="35"/>
      <c r="D96" s="35"/>
      <c r="E96" s="48"/>
      <c r="F96" s="45"/>
      <c r="G96" s="38"/>
      <c r="H96" s="45"/>
      <c r="I96" s="45"/>
      <c r="L96" s="19"/>
      <c r="N96" s="25"/>
      <c r="O96" s="25"/>
      <c r="P96" s="27"/>
      <c r="Q96" s="3"/>
      <c r="R96" s="6" t="str">
        <f>IF($H96&lt;&gt;"",RIGHT(Tabela1[[#This Row],[Ref.]],2),"")</f>
        <v/>
      </c>
      <c r="S96" s="6" t="str">
        <f t="shared" si="6"/>
        <v/>
      </c>
      <c r="T96" s="4" t="str">
        <f>IF($H96&lt;&gt;"",_xlfn.XLOOKUP(H96,Naturezas!B:B,Naturezas!E:E,"",0,1),"")</f>
        <v/>
      </c>
      <c r="U96" s="4" t="str">
        <f>IF($H96&lt;&gt;"",_xlfn.XLOOKUP($H96,Naturezas!B:B,Naturezas!D:D,"",0,1),"")</f>
        <v/>
      </c>
      <c r="V96" s="5" t="str">
        <f>IF(H96&lt;&gt;"",IF(OR(H96=Naturezas!$B$3,H96=Naturezas!$B$4,H96=Naturezas!$B$5,H96=Naturezas!$B$17,H96=Naturezas!$B$18,H96=Naturezas!$B$19),G96,-G96),"")</f>
        <v/>
      </c>
      <c r="W96" s="4" t="str">
        <f t="shared" si="10"/>
        <v/>
      </c>
      <c r="X96" s="4"/>
      <c r="Y96" s="4" t="str">
        <f t="shared" si="11"/>
        <v/>
      </c>
      <c r="Z96" s="6" t="str">
        <f>IF(H96&lt;&gt;"",Tabela1[[#This Row],[Iniciais]],"")</f>
        <v/>
      </c>
      <c r="AB96" s="6" t="str">
        <f>IF($H96&lt;&gt;"",RIGHT(Tabela1[[#This Row],[Ref.]],2),"")</f>
        <v/>
      </c>
      <c r="AC96" s="37" t="str">
        <f>IF($H96&lt;&gt;"",DATE(LEFT(Tabela1[[#This Row],[Ref.]],4),RIGHT(Tabela1[[#This Row],[Ref.]],2),1),"")</f>
        <v/>
      </c>
      <c r="AD96" s="4" t="str">
        <f t="shared" si="7"/>
        <v/>
      </c>
      <c r="AE96" s="5" t="str">
        <f t="shared" si="8"/>
        <v/>
      </c>
      <c r="AF96" s="4"/>
      <c r="AG96" s="6" t="str">
        <f t="shared" si="9"/>
        <v/>
      </c>
    </row>
    <row r="97" spans="1:33" ht="15.75" customHeight="1" x14ac:dyDescent="0.2">
      <c r="A97" s="35"/>
      <c r="B97" s="44"/>
      <c r="C97" s="35"/>
      <c r="D97" s="35"/>
      <c r="E97" s="48"/>
      <c r="F97" s="45"/>
      <c r="G97" s="38"/>
      <c r="H97" s="45"/>
      <c r="I97" s="45"/>
      <c r="L97" s="19"/>
      <c r="N97" s="25"/>
      <c r="O97" s="25"/>
      <c r="P97" s="27"/>
      <c r="Q97" s="3"/>
      <c r="R97" s="6" t="str">
        <f>IF($H97&lt;&gt;"",RIGHT(Tabela1[[#This Row],[Ref.]],2),"")</f>
        <v/>
      </c>
      <c r="S97" s="6" t="str">
        <f t="shared" si="6"/>
        <v/>
      </c>
      <c r="T97" s="4" t="str">
        <f>IF($H97&lt;&gt;"",_xlfn.XLOOKUP(H97,Naturezas!B:B,Naturezas!E:E,"",0,1),"")</f>
        <v/>
      </c>
      <c r="U97" s="4" t="str">
        <f>IF($H97&lt;&gt;"",_xlfn.XLOOKUP($H97,Naturezas!B:B,Naturezas!D:D,"",0,1),"")</f>
        <v/>
      </c>
      <c r="V97" s="5" t="str">
        <f>IF(H97&lt;&gt;"",IF(OR(H97=Naturezas!$B$3,H97=Naturezas!$B$4,H97=Naturezas!$B$5,H97=Naturezas!$B$17,H97=Naturezas!$B$18,H97=Naturezas!$B$19),G97,-G97),"")</f>
        <v/>
      </c>
      <c r="W97" s="4" t="str">
        <f t="shared" si="10"/>
        <v/>
      </c>
      <c r="X97" s="4"/>
      <c r="Y97" s="4" t="str">
        <f t="shared" si="11"/>
        <v/>
      </c>
      <c r="Z97" s="6" t="str">
        <f>IF(H97&lt;&gt;"",Tabela1[[#This Row],[Iniciais]],"")</f>
        <v/>
      </c>
      <c r="AB97" s="6" t="str">
        <f>IF($H97&lt;&gt;"",RIGHT(Tabela1[[#This Row],[Ref.]],2),"")</f>
        <v/>
      </c>
      <c r="AC97" s="37" t="str">
        <f>IF($H97&lt;&gt;"",DATE(LEFT(Tabela1[[#This Row],[Ref.]],4),RIGHT(Tabela1[[#This Row],[Ref.]],2),1),"")</f>
        <v/>
      </c>
      <c r="AD97" s="4" t="str">
        <f t="shared" si="7"/>
        <v/>
      </c>
      <c r="AE97" s="5" t="str">
        <f t="shared" si="8"/>
        <v/>
      </c>
      <c r="AF97" s="4"/>
      <c r="AG97" s="6" t="str">
        <f t="shared" si="9"/>
        <v/>
      </c>
    </row>
    <row r="98" spans="1:33" ht="15.75" customHeight="1" x14ac:dyDescent="0.2">
      <c r="A98" s="35"/>
      <c r="B98" s="44"/>
      <c r="C98" s="35"/>
      <c r="D98" s="35"/>
      <c r="E98" s="48"/>
      <c r="F98" s="45"/>
      <c r="G98" s="38"/>
      <c r="H98" s="45"/>
      <c r="I98" s="45"/>
      <c r="L98" s="19"/>
      <c r="N98" s="25"/>
      <c r="O98" s="25"/>
      <c r="P98" s="27"/>
      <c r="Q98" s="3"/>
      <c r="R98" s="6" t="str">
        <f>IF($H98&lt;&gt;"",RIGHT(Tabela1[[#This Row],[Ref.]],2),"")</f>
        <v/>
      </c>
      <c r="S98" s="6" t="str">
        <f t="shared" si="6"/>
        <v/>
      </c>
      <c r="T98" s="4" t="str">
        <f>IF($H98&lt;&gt;"",_xlfn.XLOOKUP(H98,Naturezas!B:B,Naturezas!E:E,"",0,1),"")</f>
        <v/>
      </c>
      <c r="U98" s="4" t="str">
        <f>IF($H98&lt;&gt;"",_xlfn.XLOOKUP($H98,Naturezas!B:B,Naturezas!D:D,"",0,1),"")</f>
        <v/>
      </c>
      <c r="V98" s="5" t="str">
        <f>IF(H98&lt;&gt;"",IF(OR(H98=Naturezas!$B$3,H98=Naturezas!$B$4,H98=Naturezas!$B$5,H98=Naturezas!$B$17,H98=Naturezas!$B$18,H98=Naturezas!$B$19),G98,-G98),"")</f>
        <v/>
      </c>
      <c r="W98" s="4" t="str">
        <f t="shared" si="10"/>
        <v/>
      </c>
      <c r="X98" s="4"/>
      <c r="Y98" s="4" t="str">
        <f t="shared" si="11"/>
        <v/>
      </c>
      <c r="Z98" s="6" t="str">
        <f>IF(H98&lt;&gt;"",Tabela1[[#This Row],[Iniciais]],"")</f>
        <v/>
      </c>
      <c r="AB98" s="6" t="str">
        <f>IF($H98&lt;&gt;"",RIGHT(Tabela1[[#This Row],[Ref.]],2),"")</f>
        <v/>
      </c>
      <c r="AC98" s="37" t="str">
        <f>IF($H98&lt;&gt;"",DATE(LEFT(Tabela1[[#This Row],[Ref.]],4),RIGHT(Tabela1[[#This Row],[Ref.]],2),1),"")</f>
        <v/>
      </c>
      <c r="AD98" s="4" t="str">
        <f t="shared" si="7"/>
        <v/>
      </c>
      <c r="AE98" s="5" t="str">
        <f t="shared" si="8"/>
        <v/>
      </c>
      <c r="AF98" s="4"/>
      <c r="AG98" s="6" t="str">
        <f t="shared" si="9"/>
        <v/>
      </c>
    </row>
    <row r="99" spans="1:33" ht="15.75" customHeight="1" x14ac:dyDescent="0.2">
      <c r="A99" s="35"/>
      <c r="B99" s="44"/>
      <c r="C99" s="35"/>
      <c r="D99" s="35"/>
      <c r="E99" s="48"/>
      <c r="F99" s="45"/>
      <c r="G99" s="38"/>
      <c r="H99" s="45"/>
      <c r="I99" s="45"/>
      <c r="L99" s="19"/>
      <c r="N99" s="25"/>
      <c r="O99" s="25"/>
      <c r="P99" s="27"/>
      <c r="Q99" s="3"/>
      <c r="R99" s="6" t="str">
        <f>IF($H99&lt;&gt;"",RIGHT(Tabela1[[#This Row],[Ref.]],2),"")</f>
        <v/>
      </c>
      <c r="S99" s="6" t="str">
        <f t="shared" si="6"/>
        <v/>
      </c>
      <c r="T99" s="4" t="str">
        <f>IF($H99&lt;&gt;"",_xlfn.XLOOKUP(H99,Naturezas!B:B,Naturezas!E:E,"",0,1),"")</f>
        <v/>
      </c>
      <c r="U99" s="4" t="str">
        <f>IF($H99&lt;&gt;"",_xlfn.XLOOKUP($H99,Naturezas!B:B,Naturezas!D:D,"",0,1),"")</f>
        <v/>
      </c>
      <c r="V99" s="5" t="str">
        <f>IF(H99&lt;&gt;"",IF(OR(H99=Naturezas!$B$3,H99=Naturezas!$B$4,H99=Naturezas!$B$5,H99=Naturezas!$B$17,H99=Naturezas!$B$18,H99=Naturezas!$B$19),G99,-G99),"")</f>
        <v/>
      </c>
      <c r="W99" s="4" t="str">
        <f t="shared" si="10"/>
        <v/>
      </c>
      <c r="X99" s="4"/>
      <c r="Y99" s="4" t="str">
        <f t="shared" si="11"/>
        <v/>
      </c>
      <c r="Z99" s="6" t="str">
        <f>IF(H99&lt;&gt;"",Tabela1[[#This Row],[Iniciais]],"")</f>
        <v/>
      </c>
      <c r="AB99" s="6" t="str">
        <f>IF($H99&lt;&gt;"",RIGHT(Tabela1[[#This Row],[Ref.]],2),"")</f>
        <v/>
      </c>
      <c r="AC99" s="37" t="str">
        <f>IF($H99&lt;&gt;"",DATE(LEFT(Tabela1[[#This Row],[Ref.]],4),RIGHT(Tabela1[[#This Row],[Ref.]],2),1),"")</f>
        <v/>
      </c>
      <c r="AD99" s="4" t="str">
        <f t="shared" si="7"/>
        <v/>
      </c>
      <c r="AE99" s="5" t="str">
        <f t="shared" si="8"/>
        <v/>
      </c>
      <c r="AF99" s="4"/>
      <c r="AG99" s="6" t="str">
        <f t="shared" si="9"/>
        <v/>
      </c>
    </row>
    <row r="100" spans="1:33" ht="15.75" customHeight="1" x14ac:dyDescent="0.2">
      <c r="A100" s="35"/>
      <c r="B100" s="44"/>
      <c r="C100" s="35"/>
      <c r="D100" s="35"/>
      <c r="E100" s="48"/>
      <c r="F100" s="45"/>
      <c r="G100" s="38"/>
      <c r="H100" s="45"/>
      <c r="I100" s="45"/>
      <c r="L100" s="19"/>
      <c r="N100" s="25"/>
      <c r="O100" s="25"/>
      <c r="P100" s="27"/>
      <c r="Q100" s="3"/>
      <c r="R100" s="6" t="str">
        <f>IF($H100&lt;&gt;"",RIGHT(Tabela1[[#This Row],[Ref.]],2),"")</f>
        <v/>
      </c>
      <c r="S100" s="6" t="str">
        <f t="shared" si="6"/>
        <v/>
      </c>
      <c r="T100" s="4" t="str">
        <f>IF($H100&lt;&gt;"",_xlfn.XLOOKUP(H100,Naturezas!B:B,Naturezas!E:E,"",0,1),"")</f>
        <v/>
      </c>
      <c r="U100" s="4" t="str">
        <f>IF($H100&lt;&gt;"",_xlfn.XLOOKUP($H100,Naturezas!B:B,Naturezas!D:D,"",0,1),"")</f>
        <v/>
      </c>
      <c r="V100" s="5" t="str">
        <f>IF(H100&lt;&gt;"",IF(OR(H100=Naturezas!$B$3,H100=Naturezas!$B$4,H100=Naturezas!$B$5,H100=Naturezas!$B$17,H100=Naturezas!$B$18,H100=Naturezas!$B$19),G100,-G100),"")</f>
        <v/>
      </c>
      <c r="W100" s="4" t="str">
        <f t="shared" si="10"/>
        <v/>
      </c>
      <c r="X100" s="4"/>
      <c r="Y100" s="4" t="str">
        <f t="shared" si="11"/>
        <v/>
      </c>
      <c r="Z100" s="6" t="str">
        <f>IF(H100&lt;&gt;"",Tabela1[[#This Row],[Iniciais]],"")</f>
        <v/>
      </c>
      <c r="AB100" s="6" t="str">
        <f>IF($H100&lt;&gt;"",RIGHT(Tabela1[[#This Row],[Ref.]],2),"")</f>
        <v/>
      </c>
      <c r="AC100" s="37" t="str">
        <f>IF($H100&lt;&gt;"",DATE(LEFT(Tabela1[[#This Row],[Ref.]],4),RIGHT(Tabela1[[#This Row],[Ref.]],2),1),"")</f>
        <v/>
      </c>
      <c r="AD100" s="4" t="str">
        <f t="shared" si="7"/>
        <v/>
      </c>
      <c r="AE100" s="5" t="str">
        <f t="shared" si="8"/>
        <v/>
      </c>
      <c r="AF100" s="4"/>
      <c r="AG100" s="6" t="str">
        <f t="shared" si="9"/>
        <v/>
      </c>
    </row>
    <row r="101" spans="1:33" ht="15.75" customHeight="1" x14ac:dyDescent="0.2">
      <c r="A101" s="35"/>
      <c r="B101" s="44"/>
      <c r="C101" s="35"/>
      <c r="D101" s="35"/>
      <c r="E101" s="48"/>
      <c r="F101" s="45"/>
      <c r="G101" s="38"/>
      <c r="H101" s="45"/>
      <c r="I101" s="45"/>
      <c r="L101" s="19"/>
      <c r="N101" s="25"/>
      <c r="O101" s="25"/>
      <c r="P101" s="27"/>
      <c r="Q101" s="3"/>
      <c r="R101" s="6" t="str">
        <f>IF($H101&lt;&gt;"",RIGHT(Tabela1[[#This Row],[Ref.]],2),"")</f>
        <v/>
      </c>
      <c r="S101" s="6" t="str">
        <f t="shared" si="6"/>
        <v/>
      </c>
      <c r="T101" s="4" t="str">
        <f>IF($H101&lt;&gt;"",_xlfn.XLOOKUP(H101,Naturezas!B:B,Naturezas!E:E,"",0,1),"")</f>
        <v/>
      </c>
      <c r="U101" s="4" t="str">
        <f>IF($H101&lt;&gt;"",_xlfn.XLOOKUP($H101,Naturezas!B:B,Naturezas!D:D,"",0,1),"")</f>
        <v/>
      </c>
      <c r="V101" s="5" t="str">
        <f>IF(H101&lt;&gt;"",IF(OR(H101=Naturezas!$B$3,H101=Naturezas!$B$4,H101=Naturezas!$B$5,H101=Naturezas!$B$17,H101=Naturezas!$B$18,H101=Naturezas!$B$19),G101,-G101),"")</f>
        <v/>
      </c>
      <c r="W101" s="4" t="str">
        <f t="shared" si="10"/>
        <v/>
      </c>
      <c r="X101" s="4"/>
      <c r="Y101" s="4" t="str">
        <f t="shared" si="11"/>
        <v/>
      </c>
      <c r="Z101" s="6" t="str">
        <f>IF(H101&lt;&gt;"",Tabela1[[#This Row],[Iniciais]],"")</f>
        <v/>
      </c>
      <c r="AB101" s="6" t="str">
        <f>IF($H101&lt;&gt;"",RIGHT(Tabela1[[#This Row],[Ref.]],2),"")</f>
        <v/>
      </c>
      <c r="AC101" s="37" t="str">
        <f>IF($H101&lt;&gt;"",DATE(LEFT(Tabela1[[#This Row],[Ref.]],4),RIGHT(Tabela1[[#This Row],[Ref.]],2),1),"")</f>
        <v/>
      </c>
      <c r="AD101" s="4" t="str">
        <f t="shared" si="7"/>
        <v/>
      </c>
      <c r="AE101" s="5" t="str">
        <f t="shared" si="8"/>
        <v/>
      </c>
      <c r="AF101" s="4"/>
      <c r="AG101" s="6" t="str">
        <f t="shared" si="9"/>
        <v/>
      </c>
    </row>
    <row r="102" spans="1:33" ht="15.75" customHeight="1" x14ac:dyDescent="0.2">
      <c r="A102" s="35"/>
      <c r="B102" s="44"/>
      <c r="C102" s="35"/>
      <c r="D102" s="35"/>
      <c r="E102" s="48"/>
      <c r="F102" s="45"/>
      <c r="G102" s="38"/>
      <c r="H102" s="45"/>
      <c r="I102" s="45"/>
      <c r="L102" s="19"/>
      <c r="N102" s="25"/>
      <c r="O102" s="25"/>
      <c r="P102" s="27"/>
      <c r="Q102" s="3"/>
      <c r="R102" s="6" t="str">
        <f>IF($H102&lt;&gt;"",RIGHT(Tabela1[[#This Row],[Ref.]],2),"")</f>
        <v/>
      </c>
      <c r="S102" s="6" t="str">
        <f t="shared" si="6"/>
        <v/>
      </c>
      <c r="T102" s="4" t="str">
        <f>IF($H102&lt;&gt;"",_xlfn.XLOOKUP(H102,Naturezas!B:B,Naturezas!E:E,"",0,1),"")</f>
        <v/>
      </c>
      <c r="U102" s="4" t="str">
        <f>IF($H102&lt;&gt;"",_xlfn.XLOOKUP($H102,Naturezas!B:B,Naturezas!D:D,"",0,1),"")</f>
        <v/>
      </c>
      <c r="V102" s="5" t="str">
        <f>IF(H102&lt;&gt;"",IF(OR(H102=Naturezas!$B$3,H102=Naturezas!$B$4,H102=Naturezas!$B$5,H102=Naturezas!$B$17,H102=Naturezas!$B$18,H102=Naturezas!$B$19),G102,-G102),"")</f>
        <v/>
      </c>
      <c r="W102" s="4" t="str">
        <f t="shared" si="10"/>
        <v/>
      </c>
      <c r="X102" s="4"/>
      <c r="Y102" s="4" t="str">
        <f t="shared" si="11"/>
        <v/>
      </c>
      <c r="Z102" s="6" t="str">
        <f>IF(H102&lt;&gt;"",Tabela1[[#This Row],[Iniciais]],"")</f>
        <v/>
      </c>
      <c r="AB102" s="6" t="str">
        <f>IF($H102&lt;&gt;"",RIGHT(Tabela1[[#This Row],[Ref.]],2),"")</f>
        <v/>
      </c>
      <c r="AC102" s="37" t="str">
        <f>IF($H102&lt;&gt;"",DATE(LEFT(Tabela1[[#This Row],[Ref.]],4),RIGHT(Tabela1[[#This Row],[Ref.]],2),1),"")</f>
        <v/>
      </c>
      <c r="AD102" s="4" t="str">
        <f t="shared" si="7"/>
        <v/>
      </c>
      <c r="AE102" s="5" t="str">
        <f t="shared" si="8"/>
        <v/>
      </c>
      <c r="AF102" s="4"/>
      <c r="AG102" s="6" t="str">
        <f t="shared" si="9"/>
        <v/>
      </c>
    </row>
    <row r="103" spans="1:33" ht="15.75" customHeight="1" x14ac:dyDescent="0.2">
      <c r="A103" s="35"/>
      <c r="B103" s="44"/>
      <c r="C103" s="35"/>
      <c r="D103" s="35"/>
      <c r="E103" s="48"/>
      <c r="F103" s="45"/>
      <c r="G103" s="38"/>
      <c r="H103" s="45"/>
      <c r="I103" s="45"/>
      <c r="L103" s="19"/>
      <c r="N103" s="25"/>
      <c r="O103" s="25"/>
      <c r="P103" s="27"/>
      <c r="Q103" s="3"/>
      <c r="R103" s="6" t="str">
        <f>IF($H103&lt;&gt;"",RIGHT(Tabela1[[#This Row],[Ref.]],2),"")</f>
        <v/>
      </c>
      <c r="S103" s="6" t="str">
        <f t="shared" si="6"/>
        <v/>
      </c>
      <c r="T103" s="4" t="str">
        <f>IF($H103&lt;&gt;"",_xlfn.XLOOKUP(H103,Naturezas!B:B,Naturezas!E:E,"",0,1),"")</f>
        <v/>
      </c>
      <c r="U103" s="4" t="str">
        <f>IF($H103&lt;&gt;"",_xlfn.XLOOKUP($H103,Naturezas!B:B,Naturezas!D:D,"",0,1),"")</f>
        <v/>
      </c>
      <c r="V103" s="5" t="str">
        <f>IF(H103&lt;&gt;"",IF(OR(H103=Naturezas!$B$3,H103=Naturezas!$B$4,H103=Naturezas!$B$5,H103=Naturezas!$B$17,H103=Naturezas!$B$18,H103=Naturezas!$B$19),G103,-G103),"")</f>
        <v/>
      </c>
      <c r="W103" s="4" t="str">
        <f t="shared" si="10"/>
        <v/>
      </c>
      <c r="X103" s="4"/>
      <c r="Y103" s="4" t="str">
        <f t="shared" si="11"/>
        <v/>
      </c>
      <c r="Z103" s="6" t="str">
        <f>IF(H103&lt;&gt;"",Tabela1[[#This Row],[Iniciais]],"")</f>
        <v/>
      </c>
      <c r="AB103" s="6" t="str">
        <f>IF($H103&lt;&gt;"",RIGHT(Tabela1[[#This Row],[Ref.]],2),"")</f>
        <v/>
      </c>
      <c r="AC103" s="37" t="str">
        <f>IF($H103&lt;&gt;"",DATE(LEFT(Tabela1[[#This Row],[Ref.]],4),RIGHT(Tabela1[[#This Row],[Ref.]],2),1),"")</f>
        <v/>
      </c>
      <c r="AD103" s="4" t="str">
        <f t="shared" si="7"/>
        <v/>
      </c>
      <c r="AE103" s="5" t="str">
        <f t="shared" si="8"/>
        <v/>
      </c>
      <c r="AF103" s="4"/>
      <c r="AG103" s="6" t="str">
        <f t="shared" si="9"/>
        <v/>
      </c>
    </row>
    <row r="104" spans="1:33" ht="15.75" customHeight="1" x14ac:dyDescent="0.2">
      <c r="A104" s="35"/>
      <c r="B104" s="44"/>
      <c r="C104" s="35"/>
      <c r="D104" s="35"/>
      <c r="E104" s="48"/>
      <c r="F104" s="45"/>
      <c r="G104" s="38"/>
      <c r="H104" s="45"/>
      <c r="I104" s="45"/>
      <c r="L104" s="19"/>
      <c r="N104" s="25"/>
      <c r="O104" s="25"/>
      <c r="P104" s="27"/>
      <c r="Q104" s="3"/>
      <c r="R104" s="6" t="str">
        <f>IF($H104&lt;&gt;"",RIGHT(Tabela1[[#This Row],[Ref.]],2),"")</f>
        <v/>
      </c>
      <c r="S104" s="6" t="str">
        <f t="shared" si="6"/>
        <v/>
      </c>
      <c r="T104" s="4" t="str">
        <f>IF($H104&lt;&gt;"",_xlfn.XLOOKUP(H104,Naturezas!B:B,Naturezas!E:E,"",0,1),"")</f>
        <v/>
      </c>
      <c r="U104" s="4" t="str">
        <f>IF($H104&lt;&gt;"",_xlfn.XLOOKUP($H104,Naturezas!B:B,Naturezas!D:D,"",0,1),"")</f>
        <v/>
      </c>
      <c r="V104" s="5" t="str">
        <f>IF(H104&lt;&gt;"",IF(OR(H104=Naturezas!$B$3,H104=Naturezas!$B$4,H104=Naturezas!$B$5,H104=Naturezas!$B$17,H104=Naturezas!$B$18,H104=Naturezas!$B$19),G104,-G104),"")</f>
        <v/>
      </c>
      <c r="W104" s="4" t="str">
        <f t="shared" si="10"/>
        <v/>
      </c>
      <c r="X104" s="4"/>
      <c r="Y104" s="4" t="str">
        <f t="shared" si="11"/>
        <v/>
      </c>
      <c r="Z104" s="6" t="str">
        <f>IF(H104&lt;&gt;"",Tabela1[[#This Row],[Iniciais]],"")</f>
        <v/>
      </c>
      <c r="AB104" s="6" t="str">
        <f>IF($H104&lt;&gt;"",RIGHT(Tabela1[[#This Row],[Ref.]],2),"")</f>
        <v/>
      </c>
      <c r="AC104" s="37" t="str">
        <f>IF($H104&lt;&gt;"",DATE(LEFT(Tabela1[[#This Row],[Ref.]],4),RIGHT(Tabela1[[#This Row],[Ref.]],2),1),"")</f>
        <v/>
      </c>
      <c r="AD104" s="4" t="str">
        <f t="shared" si="7"/>
        <v/>
      </c>
      <c r="AE104" s="5" t="str">
        <f t="shared" si="8"/>
        <v/>
      </c>
      <c r="AF104" s="4"/>
      <c r="AG104" s="6" t="str">
        <f t="shared" si="9"/>
        <v/>
      </c>
    </row>
    <row r="105" spans="1:33" ht="15.75" customHeight="1" x14ac:dyDescent="0.2">
      <c r="A105" s="35"/>
      <c r="B105" s="44"/>
      <c r="C105" s="35"/>
      <c r="D105" s="35"/>
      <c r="E105" s="48"/>
      <c r="F105" s="45"/>
      <c r="G105" s="38"/>
      <c r="H105" s="45"/>
      <c r="I105" s="45"/>
      <c r="L105" s="19"/>
      <c r="N105" s="25"/>
      <c r="O105" s="25"/>
      <c r="P105" s="27"/>
      <c r="Q105" s="3"/>
      <c r="R105" s="6" t="str">
        <f>IF($H105&lt;&gt;"",RIGHT(Tabela1[[#This Row],[Ref.]],2),"")</f>
        <v/>
      </c>
      <c r="S105" s="6" t="str">
        <f t="shared" si="6"/>
        <v/>
      </c>
      <c r="T105" s="4" t="str">
        <f>IF($H105&lt;&gt;"",_xlfn.XLOOKUP(H105,Naturezas!B:B,Naturezas!E:E,"",0,1),"")</f>
        <v/>
      </c>
      <c r="U105" s="4" t="str">
        <f>IF($H105&lt;&gt;"",_xlfn.XLOOKUP($H105,Naturezas!B:B,Naturezas!D:D,"",0,1),"")</f>
        <v/>
      </c>
      <c r="V105" s="5" t="str">
        <f>IF(H105&lt;&gt;"",IF(OR(H105=Naturezas!$B$3,H105=Naturezas!$B$4,H105=Naturezas!$B$5,H105=Naturezas!$B$17,H105=Naturezas!$B$18,H105=Naturezas!$B$19),G105,-G105),"")</f>
        <v/>
      </c>
      <c r="W105" s="4" t="str">
        <f t="shared" si="10"/>
        <v/>
      </c>
      <c r="X105" s="4"/>
      <c r="Y105" s="4" t="str">
        <f t="shared" si="11"/>
        <v/>
      </c>
      <c r="Z105" s="6" t="str">
        <f>IF(H105&lt;&gt;"",Tabela1[[#This Row],[Iniciais]],"")</f>
        <v/>
      </c>
      <c r="AB105" s="6" t="str">
        <f>IF($H105&lt;&gt;"",RIGHT(Tabela1[[#This Row],[Ref.]],2),"")</f>
        <v/>
      </c>
      <c r="AC105" s="37" t="str">
        <f>IF($H105&lt;&gt;"",DATE(LEFT(Tabela1[[#This Row],[Ref.]],4),RIGHT(Tabela1[[#This Row],[Ref.]],2),1),"")</f>
        <v/>
      </c>
      <c r="AD105" s="4" t="str">
        <f t="shared" si="7"/>
        <v/>
      </c>
      <c r="AE105" s="5" t="str">
        <f t="shared" si="8"/>
        <v/>
      </c>
      <c r="AF105" s="4"/>
      <c r="AG105" s="6" t="str">
        <f t="shared" si="9"/>
        <v/>
      </c>
    </row>
    <row r="106" spans="1:33" ht="15.75" customHeight="1" x14ac:dyDescent="0.2">
      <c r="A106" s="35"/>
      <c r="B106" s="44"/>
      <c r="C106" s="35"/>
      <c r="D106" s="35"/>
      <c r="E106" s="48"/>
      <c r="F106" s="45"/>
      <c r="G106" s="38"/>
      <c r="H106" s="45"/>
      <c r="I106" s="45"/>
      <c r="L106" s="19"/>
      <c r="N106" s="25"/>
      <c r="O106" s="25"/>
      <c r="P106" s="27"/>
      <c r="Q106" s="3"/>
      <c r="R106" s="6" t="str">
        <f>IF($H106&lt;&gt;"",RIGHT(Tabela1[[#This Row],[Ref.]],2),"")</f>
        <v/>
      </c>
      <c r="S106" s="6" t="str">
        <f t="shared" si="6"/>
        <v/>
      </c>
      <c r="T106" s="4" t="str">
        <f>IF($H106&lt;&gt;"",_xlfn.XLOOKUP(H106,Naturezas!B:B,Naturezas!E:E,"",0,1),"")</f>
        <v/>
      </c>
      <c r="U106" s="4" t="str">
        <f>IF($H106&lt;&gt;"",_xlfn.XLOOKUP($H106,Naturezas!B:B,Naturezas!D:D,"",0,1),"")</f>
        <v/>
      </c>
      <c r="V106" s="5" t="str">
        <f>IF(H106&lt;&gt;"",IF(OR(H106=Naturezas!$B$3,H106=Naturezas!$B$4,H106=Naturezas!$B$5,H106=Naturezas!$B$17,H106=Naturezas!$B$18,H106=Naturezas!$B$19),G106,-G106),"")</f>
        <v/>
      </c>
      <c r="W106" s="4" t="str">
        <f t="shared" si="10"/>
        <v/>
      </c>
      <c r="X106" s="4"/>
      <c r="Y106" s="4" t="str">
        <f t="shared" si="11"/>
        <v/>
      </c>
      <c r="Z106" s="6" t="str">
        <f>IF(H106&lt;&gt;"",Tabela1[[#This Row],[Iniciais]],"")</f>
        <v/>
      </c>
      <c r="AB106" s="6" t="str">
        <f>IF($H106&lt;&gt;"",RIGHT(Tabela1[[#This Row],[Ref.]],2),"")</f>
        <v/>
      </c>
      <c r="AC106" s="37" t="str">
        <f>IF($H106&lt;&gt;"",DATE(LEFT(Tabela1[[#This Row],[Ref.]],4),RIGHT(Tabela1[[#This Row],[Ref.]],2),1),"")</f>
        <v/>
      </c>
      <c r="AD106" s="4" t="str">
        <f t="shared" si="7"/>
        <v/>
      </c>
      <c r="AE106" s="5" t="str">
        <f t="shared" si="8"/>
        <v/>
      </c>
      <c r="AF106" s="4"/>
      <c r="AG106" s="6" t="str">
        <f t="shared" si="9"/>
        <v/>
      </c>
    </row>
    <row r="107" spans="1:33" ht="15.75" customHeight="1" x14ac:dyDescent="0.2">
      <c r="A107" s="35"/>
      <c r="B107" s="44"/>
      <c r="C107" s="35"/>
      <c r="D107" s="35"/>
      <c r="E107" s="48"/>
      <c r="F107" s="45"/>
      <c r="G107" s="38"/>
      <c r="H107" s="45"/>
      <c r="I107" s="45"/>
      <c r="L107" s="19"/>
      <c r="N107" s="25"/>
      <c r="O107" s="25"/>
      <c r="P107" s="27"/>
      <c r="Q107" s="3"/>
      <c r="R107" s="6" t="str">
        <f>IF($H107&lt;&gt;"",RIGHT(Tabela1[[#This Row],[Ref.]],2),"")</f>
        <v/>
      </c>
      <c r="S107" s="6" t="str">
        <f t="shared" si="6"/>
        <v/>
      </c>
      <c r="T107" s="4" t="str">
        <f>IF($H107&lt;&gt;"",_xlfn.XLOOKUP(H107,Naturezas!B:B,Naturezas!E:E,"",0,1),"")</f>
        <v/>
      </c>
      <c r="U107" s="4" t="str">
        <f>IF($H107&lt;&gt;"",_xlfn.XLOOKUP($H107,Naturezas!B:B,Naturezas!D:D,"",0,1),"")</f>
        <v/>
      </c>
      <c r="V107" s="5" t="str">
        <f>IF(H107&lt;&gt;"",IF(OR(H107=Naturezas!$B$3,H107=Naturezas!$B$4,H107=Naturezas!$B$5,H107=Naturezas!$B$17,H107=Naturezas!$B$18,H107=Naturezas!$B$19),G107,-G107),"")</f>
        <v/>
      </c>
      <c r="W107" s="4" t="str">
        <f t="shared" si="10"/>
        <v/>
      </c>
      <c r="X107" s="4"/>
      <c r="Y107" s="4" t="str">
        <f t="shared" si="11"/>
        <v/>
      </c>
      <c r="Z107" s="6" t="str">
        <f>IF(H107&lt;&gt;"",Tabela1[[#This Row],[Iniciais]],"")</f>
        <v/>
      </c>
      <c r="AB107" s="6" t="str">
        <f>IF($H107&lt;&gt;"",RIGHT(Tabela1[[#This Row],[Ref.]],2),"")</f>
        <v/>
      </c>
      <c r="AC107" s="37" t="str">
        <f>IF($H107&lt;&gt;"",DATE(LEFT(Tabela1[[#This Row],[Ref.]],4),RIGHT(Tabela1[[#This Row],[Ref.]],2),1),"")</f>
        <v/>
      </c>
      <c r="AD107" s="4" t="str">
        <f t="shared" si="7"/>
        <v/>
      </c>
      <c r="AE107" s="5" t="str">
        <f t="shared" si="8"/>
        <v/>
      </c>
      <c r="AF107" s="4"/>
      <c r="AG107" s="6" t="str">
        <f t="shared" si="9"/>
        <v/>
      </c>
    </row>
    <row r="108" spans="1:33" ht="15.75" customHeight="1" x14ac:dyDescent="0.2">
      <c r="A108" s="35"/>
      <c r="B108" s="44"/>
      <c r="C108" s="35"/>
      <c r="D108" s="35"/>
      <c r="E108" s="48"/>
      <c r="F108" s="45"/>
      <c r="G108" s="38"/>
      <c r="H108" s="45"/>
      <c r="I108" s="45"/>
      <c r="L108" s="19"/>
      <c r="N108" s="25"/>
      <c r="O108" s="25"/>
      <c r="P108" s="27"/>
      <c r="Q108" s="3"/>
      <c r="R108" s="6" t="str">
        <f>IF($H108&lt;&gt;"",RIGHT(Tabela1[[#This Row],[Ref.]],2),"")</f>
        <v/>
      </c>
      <c r="S108" s="6" t="str">
        <f t="shared" si="6"/>
        <v/>
      </c>
      <c r="T108" s="4" t="str">
        <f>IF($H108&lt;&gt;"",_xlfn.XLOOKUP(H108,Naturezas!B:B,Naturezas!E:E,"",0,1),"")</f>
        <v/>
      </c>
      <c r="U108" s="4" t="str">
        <f>IF($H108&lt;&gt;"",_xlfn.XLOOKUP($H108,Naturezas!B:B,Naturezas!D:D,"",0,1),"")</f>
        <v/>
      </c>
      <c r="V108" s="5" t="str">
        <f>IF(H108&lt;&gt;"",IF(OR(H108=Naturezas!$B$3,H108=Naturezas!$B$4,H108=Naturezas!$B$5,H108=Naturezas!$B$17,H108=Naturezas!$B$18,H108=Naturezas!$B$19),G108,-G108),"")</f>
        <v/>
      </c>
      <c r="W108" s="4" t="str">
        <f t="shared" si="10"/>
        <v/>
      </c>
      <c r="X108" s="4"/>
      <c r="Y108" s="4" t="str">
        <f t="shared" si="11"/>
        <v/>
      </c>
      <c r="Z108" s="6" t="str">
        <f>IF(H108&lt;&gt;"",Tabela1[[#This Row],[Iniciais]],"")</f>
        <v/>
      </c>
      <c r="AB108" s="6" t="str">
        <f>IF($H108&lt;&gt;"",RIGHT(Tabela1[[#This Row],[Ref.]],2),"")</f>
        <v/>
      </c>
      <c r="AC108" s="37" t="str">
        <f>IF($H108&lt;&gt;"",DATE(LEFT(Tabela1[[#This Row],[Ref.]],4),RIGHT(Tabela1[[#This Row],[Ref.]],2),1),"")</f>
        <v/>
      </c>
      <c r="AD108" s="4" t="str">
        <f t="shared" si="7"/>
        <v/>
      </c>
      <c r="AE108" s="5" t="str">
        <f t="shared" si="8"/>
        <v/>
      </c>
      <c r="AF108" s="4"/>
      <c r="AG108" s="6" t="str">
        <f t="shared" si="9"/>
        <v/>
      </c>
    </row>
    <row r="109" spans="1:33" ht="15.75" customHeight="1" x14ac:dyDescent="0.2">
      <c r="A109" s="35"/>
      <c r="B109" s="44"/>
      <c r="C109" s="35"/>
      <c r="D109" s="35"/>
      <c r="E109" s="48"/>
      <c r="F109" s="45"/>
      <c r="G109" s="38"/>
      <c r="H109" s="45"/>
      <c r="I109" s="45"/>
      <c r="L109" s="19"/>
      <c r="N109" s="25"/>
      <c r="O109" s="25"/>
      <c r="P109" s="27"/>
      <c r="Q109" s="3"/>
      <c r="R109" s="6" t="str">
        <f>IF($H109&lt;&gt;"",RIGHT(Tabela1[[#This Row],[Ref.]],2),"")</f>
        <v/>
      </c>
      <c r="S109" s="6" t="str">
        <f t="shared" si="6"/>
        <v/>
      </c>
      <c r="T109" s="4" t="str">
        <f>IF($H109&lt;&gt;"",_xlfn.XLOOKUP(H109,Naturezas!B:B,Naturezas!E:E,"",0,1),"")</f>
        <v/>
      </c>
      <c r="U109" s="4" t="str">
        <f>IF($H109&lt;&gt;"",_xlfn.XLOOKUP($H109,Naturezas!B:B,Naturezas!D:D,"",0,1),"")</f>
        <v/>
      </c>
      <c r="V109" s="5" t="str">
        <f>IF(H109&lt;&gt;"",IF(OR(H109=Naturezas!$B$3,H109=Naturezas!$B$4,H109=Naturezas!$B$5,H109=Naturezas!$B$17,H109=Naturezas!$B$18,H109=Naturezas!$B$19),G109,-G109),"")</f>
        <v/>
      </c>
      <c r="W109" s="4" t="str">
        <f t="shared" si="10"/>
        <v/>
      </c>
      <c r="X109" s="4"/>
      <c r="Y109" s="4" t="str">
        <f t="shared" si="11"/>
        <v/>
      </c>
      <c r="Z109" s="6" t="str">
        <f>IF(H109&lt;&gt;"",Tabela1[[#This Row],[Iniciais]],"")</f>
        <v/>
      </c>
      <c r="AB109" s="6" t="str">
        <f>IF($H109&lt;&gt;"",RIGHT(Tabela1[[#This Row],[Ref.]],2),"")</f>
        <v/>
      </c>
      <c r="AC109" s="37" t="str">
        <f>IF($H109&lt;&gt;"",DATE(LEFT(Tabela1[[#This Row],[Ref.]],4),RIGHT(Tabela1[[#This Row],[Ref.]],2),1),"")</f>
        <v/>
      </c>
      <c r="AD109" s="4" t="str">
        <f t="shared" si="7"/>
        <v/>
      </c>
      <c r="AE109" s="5" t="str">
        <f t="shared" si="8"/>
        <v/>
      </c>
      <c r="AF109" s="4"/>
      <c r="AG109" s="6" t="str">
        <f t="shared" si="9"/>
        <v/>
      </c>
    </row>
    <row r="110" spans="1:33" ht="15.75" customHeight="1" x14ac:dyDescent="0.2">
      <c r="A110" s="35"/>
      <c r="B110" s="44"/>
      <c r="C110" s="35"/>
      <c r="D110" s="35"/>
      <c r="E110" s="48"/>
      <c r="F110" s="45"/>
      <c r="G110" s="38"/>
      <c r="H110" s="45"/>
      <c r="I110" s="45"/>
      <c r="L110" s="19"/>
      <c r="N110" s="25"/>
      <c r="O110" s="25"/>
      <c r="P110" s="27"/>
      <c r="Q110" s="3"/>
      <c r="R110" s="6" t="str">
        <f>IF($H110&lt;&gt;"",RIGHT(Tabela1[[#This Row],[Ref.]],2),"")</f>
        <v/>
      </c>
      <c r="S110" s="6" t="str">
        <f t="shared" si="6"/>
        <v/>
      </c>
      <c r="T110" s="4" t="str">
        <f>IF($H110&lt;&gt;"",_xlfn.XLOOKUP(H110,Naturezas!B:B,Naturezas!E:E,"",0,1),"")</f>
        <v/>
      </c>
      <c r="U110" s="4" t="str">
        <f>IF($H110&lt;&gt;"",_xlfn.XLOOKUP($H110,Naturezas!B:B,Naturezas!D:D,"",0,1),"")</f>
        <v/>
      </c>
      <c r="V110" s="5" t="str">
        <f>IF(H110&lt;&gt;"",IF(OR(H110=Naturezas!$B$3,H110=Naturezas!$B$4,H110=Naturezas!$B$5,H110=Naturezas!$B$17,H110=Naturezas!$B$18,H110=Naturezas!$B$19),G110,-G110),"")</f>
        <v/>
      </c>
      <c r="W110" s="4" t="str">
        <f t="shared" si="10"/>
        <v/>
      </c>
      <c r="X110" s="4"/>
      <c r="Y110" s="4" t="str">
        <f t="shared" si="11"/>
        <v/>
      </c>
      <c r="Z110" s="6" t="str">
        <f>IF(H110&lt;&gt;"",Tabela1[[#This Row],[Iniciais]],"")</f>
        <v/>
      </c>
      <c r="AB110" s="6" t="str">
        <f>IF($H110&lt;&gt;"",RIGHT(Tabela1[[#This Row],[Ref.]],2),"")</f>
        <v/>
      </c>
      <c r="AC110" s="37" t="str">
        <f>IF($H110&lt;&gt;"",DATE(LEFT(Tabela1[[#This Row],[Ref.]],4),RIGHT(Tabela1[[#This Row],[Ref.]],2),1),"")</f>
        <v/>
      </c>
      <c r="AD110" s="4" t="str">
        <f t="shared" si="7"/>
        <v/>
      </c>
      <c r="AE110" s="5" t="str">
        <f t="shared" si="8"/>
        <v/>
      </c>
      <c r="AF110" s="4"/>
      <c r="AG110" s="6" t="str">
        <f t="shared" si="9"/>
        <v/>
      </c>
    </row>
    <row r="111" spans="1:33" ht="15.75" customHeight="1" x14ac:dyDescent="0.2">
      <c r="A111" s="35"/>
      <c r="B111" s="44"/>
      <c r="C111" s="35"/>
      <c r="D111" s="35"/>
      <c r="E111" s="48"/>
      <c r="F111" s="45"/>
      <c r="G111" s="38"/>
      <c r="H111" s="45"/>
      <c r="I111" s="45"/>
      <c r="J111" s="2"/>
      <c r="K111" s="2"/>
      <c r="L111" s="20"/>
      <c r="N111" s="25"/>
      <c r="O111" s="25"/>
      <c r="P111" s="27"/>
      <c r="Q111" s="3"/>
      <c r="R111" s="6" t="str">
        <f>IF($H111&lt;&gt;"",RIGHT(Tabela1[[#This Row],[Ref.]],2),"")</f>
        <v/>
      </c>
      <c r="S111" s="6" t="str">
        <f t="shared" si="6"/>
        <v/>
      </c>
      <c r="T111" s="4" t="str">
        <f>IF($H111&lt;&gt;"",_xlfn.XLOOKUP(H111,Naturezas!B:B,Naturezas!E:E,"",0,1),"")</f>
        <v/>
      </c>
      <c r="U111" s="4" t="str">
        <f>IF($H111&lt;&gt;"",_xlfn.XLOOKUP($H111,Naturezas!B:B,Naturezas!D:D,"",0,1),"")</f>
        <v/>
      </c>
      <c r="V111" s="5" t="str">
        <f>IF(H111&lt;&gt;"",IF(OR(H111=Naturezas!$B$3,H111=Naturezas!$B$4,H111=Naturezas!$B$5,H111=Naturezas!$B$17,H111=Naturezas!$B$18,H111=Naturezas!$B$19),G111,-G111),"")</f>
        <v/>
      </c>
      <c r="W111" s="4" t="str">
        <f t="shared" si="10"/>
        <v/>
      </c>
      <c r="X111" s="4"/>
      <c r="Y111" s="4" t="str">
        <f t="shared" si="11"/>
        <v/>
      </c>
      <c r="Z111" s="6" t="str">
        <f>IF(H111&lt;&gt;"",Tabela1[[#This Row],[Iniciais]],"")</f>
        <v/>
      </c>
      <c r="AB111" s="6" t="str">
        <f>IF($H111&lt;&gt;"",RIGHT(Tabela1[[#This Row],[Ref.]],2),"")</f>
        <v/>
      </c>
      <c r="AC111" s="37" t="str">
        <f>IF($H111&lt;&gt;"",DATE(LEFT(Tabela1[[#This Row],[Ref.]],4),RIGHT(Tabela1[[#This Row],[Ref.]],2),1),"")</f>
        <v/>
      </c>
      <c r="AD111" s="4" t="str">
        <f t="shared" si="7"/>
        <v/>
      </c>
      <c r="AE111" s="5" t="str">
        <f t="shared" si="8"/>
        <v/>
      </c>
      <c r="AF111" s="4"/>
      <c r="AG111" s="6" t="str">
        <f t="shared" si="9"/>
        <v/>
      </c>
    </row>
    <row r="112" spans="1:33" ht="15.75" customHeight="1" x14ac:dyDescent="0.2">
      <c r="A112" s="35"/>
      <c r="B112" s="44"/>
      <c r="C112" s="35"/>
      <c r="D112" s="35"/>
      <c r="E112" s="48"/>
      <c r="F112" s="45"/>
      <c r="G112" s="38"/>
      <c r="H112" s="45"/>
      <c r="I112" s="45"/>
      <c r="L112" s="19"/>
      <c r="M112" s="2"/>
      <c r="N112" s="25"/>
      <c r="O112" s="25"/>
      <c r="P112" s="29"/>
      <c r="Q112" s="3"/>
      <c r="R112" s="6" t="str">
        <f>IF($H112&lt;&gt;"",RIGHT(Tabela1[[#This Row],[Ref.]],2),"")</f>
        <v/>
      </c>
      <c r="S112" s="6" t="str">
        <f t="shared" si="6"/>
        <v/>
      </c>
      <c r="T112" s="4" t="str">
        <f>IF($H112&lt;&gt;"",_xlfn.XLOOKUP(H112,Naturezas!B:B,Naturezas!E:E,"",0,1),"")</f>
        <v/>
      </c>
      <c r="U112" s="4" t="str">
        <f>IF($H112&lt;&gt;"",_xlfn.XLOOKUP($H112,Naturezas!B:B,Naturezas!D:D,"",0,1),"")</f>
        <v/>
      </c>
      <c r="V112" s="5" t="str">
        <f>IF(H112&lt;&gt;"",IF(OR(H112=Naturezas!$B$3,H112=Naturezas!$B$4,H112=Naturezas!$B$5,H112=Naturezas!$B$17,H112=Naturezas!$B$18,H112=Naturezas!$B$19),G112,-G112),"")</f>
        <v/>
      </c>
      <c r="W112" s="4" t="str">
        <f t="shared" si="10"/>
        <v/>
      </c>
      <c r="X112" s="4"/>
      <c r="Y112" s="4" t="str">
        <f t="shared" si="11"/>
        <v/>
      </c>
      <c r="Z112" s="6" t="str">
        <f>IF(H112&lt;&gt;"",Tabela1[[#This Row],[Iniciais]],"")</f>
        <v/>
      </c>
      <c r="AB112" s="6" t="str">
        <f>IF($H112&lt;&gt;"",RIGHT(Tabela1[[#This Row],[Ref.]],2),"")</f>
        <v/>
      </c>
      <c r="AC112" s="37" t="str">
        <f>IF($H112&lt;&gt;"",DATE(LEFT(Tabela1[[#This Row],[Ref.]],4),RIGHT(Tabela1[[#This Row],[Ref.]],2),1),"")</f>
        <v/>
      </c>
      <c r="AD112" s="4" t="str">
        <f t="shared" si="7"/>
        <v/>
      </c>
      <c r="AE112" s="5" t="str">
        <f t="shared" si="8"/>
        <v/>
      </c>
      <c r="AF112" s="4"/>
      <c r="AG112" s="6" t="str">
        <f t="shared" si="9"/>
        <v/>
      </c>
    </row>
    <row r="113" spans="1:33" ht="15.75" customHeight="1" x14ac:dyDescent="0.2">
      <c r="A113" s="35"/>
      <c r="B113" s="44"/>
      <c r="C113" s="35"/>
      <c r="D113" s="35"/>
      <c r="E113" s="48"/>
      <c r="F113" s="45"/>
      <c r="G113" s="38"/>
      <c r="H113" s="45"/>
      <c r="I113" s="45"/>
      <c r="L113" s="19"/>
      <c r="M113" s="2"/>
      <c r="N113" s="25"/>
      <c r="O113" s="25"/>
      <c r="P113" s="29"/>
      <c r="Q113" s="3"/>
      <c r="R113" s="6" t="str">
        <f>IF($H113&lt;&gt;"",RIGHT(Tabela1[[#This Row],[Ref.]],2),"")</f>
        <v/>
      </c>
      <c r="S113" s="6" t="str">
        <f t="shared" si="6"/>
        <v/>
      </c>
      <c r="T113" s="4" t="str">
        <f>IF($H113&lt;&gt;"",_xlfn.XLOOKUP(H113,Naturezas!B:B,Naturezas!E:E,"",0,1),"")</f>
        <v/>
      </c>
      <c r="U113" s="4" t="str">
        <f>IF($H113&lt;&gt;"",_xlfn.XLOOKUP($H113,Naturezas!B:B,Naturezas!D:D,"",0,1),"")</f>
        <v/>
      </c>
      <c r="V113" s="5" t="str">
        <f>IF(H113&lt;&gt;"",IF(OR(H113=Naturezas!$B$3,H113=Naturezas!$B$4,H113=Naturezas!$B$5,H113=Naturezas!$B$17,H113=Naturezas!$B$18,H113=Naturezas!$B$19),G113,-G113),"")</f>
        <v/>
      </c>
      <c r="W113" s="4" t="str">
        <f t="shared" si="10"/>
        <v/>
      </c>
      <c r="X113" s="4"/>
      <c r="Y113" s="4" t="str">
        <f t="shared" si="11"/>
        <v/>
      </c>
      <c r="Z113" s="6" t="str">
        <f>IF(H113&lt;&gt;"",Tabela1[[#This Row],[Iniciais]],"")</f>
        <v/>
      </c>
      <c r="AB113" s="6" t="str">
        <f>IF($H113&lt;&gt;"",RIGHT(Tabela1[[#This Row],[Ref.]],2),"")</f>
        <v/>
      </c>
      <c r="AC113" s="37" t="str">
        <f>IF($H113&lt;&gt;"",DATE(LEFT(Tabela1[[#This Row],[Ref.]],4),RIGHT(Tabela1[[#This Row],[Ref.]],2),1),"")</f>
        <v/>
      </c>
      <c r="AD113" s="4" t="str">
        <f t="shared" si="7"/>
        <v/>
      </c>
      <c r="AE113" s="5" t="str">
        <f t="shared" si="8"/>
        <v/>
      </c>
      <c r="AF113" s="4"/>
      <c r="AG113" s="6" t="str">
        <f t="shared" si="9"/>
        <v/>
      </c>
    </row>
    <row r="114" spans="1:33" ht="15.75" customHeight="1" x14ac:dyDescent="0.2">
      <c r="A114" s="35"/>
      <c r="B114" s="44"/>
      <c r="C114" s="35"/>
      <c r="D114" s="35"/>
      <c r="E114" s="48"/>
      <c r="F114" s="45"/>
      <c r="G114" s="38"/>
      <c r="H114" s="45"/>
      <c r="I114" s="45"/>
      <c r="L114" s="19"/>
      <c r="M114" s="2"/>
      <c r="N114" s="25"/>
      <c r="O114" s="25"/>
      <c r="P114" s="29"/>
      <c r="Q114" s="3"/>
      <c r="R114" s="6" t="str">
        <f>IF($H114&lt;&gt;"",RIGHT(Tabela1[[#This Row],[Ref.]],2),"")</f>
        <v/>
      </c>
      <c r="S114" s="6" t="str">
        <f t="shared" si="6"/>
        <v/>
      </c>
      <c r="T114" s="4" t="str">
        <f>IF($H114&lt;&gt;"",_xlfn.XLOOKUP(H114,Naturezas!B:B,Naturezas!E:E,"",0,1),"")</f>
        <v/>
      </c>
      <c r="U114" s="4" t="str">
        <f>IF($H114&lt;&gt;"",_xlfn.XLOOKUP($H114,Naturezas!B:B,Naturezas!D:D,"",0,1),"")</f>
        <v/>
      </c>
      <c r="V114" s="5" t="str">
        <f>IF(H114&lt;&gt;"",IF(OR(H114=Naturezas!$B$3,H114=Naturezas!$B$4,H114=Naturezas!$B$5,H114=Naturezas!$B$17,H114=Naturezas!$B$18,H114=Naturezas!$B$19),G114,-G114),"")</f>
        <v/>
      </c>
      <c r="W114" s="4" t="str">
        <f t="shared" si="10"/>
        <v/>
      </c>
      <c r="X114" s="4"/>
      <c r="Y114" s="4" t="str">
        <f t="shared" si="11"/>
        <v/>
      </c>
      <c r="Z114" s="6" t="str">
        <f>IF(H114&lt;&gt;"",Tabela1[[#This Row],[Iniciais]],"")</f>
        <v/>
      </c>
      <c r="AB114" s="6" t="str">
        <f>IF($H114&lt;&gt;"",RIGHT(Tabela1[[#This Row],[Ref.]],2),"")</f>
        <v/>
      </c>
      <c r="AC114" s="37" t="str">
        <f>IF($H114&lt;&gt;"",DATE(LEFT(Tabela1[[#This Row],[Ref.]],4),RIGHT(Tabela1[[#This Row],[Ref.]],2),1),"")</f>
        <v/>
      </c>
      <c r="AD114" s="4" t="str">
        <f t="shared" si="7"/>
        <v/>
      </c>
      <c r="AE114" s="5" t="str">
        <f t="shared" si="8"/>
        <v/>
      </c>
      <c r="AF114" s="4"/>
      <c r="AG114" s="6" t="str">
        <f t="shared" si="9"/>
        <v/>
      </c>
    </row>
    <row r="115" spans="1:33" ht="15.75" customHeight="1" x14ac:dyDescent="0.2">
      <c r="A115" s="35"/>
      <c r="B115" s="44"/>
      <c r="C115" s="35"/>
      <c r="D115" s="35"/>
      <c r="E115" s="48"/>
      <c r="F115" s="45"/>
      <c r="G115" s="38"/>
      <c r="H115" s="45"/>
      <c r="I115" s="45"/>
      <c r="L115" s="19"/>
      <c r="M115" s="2"/>
      <c r="N115" s="25"/>
      <c r="O115" s="25"/>
      <c r="P115" s="29"/>
      <c r="Q115" s="3"/>
      <c r="R115" s="6" t="str">
        <f>IF($H115&lt;&gt;"",RIGHT(Tabela1[[#This Row],[Ref.]],2),"")</f>
        <v/>
      </c>
      <c r="S115" s="6" t="str">
        <f t="shared" si="6"/>
        <v/>
      </c>
      <c r="T115" s="4" t="str">
        <f>IF($H115&lt;&gt;"",_xlfn.XLOOKUP(H115,Naturezas!B:B,Naturezas!E:E,"",0,1),"")</f>
        <v/>
      </c>
      <c r="U115" s="4" t="str">
        <f>IF($H115&lt;&gt;"",_xlfn.XLOOKUP($H115,Naturezas!B:B,Naturezas!D:D,"",0,1),"")</f>
        <v/>
      </c>
      <c r="V115" s="5" t="str">
        <f>IF(H115&lt;&gt;"",IF(OR(H115=Naturezas!$B$3,H115=Naturezas!$B$4,H115=Naturezas!$B$5,H115=Naturezas!$B$17,H115=Naturezas!$B$18,H115=Naturezas!$B$19),G115,-G115),"")</f>
        <v/>
      </c>
      <c r="W115" s="4" t="str">
        <f t="shared" si="10"/>
        <v/>
      </c>
      <c r="X115" s="4"/>
      <c r="Y115" s="4" t="str">
        <f t="shared" si="11"/>
        <v/>
      </c>
      <c r="Z115" s="6" t="str">
        <f>IF(H115&lt;&gt;"",Tabela1[[#This Row],[Iniciais]],"")</f>
        <v/>
      </c>
      <c r="AB115" s="6" t="str">
        <f>IF($H115&lt;&gt;"",RIGHT(Tabela1[[#This Row],[Ref.]],2),"")</f>
        <v/>
      </c>
      <c r="AC115" s="37" t="str">
        <f>IF($H115&lt;&gt;"",DATE(LEFT(Tabela1[[#This Row],[Ref.]],4),RIGHT(Tabela1[[#This Row],[Ref.]],2),1),"")</f>
        <v/>
      </c>
      <c r="AD115" s="4" t="str">
        <f t="shared" si="7"/>
        <v/>
      </c>
      <c r="AE115" s="5" t="str">
        <f t="shared" si="8"/>
        <v/>
      </c>
      <c r="AF115" s="4"/>
      <c r="AG115" s="6" t="str">
        <f t="shared" si="9"/>
        <v/>
      </c>
    </row>
    <row r="116" spans="1:33" ht="15.75" customHeight="1" x14ac:dyDescent="0.2">
      <c r="A116" s="35"/>
      <c r="B116" s="44"/>
      <c r="C116" s="35"/>
      <c r="D116" s="35"/>
      <c r="E116" s="48"/>
      <c r="F116" s="45"/>
      <c r="G116" s="38"/>
      <c r="H116" s="45"/>
      <c r="I116" s="45"/>
      <c r="L116" s="19"/>
      <c r="M116" s="2"/>
      <c r="N116" s="25"/>
      <c r="O116" s="25"/>
      <c r="P116" s="29"/>
      <c r="Q116" s="3"/>
      <c r="R116" s="6" t="str">
        <f>IF($H116&lt;&gt;"",RIGHT(Tabela1[[#This Row],[Ref.]],2),"")</f>
        <v/>
      </c>
      <c r="S116" s="6" t="str">
        <f t="shared" si="6"/>
        <v/>
      </c>
      <c r="T116" s="4" t="str">
        <f>IF($H116&lt;&gt;"",_xlfn.XLOOKUP(H116,Naturezas!B:B,Naturezas!E:E,"",0,1),"")</f>
        <v/>
      </c>
      <c r="U116" s="4" t="str">
        <f>IF($H116&lt;&gt;"",_xlfn.XLOOKUP($H116,Naturezas!B:B,Naturezas!D:D,"",0,1),"")</f>
        <v/>
      </c>
      <c r="V116" s="5" t="str">
        <f>IF(H116&lt;&gt;"",IF(OR(H116=Naturezas!$B$3,H116=Naturezas!$B$4,H116=Naturezas!$B$5,H116=Naturezas!$B$17,H116=Naturezas!$B$18,H116=Naturezas!$B$19),G116,-G116),"")</f>
        <v/>
      </c>
      <c r="W116" s="4" t="str">
        <f t="shared" si="10"/>
        <v/>
      </c>
      <c r="X116" s="4"/>
      <c r="Y116" s="4" t="str">
        <f t="shared" si="11"/>
        <v/>
      </c>
      <c r="Z116" s="6" t="str">
        <f>IF(H116&lt;&gt;"",Tabela1[[#This Row],[Iniciais]],"")</f>
        <v/>
      </c>
      <c r="AB116" s="6" t="str">
        <f>IF($H116&lt;&gt;"",RIGHT(Tabela1[[#This Row],[Ref.]],2),"")</f>
        <v/>
      </c>
      <c r="AC116" s="37" t="str">
        <f>IF($H116&lt;&gt;"",DATE(LEFT(Tabela1[[#This Row],[Ref.]],4),RIGHT(Tabela1[[#This Row],[Ref.]],2),1),"")</f>
        <v/>
      </c>
      <c r="AD116" s="4" t="str">
        <f t="shared" si="7"/>
        <v/>
      </c>
      <c r="AE116" s="5" t="str">
        <f t="shared" si="8"/>
        <v/>
      </c>
      <c r="AF116" s="4"/>
      <c r="AG116" s="6" t="str">
        <f t="shared" si="9"/>
        <v/>
      </c>
    </row>
    <row r="117" spans="1:33" ht="15.75" customHeight="1" x14ac:dyDescent="0.2">
      <c r="A117" s="35"/>
      <c r="B117" s="44"/>
      <c r="C117" s="35"/>
      <c r="D117" s="35"/>
      <c r="E117" s="48"/>
      <c r="F117" s="45"/>
      <c r="G117" s="38"/>
      <c r="H117" s="45"/>
      <c r="I117" s="45"/>
      <c r="L117" s="19"/>
      <c r="M117" s="2"/>
      <c r="N117" s="25"/>
      <c r="O117" s="25"/>
      <c r="P117" s="29"/>
      <c r="Q117" s="3"/>
      <c r="R117" s="6" t="str">
        <f>IF($H117&lt;&gt;"",RIGHT(Tabela1[[#This Row],[Ref.]],2),"")</f>
        <v/>
      </c>
      <c r="S117" s="6" t="str">
        <f t="shared" si="6"/>
        <v/>
      </c>
      <c r="T117" s="4" t="str">
        <f>IF($H117&lt;&gt;"",_xlfn.XLOOKUP(H117,Naturezas!B:B,Naturezas!E:E,"",0,1),"")</f>
        <v/>
      </c>
      <c r="U117" s="4" t="str">
        <f>IF($H117&lt;&gt;"",_xlfn.XLOOKUP($H117,Naturezas!B:B,Naturezas!D:D,"",0,1),"")</f>
        <v/>
      </c>
      <c r="V117" s="5" t="str">
        <f>IF(H117&lt;&gt;"",IF(OR(H117=Naturezas!$B$3,H117=Naturezas!$B$4,H117=Naturezas!$B$5,H117=Naturezas!$B$17,H117=Naturezas!$B$18,H117=Naturezas!$B$19),G117,-G117),"")</f>
        <v/>
      </c>
      <c r="W117" s="4" t="str">
        <f t="shared" si="10"/>
        <v/>
      </c>
      <c r="X117" s="4"/>
      <c r="Y117" s="4" t="str">
        <f t="shared" si="11"/>
        <v/>
      </c>
      <c r="Z117" s="6" t="str">
        <f>IF(H117&lt;&gt;"",Tabela1[[#This Row],[Iniciais]],"")</f>
        <v/>
      </c>
      <c r="AB117" s="6" t="str">
        <f>IF($H117&lt;&gt;"",RIGHT(Tabela1[[#This Row],[Ref.]],2),"")</f>
        <v/>
      </c>
      <c r="AC117" s="37" t="str">
        <f>IF($H117&lt;&gt;"",DATE(LEFT(Tabela1[[#This Row],[Ref.]],4),RIGHT(Tabela1[[#This Row],[Ref.]],2),1),"")</f>
        <v/>
      </c>
      <c r="AD117" s="4" t="str">
        <f t="shared" si="7"/>
        <v/>
      </c>
      <c r="AE117" s="5" t="str">
        <f t="shared" si="8"/>
        <v/>
      </c>
      <c r="AF117" s="4"/>
      <c r="AG117" s="6" t="str">
        <f t="shared" si="9"/>
        <v/>
      </c>
    </row>
    <row r="118" spans="1:33" ht="15.75" customHeight="1" x14ac:dyDescent="0.2">
      <c r="A118" s="35"/>
      <c r="B118" s="44"/>
      <c r="C118" s="35"/>
      <c r="D118" s="35"/>
      <c r="E118" s="48"/>
      <c r="F118" s="45"/>
      <c r="G118" s="38"/>
      <c r="H118" s="45"/>
      <c r="I118" s="45"/>
      <c r="L118" s="19"/>
      <c r="M118" s="2"/>
      <c r="N118" s="25"/>
      <c r="O118" s="25"/>
      <c r="P118" s="29"/>
      <c r="Q118" s="3"/>
      <c r="R118" s="6" t="str">
        <f>IF($H118&lt;&gt;"",RIGHT(Tabela1[[#This Row],[Ref.]],2),"")</f>
        <v/>
      </c>
      <c r="S118" s="6" t="str">
        <f t="shared" si="6"/>
        <v/>
      </c>
      <c r="T118" s="4" t="str">
        <f>IF($H118&lt;&gt;"",_xlfn.XLOOKUP(H118,Naturezas!B:B,Naturezas!E:E,"",0,1),"")</f>
        <v/>
      </c>
      <c r="U118" s="4" t="str">
        <f>IF($H118&lt;&gt;"",_xlfn.XLOOKUP($H118,Naturezas!B:B,Naturezas!D:D,"",0,1),"")</f>
        <v/>
      </c>
      <c r="V118" s="5" t="str">
        <f>IF(H118&lt;&gt;"",IF(OR(H118=Naturezas!$B$3,H118=Naturezas!$B$4,H118=Naturezas!$B$5,H118=Naturezas!$B$17,H118=Naturezas!$B$18,H118=Naturezas!$B$19),G118,-G118),"")</f>
        <v/>
      </c>
      <c r="W118" s="4" t="str">
        <f t="shared" si="10"/>
        <v/>
      </c>
      <c r="X118" s="4"/>
      <c r="Y118" s="4" t="str">
        <f t="shared" si="11"/>
        <v/>
      </c>
      <c r="Z118" s="6" t="str">
        <f>IF(H118&lt;&gt;"",Tabela1[[#This Row],[Iniciais]],"")</f>
        <v/>
      </c>
      <c r="AB118" s="6" t="str">
        <f>IF($H118&lt;&gt;"",RIGHT(Tabela1[[#This Row],[Ref.]],2),"")</f>
        <v/>
      </c>
      <c r="AC118" s="37" t="str">
        <f>IF($H118&lt;&gt;"",DATE(LEFT(Tabela1[[#This Row],[Ref.]],4),RIGHT(Tabela1[[#This Row],[Ref.]],2),1),"")</f>
        <v/>
      </c>
      <c r="AD118" s="4" t="str">
        <f t="shared" si="7"/>
        <v/>
      </c>
      <c r="AE118" s="5" t="str">
        <f t="shared" si="8"/>
        <v/>
      </c>
      <c r="AF118" s="4"/>
      <c r="AG118" s="6" t="str">
        <f t="shared" si="9"/>
        <v/>
      </c>
    </row>
    <row r="119" spans="1:33" ht="15.75" customHeight="1" x14ac:dyDescent="0.2">
      <c r="A119" s="35"/>
      <c r="B119" s="44"/>
      <c r="C119" s="35"/>
      <c r="D119" s="35"/>
      <c r="E119" s="48"/>
      <c r="F119" s="45"/>
      <c r="G119" s="38"/>
      <c r="H119" s="45"/>
      <c r="I119" s="45"/>
      <c r="L119" s="19"/>
      <c r="M119" s="2"/>
      <c r="N119" s="25"/>
      <c r="O119" s="25"/>
      <c r="P119" s="29"/>
      <c r="Q119" s="3"/>
      <c r="R119" s="6" t="str">
        <f>IF($H119&lt;&gt;"",RIGHT(Tabela1[[#This Row],[Ref.]],2),"")</f>
        <v/>
      </c>
      <c r="S119" s="6" t="str">
        <f t="shared" si="6"/>
        <v/>
      </c>
      <c r="T119" s="4" t="str">
        <f>IF($H119&lt;&gt;"",_xlfn.XLOOKUP(H119,Naturezas!B:B,Naturezas!E:E,"",0,1),"")</f>
        <v/>
      </c>
      <c r="U119" s="4" t="str">
        <f>IF($H119&lt;&gt;"",_xlfn.XLOOKUP($H119,Naturezas!B:B,Naturezas!D:D,"",0,1),"")</f>
        <v/>
      </c>
      <c r="V119" s="5" t="str">
        <f>IF(H119&lt;&gt;"",IF(OR(H119=Naturezas!$B$3,H119=Naturezas!$B$4,H119=Naturezas!$B$5,H119=Naturezas!$B$17,H119=Naturezas!$B$18,H119=Naturezas!$B$19),G119,-G119),"")</f>
        <v/>
      </c>
      <c r="W119" s="4" t="str">
        <f t="shared" si="10"/>
        <v/>
      </c>
      <c r="X119" s="4"/>
      <c r="Y119" s="4" t="str">
        <f t="shared" si="11"/>
        <v/>
      </c>
      <c r="Z119" s="6" t="str">
        <f>IF(H119&lt;&gt;"",Tabela1[[#This Row],[Iniciais]],"")</f>
        <v/>
      </c>
      <c r="AB119" s="6" t="str">
        <f>IF($H119&lt;&gt;"",RIGHT(Tabela1[[#This Row],[Ref.]],2),"")</f>
        <v/>
      </c>
      <c r="AC119" s="37" t="str">
        <f>IF($H119&lt;&gt;"",DATE(LEFT(Tabela1[[#This Row],[Ref.]],4),RIGHT(Tabela1[[#This Row],[Ref.]],2),1),"")</f>
        <v/>
      </c>
      <c r="AD119" s="4" t="str">
        <f t="shared" si="7"/>
        <v/>
      </c>
      <c r="AE119" s="5" t="str">
        <f t="shared" si="8"/>
        <v/>
      </c>
      <c r="AF119" s="4"/>
      <c r="AG119" s="6" t="str">
        <f t="shared" si="9"/>
        <v/>
      </c>
    </row>
    <row r="120" spans="1:33" ht="15.75" customHeight="1" x14ac:dyDescent="0.2">
      <c r="A120" s="35"/>
      <c r="B120" s="44"/>
      <c r="C120" s="35"/>
      <c r="D120" s="35"/>
      <c r="E120" s="48"/>
      <c r="F120" s="45"/>
      <c r="G120" s="38"/>
      <c r="H120" s="45"/>
      <c r="I120" s="45"/>
      <c r="L120" s="19"/>
      <c r="M120" s="2"/>
      <c r="N120" s="25"/>
      <c r="O120" s="25"/>
      <c r="P120" s="29"/>
      <c r="Q120" s="3"/>
      <c r="R120" s="6" t="str">
        <f>IF($H120&lt;&gt;"",RIGHT(Tabela1[[#This Row],[Ref.]],2),"")</f>
        <v/>
      </c>
      <c r="S120" s="6" t="str">
        <f t="shared" si="6"/>
        <v/>
      </c>
      <c r="T120" s="4" t="str">
        <f>IF($H120&lt;&gt;"",_xlfn.XLOOKUP(H120,Naturezas!B:B,Naturezas!E:E,"",0,1),"")</f>
        <v/>
      </c>
      <c r="U120" s="4" t="str">
        <f>IF($H120&lt;&gt;"",_xlfn.XLOOKUP($H120,Naturezas!B:B,Naturezas!D:D,"",0,1),"")</f>
        <v/>
      </c>
      <c r="V120" s="5" t="str">
        <f>IF(H120&lt;&gt;"",IF(OR(H120=Naturezas!$B$3,H120=Naturezas!$B$4,H120=Naturezas!$B$5,H120=Naturezas!$B$17,H120=Naturezas!$B$18,H120=Naturezas!$B$19),G120,-G120),"")</f>
        <v/>
      </c>
      <c r="W120" s="4" t="str">
        <f t="shared" si="10"/>
        <v/>
      </c>
      <c r="X120" s="4"/>
      <c r="Y120" s="4" t="str">
        <f t="shared" si="11"/>
        <v/>
      </c>
      <c r="Z120" s="6" t="str">
        <f>IF(H120&lt;&gt;"",Tabela1[[#This Row],[Iniciais]],"")</f>
        <v/>
      </c>
      <c r="AB120" s="6" t="str">
        <f>IF($H120&lt;&gt;"",RIGHT(Tabela1[[#This Row],[Ref.]],2),"")</f>
        <v/>
      </c>
      <c r="AC120" s="37" t="str">
        <f>IF($H120&lt;&gt;"",DATE(LEFT(Tabela1[[#This Row],[Ref.]],4),RIGHT(Tabela1[[#This Row],[Ref.]],2),1),"")</f>
        <v/>
      </c>
      <c r="AD120" s="4" t="str">
        <f t="shared" si="7"/>
        <v/>
      </c>
      <c r="AE120" s="5" t="str">
        <f t="shared" si="8"/>
        <v/>
      </c>
      <c r="AF120" s="4"/>
      <c r="AG120" s="6" t="str">
        <f t="shared" si="9"/>
        <v/>
      </c>
    </row>
    <row r="121" spans="1:33" ht="15.75" customHeight="1" x14ac:dyDescent="0.2">
      <c r="A121" s="35"/>
      <c r="B121" s="44"/>
      <c r="C121" s="35"/>
      <c r="D121" s="35"/>
      <c r="E121" s="48"/>
      <c r="F121" s="45"/>
      <c r="G121" s="38"/>
      <c r="H121" s="45"/>
      <c r="I121" s="45"/>
      <c r="L121" s="19"/>
      <c r="M121" s="2"/>
      <c r="N121" s="25"/>
      <c r="O121" s="25"/>
      <c r="P121" s="29"/>
      <c r="Q121" s="3"/>
      <c r="R121" s="6" t="str">
        <f>IF($H121&lt;&gt;"",RIGHT(Tabela1[[#This Row],[Ref.]],2),"")</f>
        <v/>
      </c>
      <c r="S121" s="6" t="str">
        <f t="shared" si="6"/>
        <v/>
      </c>
      <c r="T121" s="4" t="str">
        <f>IF($H121&lt;&gt;"",_xlfn.XLOOKUP(H121,Naturezas!B:B,Naturezas!E:E,"",0,1),"")</f>
        <v/>
      </c>
      <c r="U121" s="4" t="str">
        <f>IF($H121&lt;&gt;"",_xlfn.XLOOKUP($H121,Naturezas!B:B,Naturezas!D:D,"",0,1),"")</f>
        <v/>
      </c>
      <c r="V121" s="5" t="str">
        <f>IF(H121&lt;&gt;"",IF(OR(H121=Naturezas!$B$3,H121=Naturezas!$B$4,H121=Naturezas!$B$5,H121=Naturezas!$B$17,H121=Naturezas!$B$18,H121=Naturezas!$B$19),G121,-G121),"")</f>
        <v/>
      </c>
      <c r="W121" s="4" t="str">
        <f t="shared" si="10"/>
        <v/>
      </c>
      <c r="X121" s="4"/>
      <c r="Y121" s="4" t="str">
        <f t="shared" si="11"/>
        <v/>
      </c>
      <c r="Z121" s="6" t="str">
        <f>IF(H121&lt;&gt;"",Tabela1[[#This Row],[Iniciais]],"")</f>
        <v/>
      </c>
      <c r="AB121" s="6" t="str">
        <f>IF($H121&lt;&gt;"",RIGHT(Tabela1[[#This Row],[Ref.]],2),"")</f>
        <v/>
      </c>
      <c r="AC121" s="37" t="str">
        <f>IF($H121&lt;&gt;"",DATE(LEFT(Tabela1[[#This Row],[Ref.]],4),RIGHT(Tabela1[[#This Row],[Ref.]],2),1),"")</f>
        <v/>
      </c>
      <c r="AD121" s="4" t="str">
        <f t="shared" si="7"/>
        <v/>
      </c>
      <c r="AE121" s="5" t="str">
        <f t="shared" si="8"/>
        <v/>
      </c>
      <c r="AF121" s="4"/>
      <c r="AG121" s="6" t="str">
        <f t="shared" si="9"/>
        <v/>
      </c>
    </row>
    <row r="122" spans="1:33" ht="15.75" customHeight="1" x14ac:dyDescent="0.2">
      <c r="A122" s="35"/>
      <c r="B122" s="44"/>
      <c r="C122" s="35"/>
      <c r="D122" s="35"/>
      <c r="E122" s="48"/>
      <c r="F122" s="45"/>
      <c r="G122" s="38"/>
      <c r="H122" s="45"/>
      <c r="I122" s="45"/>
      <c r="L122" s="19"/>
      <c r="M122" s="2"/>
      <c r="N122" s="25"/>
      <c r="O122" s="25"/>
      <c r="P122" s="29"/>
      <c r="Q122" s="3"/>
      <c r="R122" s="6" t="str">
        <f>IF($H122&lt;&gt;"",RIGHT(Tabela1[[#This Row],[Ref.]],2),"")</f>
        <v/>
      </c>
      <c r="S122" s="6" t="str">
        <f t="shared" si="6"/>
        <v/>
      </c>
      <c r="T122" s="4" t="str">
        <f>IF($H122&lt;&gt;"",_xlfn.XLOOKUP(H122,Naturezas!B:B,Naturezas!E:E,"",0,1),"")</f>
        <v/>
      </c>
      <c r="U122" s="4" t="str">
        <f>IF($H122&lt;&gt;"",_xlfn.XLOOKUP($H122,Naturezas!B:B,Naturezas!D:D,"",0,1),"")</f>
        <v/>
      </c>
      <c r="V122" s="5" t="str">
        <f>IF(H122&lt;&gt;"",IF(OR(H122=Naturezas!$B$3,H122=Naturezas!$B$4,H122=Naturezas!$B$5,H122=Naturezas!$B$17,H122=Naturezas!$B$18,H122=Naturezas!$B$19),G122,-G122),"")</f>
        <v/>
      </c>
      <c r="W122" s="4" t="str">
        <f t="shared" si="10"/>
        <v/>
      </c>
      <c r="X122" s="4"/>
      <c r="Y122" s="4" t="str">
        <f t="shared" si="11"/>
        <v/>
      </c>
      <c r="Z122" s="6" t="str">
        <f>IF(H122&lt;&gt;"",Tabela1[[#This Row],[Iniciais]],"")</f>
        <v/>
      </c>
      <c r="AB122" s="6" t="str">
        <f>IF($H122&lt;&gt;"",RIGHT(Tabela1[[#This Row],[Ref.]],2),"")</f>
        <v/>
      </c>
      <c r="AC122" s="37" t="str">
        <f>IF($H122&lt;&gt;"",DATE(LEFT(Tabela1[[#This Row],[Ref.]],4),RIGHT(Tabela1[[#This Row],[Ref.]],2),1),"")</f>
        <v/>
      </c>
      <c r="AD122" s="4" t="str">
        <f t="shared" si="7"/>
        <v/>
      </c>
      <c r="AE122" s="5" t="str">
        <f t="shared" si="8"/>
        <v/>
      </c>
      <c r="AF122" s="4"/>
      <c r="AG122" s="6" t="str">
        <f t="shared" si="9"/>
        <v/>
      </c>
    </row>
    <row r="123" spans="1:33" ht="15.75" customHeight="1" x14ac:dyDescent="0.2">
      <c r="A123" s="35"/>
      <c r="B123" s="44"/>
      <c r="C123" s="35"/>
      <c r="D123" s="35"/>
      <c r="E123" s="48"/>
      <c r="F123" s="45"/>
      <c r="G123" s="38"/>
      <c r="H123" s="45"/>
      <c r="I123" s="45"/>
      <c r="L123" s="19"/>
      <c r="M123" s="2"/>
      <c r="N123" s="25"/>
      <c r="O123" s="25"/>
      <c r="P123" s="29"/>
      <c r="Q123" s="3"/>
      <c r="R123" s="6" t="str">
        <f>IF($H123&lt;&gt;"",RIGHT(Tabela1[[#This Row],[Ref.]],2),"")</f>
        <v/>
      </c>
      <c r="S123" s="6" t="str">
        <f t="shared" si="6"/>
        <v/>
      </c>
      <c r="T123" s="4" t="str">
        <f>IF($H123&lt;&gt;"",_xlfn.XLOOKUP(H123,Naturezas!B:B,Naturezas!E:E,"",0,1),"")</f>
        <v/>
      </c>
      <c r="U123" s="4" t="str">
        <f>IF($H123&lt;&gt;"",_xlfn.XLOOKUP($H123,Naturezas!B:B,Naturezas!D:D,"",0,1),"")</f>
        <v/>
      </c>
      <c r="V123" s="5" t="str">
        <f>IF(H123&lt;&gt;"",IF(OR(H123=Naturezas!$B$3,H123=Naturezas!$B$4,H123=Naturezas!$B$5,H123=Naturezas!$B$17,H123=Naturezas!$B$18,H123=Naturezas!$B$19),G123,-G123),"")</f>
        <v/>
      </c>
      <c r="W123" s="4" t="str">
        <f t="shared" si="10"/>
        <v/>
      </c>
      <c r="X123" s="4"/>
      <c r="Y123" s="4" t="str">
        <f t="shared" si="11"/>
        <v/>
      </c>
      <c r="Z123" s="6" t="str">
        <f>IF(H123&lt;&gt;"",Tabela1[[#This Row],[Iniciais]],"")</f>
        <v/>
      </c>
      <c r="AB123" s="6" t="str">
        <f>IF($H123&lt;&gt;"",RIGHT(Tabela1[[#This Row],[Ref.]],2),"")</f>
        <v/>
      </c>
      <c r="AC123" s="37" t="str">
        <f>IF($H123&lt;&gt;"",DATE(LEFT(Tabela1[[#This Row],[Ref.]],4),RIGHT(Tabela1[[#This Row],[Ref.]],2),1),"")</f>
        <v/>
      </c>
      <c r="AD123" s="4" t="str">
        <f t="shared" si="7"/>
        <v/>
      </c>
      <c r="AE123" s="5" t="str">
        <f t="shared" si="8"/>
        <v/>
      </c>
      <c r="AF123" s="4"/>
      <c r="AG123" s="6" t="str">
        <f t="shared" si="9"/>
        <v/>
      </c>
    </row>
    <row r="124" spans="1:33" ht="15.75" customHeight="1" x14ac:dyDescent="0.2">
      <c r="A124" s="35"/>
      <c r="B124" s="44"/>
      <c r="C124" s="35"/>
      <c r="D124" s="35"/>
      <c r="E124" s="48"/>
      <c r="F124" s="45"/>
      <c r="G124" s="38"/>
      <c r="H124" s="45"/>
      <c r="I124" s="45"/>
      <c r="L124" s="19"/>
      <c r="M124" s="2"/>
      <c r="N124" s="25"/>
      <c r="O124" s="25"/>
      <c r="P124" s="29"/>
      <c r="Q124" s="3"/>
      <c r="R124" s="6" t="str">
        <f>IF($H124&lt;&gt;"",RIGHT(Tabela1[[#This Row],[Ref.]],2),"")</f>
        <v/>
      </c>
      <c r="S124" s="6" t="str">
        <f t="shared" si="6"/>
        <v/>
      </c>
      <c r="T124" s="4" t="str">
        <f>IF($H124&lt;&gt;"",_xlfn.XLOOKUP(H124,Naturezas!B:B,Naturezas!E:E,"",0,1),"")</f>
        <v/>
      </c>
      <c r="U124" s="4" t="str">
        <f>IF($H124&lt;&gt;"",_xlfn.XLOOKUP($H124,Naturezas!B:B,Naturezas!D:D,"",0,1),"")</f>
        <v/>
      </c>
      <c r="V124" s="5" t="str">
        <f>IF(H124&lt;&gt;"",IF(OR(H124=Naturezas!$B$3,H124=Naturezas!$B$4,H124=Naturezas!$B$5,H124=Naturezas!$B$17,H124=Naturezas!$B$18,H124=Naturezas!$B$19),G124,-G124),"")</f>
        <v/>
      </c>
      <c r="W124" s="4" t="str">
        <f t="shared" si="10"/>
        <v/>
      </c>
      <c r="X124" s="4"/>
      <c r="Y124" s="4" t="str">
        <f t="shared" si="11"/>
        <v/>
      </c>
      <c r="Z124" s="6" t="str">
        <f>IF(H124&lt;&gt;"",Tabela1[[#This Row],[Iniciais]],"")</f>
        <v/>
      </c>
      <c r="AB124" s="6" t="str">
        <f>IF($H124&lt;&gt;"",RIGHT(Tabela1[[#This Row],[Ref.]],2),"")</f>
        <v/>
      </c>
      <c r="AC124" s="37" t="str">
        <f>IF($H124&lt;&gt;"",DATE(LEFT(Tabela1[[#This Row],[Ref.]],4),RIGHT(Tabela1[[#This Row],[Ref.]],2),1),"")</f>
        <v/>
      </c>
      <c r="AD124" s="4" t="str">
        <f t="shared" si="7"/>
        <v/>
      </c>
      <c r="AE124" s="5" t="str">
        <f t="shared" si="8"/>
        <v/>
      </c>
      <c r="AF124" s="4"/>
      <c r="AG124" s="6" t="str">
        <f t="shared" si="9"/>
        <v/>
      </c>
    </row>
    <row r="125" spans="1:33" ht="15.75" customHeight="1" x14ac:dyDescent="0.2">
      <c r="A125" s="35"/>
      <c r="B125" s="44"/>
      <c r="C125" s="35"/>
      <c r="D125" s="35"/>
      <c r="E125" s="48"/>
      <c r="F125" s="45"/>
      <c r="G125" s="38"/>
      <c r="H125" s="45"/>
      <c r="I125" s="45"/>
      <c r="L125" s="19"/>
      <c r="M125" s="2"/>
      <c r="N125" s="25"/>
      <c r="O125" s="25"/>
      <c r="P125" s="29"/>
      <c r="Q125" s="3"/>
      <c r="R125" s="6" t="str">
        <f>IF($H125&lt;&gt;"",RIGHT(Tabela1[[#This Row],[Ref.]],2),"")</f>
        <v/>
      </c>
      <c r="S125" s="6" t="str">
        <f t="shared" si="6"/>
        <v/>
      </c>
      <c r="T125" s="4" t="str">
        <f>IF($H125&lt;&gt;"",_xlfn.XLOOKUP(H125,Naturezas!B:B,Naturezas!E:E,"",0,1),"")</f>
        <v/>
      </c>
      <c r="U125" s="4" t="str">
        <f>IF($H125&lt;&gt;"",_xlfn.XLOOKUP($H125,Naturezas!B:B,Naturezas!D:D,"",0,1),"")</f>
        <v/>
      </c>
      <c r="V125" s="5" t="str">
        <f>IF(H125&lt;&gt;"",IF(OR(H125=Naturezas!$B$3,H125=Naturezas!$B$4,H125=Naturezas!$B$5,H125=Naturezas!$B$17,H125=Naturezas!$B$18,H125=Naturezas!$B$19),G125,-G125),"")</f>
        <v/>
      </c>
      <c r="W125" s="4" t="str">
        <f t="shared" si="10"/>
        <v/>
      </c>
      <c r="X125" s="4"/>
      <c r="Y125" s="4" t="str">
        <f t="shared" si="11"/>
        <v/>
      </c>
      <c r="Z125" s="6" t="str">
        <f>IF(H125&lt;&gt;"",Tabela1[[#This Row],[Iniciais]],"")</f>
        <v/>
      </c>
      <c r="AB125" s="6" t="str">
        <f>IF($H125&lt;&gt;"",RIGHT(Tabela1[[#This Row],[Ref.]],2),"")</f>
        <v/>
      </c>
      <c r="AC125" s="37" t="str">
        <f>IF($H125&lt;&gt;"",DATE(LEFT(Tabela1[[#This Row],[Ref.]],4),RIGHT(Tabela1[[#This Row],[Ref.]],2),1),"")</f>
        <v/>
      </c>
      <c r="AD125" s="4" t="str">
        <f t="shared" si="7"/>
        <v/>
      </c>
      <c r="AE125" s="5" t="str">
        <f t="shared" si="8"/>
        <v/>
      </c>
      <c r="AF125" s="4"/>
      <c r="AG125" s="6" t="str">
        <f t="shared" si="9"/>
        <v/>
      </c>
    </row>
    <row r="126" spans="1:33" ht="15.75" customHeight="1" x14ac:dyDescent="0.2">
      <c r="A126" s="35"/>
      <c r="B126" s="44"/>
      <c r="C126" s="35"/>
      <c r="D126" s="35"/>
      <c r="E126" s="48"/>
      <c r="F126" s="45"/>
      <c r="G126" s="38"/>
      <c r="H126" s="45"/>
      <c r="I126" s="45"/>
      <c r="L126" s="19"/>
      <c r="M126" s="2"/>
      <c r="N126" s="25"/>
      <c r="O126" s="25"/>
      <c r="P126" s="29"/>
      <c r="Q126" s="3"/>
      <c r="R126" s="6" t="str">
        <f>IF($H126&lt;&gt;"",RIGHT(Tabela1[[#This Row],[Ref.]],2),"")</f>
        <v/>
      </c>
      <c r="S126" s="6" t="str">
        <f t="shared" si="6"/>
        <v/>
      </c>
      <c r="T126" s="4" t="str">
        <f>IF($H126&lt;&gt;"",_xlfn.XLOOKUP(H126,Naturezas!B:B,Naturezas!E:E,"",0,1),"")</f>
        <v/>
      </c>
      <c r="U126" s="4" t="str">
        <f>IF($H126&lt;&gt;"",_xlfn.XLOOKUP($H126,Naturezas!B:B,Naturezas!D:D,"",0,1),"")</f>
        <v/>
      </c>
      <c r="V126" s="5" t="str">
        <f>IF(H126&lt;&gt;"",IF(OR(H126=Naturezas!$B$3,H126=Naturezas!$B$4,H126=Naturezas!$B$5,H126=Naturezas!$B$17,H126=Naturezas!$B$18,H126=Naturezas!$B$19),G126,-G126),"")</f>
        <v/>
      </c>
      <c r="W126" s="4" t="str">
        <f t="shared" si="10"/>
        <v/>
      </c>
      <c r="X126" s="4"/>
      <c r="Y126" s="4" t="str">
        <f t="shared" si="11"/>
        <v/>
      </c>
      <c r="Z126" s="6" t="str">
        <f>IF(H126&lt;&gt;"",Tabela1[[#This Row],[Iniciais]],"")</f>
        <v/>
      </c>
      <c r="AB126" s="6" t="str">
        <f>IF($H126&lt;&gt;"",RIGHT(Tabela1[[#This Row],[Ref.]],2),"")</f>
        <v/>
      </c>
      <c r="AC126" s="37" t="str">
        <f>IF($H126&lt;&gt;"",DATE(LEFT(Tabela1[[#This Row],[Ref.]],4),RIGHT(Tabela1[[#This Row],[Ref.]],2),1),"")</f>
        <v/>
      </c>
      <c r="AD126" s="4" t="str">
        <f t="shared" si="7"/>
        <v/>
      </c>
      <c r="AE126" s="5" t="str">
        <f t="shared" si="8"/>
        <v/>
      </c>
      <c r="AF126" s="4"/>
      <c r="AG126" s="6" t="str">
        <f t="shared" si="9"/>
        <v/>
      </c>
    </row>
    <row r="127" spans="1:33" ht="15.75" customHeight="1" x14ac:dyDescent="0.2">
      <c r="A127" s="35"/>
      <c r="B127" s="44"/>
      <c r="C127" s="35"/>
      <c r="D127" s="35"/>
      <c r="E127" s="48"/>
      <c r="F127" s="45"/>
      <c r="G127" s="38"/>
      <c r="H127" s="45"/>
      <c r="I127" s="45"/>
      <c r="L127" s="19"/>
      <c r="M127" s="2"/>
      <c r="N127" s="25"/>
      <c r="O127" s="25"/>
      <c r="P127" s="29"/>
      <c r="Q127" s="3"/>
      <c r="R127" s="6" t="str">
        <f>IF($H127&lt;&gt;"",RIGHT(Tabela1[[#This Row],[Ref.]],2),"")</f>
        <v/>
      </c>
      <c r="S127" s="6" t="str">
        <f t="shared" si="6"/>
        <v/>
      </c>
      <c r="T127" s="4" t="str">
        <f>IF($H127&lt;&gt;"",_xlfn.XLOOKUP(H127,Naturezas!B:B,Naturezas!E:E,"",0,1),"")</f>
        <v/>
      </c>
      <c r="U127" s="4" t="str">
        <f>IF($H127&lt;&gt;"",_xlfn.XLOOKUP($H127,Naturezas!B:B,Naturezas!D:D,"",0,1),"")</f>
        <v/>
      </c>
      <c r="V127" s="5" t="str">
        <f>IF(H127&lt;&gt;"",IF(OR(H127=Naturezas!$B$3,H127=Naturezas!$B$4,H127=Naturezas!$B$5,H127=Naturezas!$B$17,H127=Naturezas!$B$18,H127=Naturezas!$B$19),G127,-G127),"")</f>
        <v/>
      </c>
      <c r="W127" s="4" t="str">
        <f t="shared" si="10"/>
        <v/>
      </c>
      <c r="X127" s="4"/>
      <c r="Y127" s="4" t="str">
        <f t="shared" si="11"/>
        <v/>
      </c>
      <c r="Z127" s="6" t="str">
        <f>IF(H127&lt;&gt;"",Tabela1[[#This Row],[Iniciais]],"")</f>
        <v/>
      </c>
      <c r="AB127" s="6" t="str">
        <f>IF($H127&lt;&gt;"",RIGHT(Tabela1[[#This Row],[Ref.]],2),"")</f>
        <v/>
      </c>
      <c r="AC127" s="37" t="str">
        <f>IF($H127&lt;&gt;"",DATE(LEFT(Tabela1[[#This Row],[Ref.]],4),RIGHT(Tabela1[[#This Row],[Ref.]],2),1),"")</f>
        <v/>
      </c>
      <c r="AD127" s="4" t="str">
        <f t="shared" si="7"/>
        <v/>
      </c>
      <c r="AE127" s="5" t="str">
        <f t="shared" si="8"/>
        <v/>
      </c>
      <c r="AF127" s="4"/>
      <c r="AG127" s="6" t="str">
        <f t="shared" si="9"/>
        <v/>
      </c>
    </row>
    <row r="128" spans="1:33" ht="15.75" customHeight="1" x14ac:dyDescent="0.2">
      <c r="A128" s="35"/>
      <c r="B128" s="44"/>
      <c r="C128" s="35"/>
      <c r="D128" s="35"/>
      <c r="E128" s="48"/>
      <c r="F128" s="45"/>
      <c r="G128" s="38"/>
      <c r="H128" s="45"/>
      <c r="I128" s="45"/>
      <c r="L128" s="19"/>
      <c r="M128" s="2"/>
      <c r="N128" s="25"/>
      <c r="O128" s="25"/>
      <c r="P128" s="29"/>
      <c r="Q128" s="3"/>
      <c r="R128" s="6" t="str">
        <f>IF($H128&lt;&gt;"",RIGHT(Tabela1[[#This Row],[Ref.]],2),"")</f>
        <v/>
      </c>
      <c r="S128" s="6" t="str">
        <f t="shared" si="6"/>
        <v/>
      </c>
      <c r="T128" s="4" t="str">
        <f>IF($H128&lt;&gt;"",_xlfn.XLOOKUP(H128,Naturezas!B:B,Naturezas!E:E,"",0,1),"")</f>
        <v/>
      </c>
      <c r="U128" s="4" t="str">
        <f>IF($H128&lt;&gt;"",_xlfn.XLOOKUP($H128,Naturezas!B:B,Naturezas!D:D,"",0,1),"")</f>
        <v/>
      </c>
      <c r="V128" s="5" t="str">
        <f>IF(H128&lt;&gt;"",IF(OR(H128=Naturezas!$B$3,H128=Naturezas!$B$4,H128=Naturezas!$B$5,H128=Naturezas!$B$17,H128=Naturezas!$B$18,H128=Naturezas!$B$19),G128,-G128),"")</f>
        <v/>
      </c>
      <c r="W128" s="4" t="str">
        <f t="shared" si="10"/>
        <v/>
      </c>
      <c r="X128" s="4"/>
      <c r="Y128" s="4" t="str">
        <f t="shared" si="11"/>
        <v/>
      </c>
      <c r="Z128" s="6" t="str">
        <f>IF(H128&lt;&gt;"",Tabela1[[#This Row],[Iniciais]],"")</f>
        <v/>
      </c>
      <c r="AB128" s="6" t="str">
        <f>IF($H128&lt;&gt;"",RIGHT(Tabela1[[#This Row],[Ref.]],2),"")</f>
        <v/>
      </c>
      <c r="AC128" s="37" t="str">
        <f>IF($H128&lt;&gt;"",DATE(LEFT(Tabela1[[#This Row],[Ref.]],4),RIGHT(Tabela1[[#This Row],[Ref.]],2),1),"")</f>
        <v/>
      </c>
      <c r="AD128" s="4" t="str">
        <f t="shared" si="7"/>
        <v/>
      </c>
      <c r="AE128" s="5" t="str">
        <f t="shared" si="8"/>
        <v/>
      </c>
      <c r="AF128" s="4"/>
      <c r="AG128" s="6" t="str">
        <f t="shared" si="9"/>
        <v/>
      </c>
    </row>
    <row r="129" spans="1:33" ht="15.75" customHeight="1" x14ac:dyDescent="0.2">
      <c r="A129" s="35"/>
      <c r="B129" s="44"/>
      <c r="C129" s="35"/>
      <c r="D129" s="35"/>
      <c r="E129" s="48"/>
      <c r="F129" s="45"/>
      <c r="G129" s="38"/>
      <c r="H129" s="45"/>
      <c r="I129" s="45"/>
      <c r="L129" s="19"/>
      <c r="M129" s="2"/>
      <c r="N129" s="25"/>
      <c r="O129" s="25"/>
      <c r="P129" s="29"/>
      <c r="Q129" s="3"/>
      <c r="R129" s="6" t="str">
        <f>IF($H129&lt;&gt;"",RIGHT(Tabela1[[#This Row],[Ref.]],2),"")</f>
        <v/>
      </c>
      <c r="S129" s="6" t="str">
        <f t="shared" si="6"/>
        <v/>
      </c>
      <c r="T129" s="4" t="str">
        <f>IF($H129&lt;&gt;"",_xlfn.XLOOKUP(H129,Naturezas!B:B,Naturezas!E:E,"",0,1),"")</f>
        <v/>
      </c>
      <c r="U129" s="4" t="str">
        <f>IF($H129&lt;&gt;"",_xlfn.XLOOKUP($H129,Naturezas!B:B,Naturezas!D:D,"",0,1),"")</f>
        <v/>
      </c>
      <c r="V129" s="5" t="str">
        <f>IF(H129&lt;&gt;"",IF(OR(H129=Naturezas!$B$3,H129=Naturezas!$B$4,H129=Naturezas!$B$5,H129=Naturezas!$B$17,H129=Naturezas!$B$18,H129=Naturezas!$B$19),G129,-G129),"")</f>
        <v/>
      </c>
      <c r="W129" s="4" t="str">
        <f t="shared" si="10"/>
        <v/>
      </c>
      <c r="X129" s="4"/>
      <c r="Y129" s="4" t="str">
        <f t="shared" si="11"/>
        <v/>
      </c>
      <c r="Z129" s="6" t="str">
        <f>IF(H129&lt;&gt;"",Tabela1[[#This Row],[Iniciais]],"")</f>
        <v/>
      </c>
      <c r="AB129" s="6" t="str">
        <f>IF($H129&lt;&gt;"",RIGHT(Tabela1[[#This Row],[Ref.]],2),"")</f>
        <v/>
      </c>
      <c r="AC129" s="37" t="str">
        <f>IF($H129&lt;&gt;"",DATE(LEFT(Tabela1[[#This Row],[Ref.]],4),RIGHT(Tabela1[[#This Row],[Ref.]],2),1),"")</f>
        <v/>
      </c>
      <c r="AD129" s="4" t="str">
        <f t="shared" si="7"/>
        <v/>
      </c>
      <c r="AE129" s="5" t="str">
        <f t="shared" si="8"/>
        <v/>
      </c>
      <c r="AF129" s="4"/>
      <c r="AG129" s="6" t="str">
        <f t="shared" si="9"/>
        <v/>
      </c>
    </row>
    <row r="130" spans="1:33" ht="15.75" customHeight="1" x14ac:dyDescent="0.2">
      <c r="A130" s="35"/>
      <c r="B130" s="44"/>
      <c r="C130" s="35"/>
      <c r="D130" s="35"/>
      <c r="E130" s="48"/>
      <c r="F130" s="45"/>
      <c r="G130" s="38"/>
      <c r="H130" s="45"/>
      <c r="I130" s="45"/>
      <c r="L130" s="19"/>
      <c r="M130" s="2"/>
      <c r="N130" s="25"/>
      <c r="O130" s="25"/>
      <c r="P130" s="29"/>
      <c r="Q130" s="3"/>
      <c r="R130" s="6" t="str">
        <f>IF($H130&lt;&gt;"",RIGHT(Tabela1[[#This Row],[Ref.]],2),"")</f>
        <v/>
      </c>
      <c r="S130" s="6" t="str">
        <f t="shared" si="6"/>
        <v/>
      </c>
      <c r="T130" s="4" t="str">
        <f>IF($H130&lt;&gt;"",_xlfn.XLOOKUP(H130,Naturezas!B:B,Naturezas!E:E,"",0,1),"")</f>
        <v/>
      </c>
      <c r="U130" s="4" t="str">
        <f>IF($H130&lt;&gt;"",_xlfn.XLOOKUP($H130,Naturezas!B:B,Naturezas!D:D,"",0,1),"")</f>
        <v/>
      </c>
      <c r="V130" s="5" t="str">
        <f>IF(H130&lt;&gt;"",IF(OR(H130=Naturezas!$B$3,H130=Naturezas!$B$4,H130=Naturezas!$B$5,H130=Naturezas!$B$17,H130=Naturezas!$B$18,H130=Naturezas!$B$19),G130,-G130),"")</f>
        <v/>
      </c>
      <c r="W130" s="4" t="str">
        <f t="shared" si="10"/>
        <v/>
      </c>
      <c r="X130" s="4"/>
      <c r="Y130" s="4" t="str">
        <f t="shared" si="11"/>
        <v/>
      </c>
      <c r="Z130" s="6" t="str">
        <f>IF(H130&lt;&gt;"",Tabela1[[#This Row],[Iniciais]],"")</f>
        <v/>
      </c>
      <c r="AB130" s="6" t="str">
        <f>IF($H130&lt;&gt;"",RIGHT(Tabela1[[#This Row],[Ref.]],2),"")</f>
        <v/>
      </c>
      <c r="AC130" s="37" t="str">
        <f>IF($H130&lt;&gt;"",DATE(LEFT(Tabela1[[#This Row],[Ref.]],4),RIGHT(Tabela1[[#This Row],[Ref.]],2),1),"")</f>
        <v/>
      </c>
      <c r="AD130" s="4" t="str">
        <f t="shared" si="7"/>
        <v/>
      </c>
      <c r="AE130" s="5" t="str">
        <f t="shared" si="8"/>
        <v/>
      </c>
      <c r="AF130" s="4"/>
      <c r="AG130" s="6" t="str">
        <f t="shared" si="9"/>
        <v/>
      </c>
    </row>
    <row r="131" spans="1:33" ht="15.75" customHeight="1" x14ac:dyDescent="0.2">
      <c r="A131" s="35"/>
      <c r="B131" s="44"/>
      <c r="C131" s="35"/>
      <c r="D131" s="35"/>
      <c r="E131" s="48"/>
      <c r="F131" s="45"/>
      <c r="G131" s="38"/>
      <c r="H131" s="45"/>
      <c r="I131" s="45"/>
      <c r="L131" s="19"/>
      <c r="M131" s="2"/>
      <c r="N131" s="25"/>
      <c r="O131" s="25"/>
      <c r="P131" s="29"/>
      <c r="Q131" s="3"/>
      <c r="R131" s="6" t="str">
        <f>IF($H131&lt;&gt;"",RIGHT(Tabela1[[#This Row],[Ref.]],2),"")</f>
        <v/>
      </c>
      <c r="S131" s="6" t="str">
        <f t="shared" si="6"/>
        <v/>
      </c>
      <c r="T131" s="4" t="str">
        <f>IF($H131&lt;&gt;"",_xlfn.XLOOKUP(H131,Naturezas!B:B,Naturezas!E:E,"",0,1),"")</f>
        <v/>
      </c>
      <c r="U131" s="4" t="str">
        <f>IF($H131&lt;&gt;"",_xlfn.XLOOKUP($H131,Naturezas!B:B,Naturezas!D:D,"",0,1),"")</f>
        <v/>
      </c>
      <c r="V131" s="5" t="str">
        <f>IF(H131&lt;&gt;"",IF(OR(H131=Naturezas!$B$3,H131=Naturezas!$B$4,H131=Naturezas!$B$5,H131=Naturezas!$B$17,H131=Naturezas!$B$18,H131=Naturezas!$B$19),G131,-G131),"")</f>
        <v/>
      </c>
      <c r="W131" s="4" t="str">
        <f t="shared" si="10"/>
        <v/>
      </c>
      <c r="X131" s="4"/>
      <c r="Y131" s="4" t="str">
        <f t="shared" si="11"/>
        <v/>
      </c>
      <c r="Z131" s="6" t="str">
        <f>IF(H131&lt;&gt;"",Tabela1[[#This Row],[Iniciais]],"")</f>
        <v/>
      </c>
      <c r="AB131" s="6" t="str">
        <f>IF($H131&lt;&gt;"",RIGHT(Tabela1[[#This Row],[Ref.]],2),"")</f>
        <v/>
      </c>
      <c r="AC131" s="37" t="str">
        <f>IF($H131&lt;&gt;"",DATE(LEFT(Tabela1[[#This Row],[Ref.]],4),RIGHT(Tabela1[[#This Row],[Ref.]],2),1),"")</f>
        <v/>
      </c>
      <c r="AD131" s="4" t="str">
        <f t="shared" si="7"/>
        <v/>
      </c>
      <c r="AE131" s="5" t="str">
        <f t="shared" si="8"/>
        <v/>
      </c>
      <c r="AF131" s="4"/>
      <c r="AG131" s="6" t="str">
        <f t="shared" si="9"/>
        <v/>
      </c>
    </row>
    <row r="132" spans="1:33" ht="15.75" customHeight="1" x14ac:dyDescent="0.2">
      <c r="A132" s="35"/>
      <c r="B132" s="44"/>
      <c r="C132" s="35"/>
      <c r="D132" s="35"/>
      <c r="E132" s="48"/>
      <c r="F132" s="45"/>
      <c r="G132" s="38"/>
      <c r="H132" s="45"/>
      <c r="I132" s="45"/>
      <c r="L132" s="19"/>
      <c r="M132" s="2"/>
      <c r="N132" s="25"/>
      <c r="O132" s="25"/>
      <c r="P132" s="29"/>
      <c r="Q132" s="3"/>
      <c r="R132" s="6" t="str">
        <f>IF($H132&lt;&gt;"",RIGHT(Tabela1[[#This Row],[Ref.]],2),"")</f>
        <v/>
      </c>
      <c r="S132" s="6" t="str">
        <f t="shared" si="6"/>
        <v/>
      </c>
      <c r="T132" s="4" t="str">
        <f>IF($H132&lt;&gt;"",_xlfn.XLOOKUP(H132,Naturezas!B:B,Naturezas!E:E,"",0,1),"")</f>
        <v/>
      </c>
      <c r="U132" s="4" t="str">
        <f>IF($H132&lt;&gt;"",_xlfn.XLOOKUP($H132,Naturezas!B:B,Naturezas!D:D,"",0,1),"")</f>
        <v/>
      </c>
      <c r="V132" s="5" t="str">
        <f>IF(H132&lt;&gt;"",IF(OR(H132=Naturezas!$B$3,H132=Naturezas!$B$4,H132=Naturezas!$B$5,H132=Naturezas!$B$17,H132=Naturezas!$B$18,H132=Naturezas!$B$19),G132,-G132),"")</f>
        <v/>
      </c>
      <c r="W132" s="4" t="str">
        <f t="shared" si="10"/>
        <v/>
      </c>
      <c r="X132" s="4"/>
      <c r="Y132" s="4" t="str">
        <f t="shared" si="11"/>
        <v/>
      </c>
      <c r="Z132" s="6" t="str">
        <f>IF(H132&lt;&gt;"",Tabela1[[#This Row],[Iniciais]],"")</f>
        <v/>
      </c>
      <c r="AB132" s="6" t="str">
        <f>IF($H132&lt;&gt;"",RIGHT(Tabela1[[#This Row],[Ref.]],2),"")</f>
        <v/>
      </c>
      <c r="AC132" s="37" t="str">
        <f>IF($H132&lt;&gt;"",DATE(LEFT(Tabela1[[#This Row],[Ref.]],4),RIGHT(Tabela1[[#This Row],[Ref.]],2),1),"")</f>
        <v/>
      </c>
      <c r="AD132" s="4" t="str">
        <f t="shared" si="7"/>
        <v/>
      </c>
      <c r="AE132" s="5" t="str">
        <f t="shared" si="8"/>
        <v/>
      </c>
      <c r="AF132" s="4"/>
      <c r="AG132" s="6" t="str">
        <f t="shared" si="9"/>
        <v/>
      </c>
    </row>
    <row r="133" spans="1:33" ht="15.75" customHeight="1" x14ac:dyDescent="0.2">
      <c r="A133" s="35"/>
      <c r="B133" s="44"/>
      <c r="C133" s="35"/>
      <c r="D133" s="35"/>
      <c r="E133" s="48"/>
      <c r="F133" s="45"/>
      <c r="G133" s="38"/>
      <c r="H133" s="45"/>
      <c r="I133" s="45"/>
      <c r="L133" s="19"/>
      <c r="M133" s="2"/>
      <c r="N133" s="25"/>
      <c r="O133" s="25"/>
      <c r="P133" s="29"/>
      <c r="Q133" s="3"/>
      <c r="R133" s="6" t="str">
        <f>IF($H133&lt;&gt;"",RIGHT(Tabela1[[#This Row],[Ref.]],2),"")</f>
        <v/>
      </c>
      <c r="S133" s="6" t="str">
        <f t="shared" si="6"/>
        <v/>
      </c>
      <c r="T133" s="4" t="str">
        <f>IF($H133&lt;&gt;"",_xlfn.XLOOKUP(H133,Naturezas!B:B,Naturezas!E:E,"",0,1),"")</f>
        <v/>
      </c>
      <c r="U133" s="4" t="str">
        <f>IF($H133&lt;&gt;"",_xlfn.XLOOKUP($H133,Naturezas!B:B,Naturezas!D:D,"",0,1),"")</f>
        <v/>
      </c>
      <c r="V133" s="5" t="str">
        <f>IF(H133&lt;&gt;"",IF(OR(H133=Naturezas!$B$3,H133=Naturezas!$B$4,H133=Naturezas!$B$5,H133=Naturezas!$B$17,H133=Naturezas!$B$18,H133=Naturezas!$B$19),G133,-G133),"")</f>
        <v/>
      </c>
      <c r="W133" s="4" t="str">
        <f t="shared" si="10"/>
        <v/>
      </c>
      <c r="X133" s="4"/>
      <c r="Y133" s="4" t="str">
        <f t="shared" si="11"/>
        <v/>
      </c>
      <c r="Z133" s="6" t="str">
        <f>IF(H133&lt;&gt;"",Tabela1[[#This Row],[Iniciais]],"")</f>
        <v/>
      </c>
      <c r="AB133" s="6" t="str">
        <f>IF($H133&lt;&gt;"",RIGHT(Tabela1[[#This Row],[Ref.]],2),"")</f>
        <v/>
      </c>
      <c r="AC133" s="37" t="str">
        <f>IF($H133&lt;&gt;"",DATE(LEFT(Tabela1[[#This Row],[Ref.]],4),RIGHT(Tabela1[[#This Row],[Ref.]],2),1),"")</f>
        <v/>
      </c>
      <c r="AD133" s="4" t="str">
        <f t="shared" si="7"/>
        <v/>
      </c>
      <c r="AE133" s="5" t="str">
        <f t="shared" si="8"/>
        <v/>
      </c>
      <c r="AF133" s="4"/>
      <c r="AG133" s="6" t="str">
        <f t="shared" si="9"/>
        <v/>
      </c>
    </row>
    <row r="134" spans="1:33" ht="15.75" customHeight="1" x14ac:dyDescent="0.2">
      <c r="A134" s="35"/>
      <c r="B134" s="44"/>
      <c r="C134" s="35"/>
      <c r="D134" s="35"/>
      <c r="E134" s="48"/>
      <c r="F134" s="45"/>
      <c r="G134" s="38"/>
      <c r="H134" s="45"/>
      <c r="I134" s="45"/>
      <c r="L134" s="19"/>
      <c r="M134" s="2"/>
      <c r="N134" s="25"/>
      <c r="O134" s="25"/>
      <c r="P134" s="29"/>
      <c r="Q134" s="3"/>
      <c r="R134" s="6" t="str">
        <f>IF($H134&lt;&gt;"",RIGHT(Tabela1[[#This Row],[Ref.]],2),"")</f>
        <v/>
      </c>
      <c r="S134" s="6" t="str">
        <f t="shared" si="6"/>
        <v/>
      </c>
      <c r="T134" s="4" t="str">
        <f>IF($H134&lt;&gt;"",_xlfn.XLOOKUP(H134,Naturezas!B:B,Naturezas!E:E,"",0,1),"")</f>
        <v/>
      </c>
      <c r="U134" s="4" t="str">
        <f>IF($H134&lt;&gt;"",_xlfn.XLOOKUP($H134,Naturezas!B:B,Naturezas!D:D,"",0,1),"")</f>
        <v/>
      </c>
      <c r="V134" s="5" t="str">
        <f>IF(H134&lt;&gt;"",IF(OR(H134=Naturezas!$B$3,H134=Naturezas!$B$4,H134=Naturezas!$B$5,H134=Naturezas!$B$17,H134=Naturezas!$B$18,H134=Naturezas!$B$19),G134,-G134),"")</f>
        <v/>
      </c>
      <c r="W134" s="4" t="str">
        <f t="shared" si="10"/>
        <v/>
      </c>
      <c r="X134" s="4"/>
      <c r="Y134" s="4" t="str">
        <f t="shared" si="11"/>
        <v/>
      </c>
      <c r="Z134" s="6" t="str">
        <f>IF(H134&lt;&gt;"",Tabela1[[#This Row],[Iniciais]],"")</f>
        <v/>
      </c>
      <c r="AB134" s="6" t="str">
        <f>IF($H134&lt;&gt;"",RIGHT(Tabela1[[#This Row],[Ref.]],2),"")</f>
        <v/>
      </c>
      <c r="AC134" s="37" t="str">
        <f>IF($H134&lt;&gt;"",DATE(LEFT(Tabela1[[#This Row],[Ref.]],4),RIGHT(Tabela1[[#This Row],[Ref.]],2),1),"")</f>
        <v/>
      </c>
      <c r="AD134" s="4" t="str">
        <f t="shared" si="7"/>
        <v/>
      </c>
      <c r="AE134" s="5" t="str">
        <f t="shared" si="8"/>
        <v/>
      </c>
      <c r="AF134" s="4"/>
      <c r="AG134" s="6" t="str">
        <f t="shared" si="9"/>
        <v/>
      </c>
    </row>
    <row r="135" spans="1:33" ht="15.75" customHeight="1" x14ac:dyDescent="0.2">
      <c r="A135" s="35"/>
      <c r="B135" s="44"/>
      <c r="C135" s="35"/>
      <c r="D135" s="35"/>
      <c r="E135" s="48"/>
      <c r="F135" s="45"/>
      <c r="G135" s="38"/>
      <c r="H135" s="45"/>
      <c r="I135" s="45"/>
      <c r="L135" s="19"/>
      <c r="M135" s="2"/>
      <c r="N135" s="25"/>
      <c r="O135" s="25"/>
      <c r="P135" s="29"/>
      <c r="Q135" s="3"/>
      <c r="R135" s="6" t="str">
        <f>IF($H135&lt;&gt;"",RIGHT(Tabela1[[#This Row],[Ref.]],2),"")</f>
        <v/>
      </c>
      <c r="S135" s="6" t="str">
        <f t="shared" si="6"/>
        <v/>
      </c>
      <c r="T135" s="4" t="str">
        <f>IF($H135&lt;&gt;"",_xlfn.XLOOKUP(H135,Naturezas!B:B,Naturezas!E:E,"",0,1),"")</f>
        <v/>
      </c>
      <c r="U135" s="4" t="str">
        <f>IF($H135&lt;&gt;"",_xlfn.XLOOKUP($H135,Naturezas!B:B,Naturezas!D:D,"",0,1),"")</f>
        <v/>
      </c>
      <c r="V135" s="5" t="str">
        <f>IF(H135&lt;&gt;"",IF(OR(H135=Naturezas!$B$3,H135=Naturezas!$B$4,H135=Naturezas!$B$5,H135=Naturezas!$B$17,H135=Naturezas!$B$18,H135=Naturezas!$B$19),G135,-G135),"")</f>
        <v/>
      </c>
      <c r="W135" s="4" t="str">
        <f t="shared" si="10"/>
        <v/>
      </c>
      <c r="X135" s="4"/>
      <c r="Y135" s="4" t="str">
        <f t="shared" si="11"/>
        <v/>
      </c>
      <c r="Z135" s="6" t="str">
        <f>IF(H135&lt;&gt;"",Tabela1[[#This Row],[Iniciais]],"")</f>
        <v/>
      </c>
      <c r="AB135" s="6" t="str">
        <f>IF($H135&lt;&gt;"",RIGHT(Tabela1[[#This Row],[Ref.]],2),"")</f>
        <v/>
      </c>
      <c r="AC135" s="37" t="str">
        <f>IF($H135&lt;&gt;"",DATE(LEFT(Tabela1[[#This Row],[Ref.]],4),RIGHT(Tabela1[[#This Row],[Ref.]],2),1),"")</f>
        <v/>
      </c>
      <c r="AD135" s="4" t="str">
        <f t="shared" si="7"/>
        <v/>
      </c>
      <c r="AE135" s="5" t="str">
        <f t="shared" si="8"/>
        <v/>
      </c>
      <c r="AF135" s="4"/>
      <c r="AG135" s="6" t="str">
        <f t="shared" si="9"/>
        <v/>
      </c>
    </row>
    <row r="136" spans="1:33" ht="15.75" customHeight="1" x14ac:dyDescent="0.2">
      <c r="A136" s="35"/>
      <c r="B136" s="44"/>
      <c r="C136" s="35"/>
      <c r="D136" s="35"/>
      <c r="E136" s="48"/>
      <c r="F136" s="45"/>
      <c r="G136" s="38"/>
      <c r="H136" s="45"/>
      <c r="I136" s="45"/>
      <c r="L136" s="19"/>
      <c r="M136" s="2"/>
      <c r="N136" s="25"/>
      <c r="O136" s="25"/>
      <c r="P136" s="29"/>
      <c r="Q136" s="3"/>
      <c r="R136" s="6" t="str">
        <f>IF($H136&lt;&gt;"",RIGHT(Tabela1[[#This Row],[Ref.]],2),"")</f>
        <v/>
      </c>
      <c r="S136" s="6" t="str">
        <f t="shared" si="6"/>
        <v/>
      </c>
      <c r="T136" s="4" t="str">
        <f>IF($H136&lt;&gt;"",_xlfn.XLOOKUP(H136,Naturezas!B:B,Naturezas!E:E,"",0,1),"")</f>
        <v/>
      </c>
      <c r="U136" s="4" t="str">
        <f>IF($H136&lt;&gt;"",_xlfn.XLOOKUP($H136,Naturezas!B:B,Naturezas!D:D,"",0,1),"")</f>
        <v/>
      </c>
      <c r="V136" s="5" t="str">
        <f>IF(H136&lt;&gt;"",IF(OR(H136=Naturezas!$B$3,H136=Naturezas!$B$4,H136=Naturezas!$B$5,H136=Naturezas!$B$17,H136=Naturezas!$B$18,H136=Naturezas!$B$19),G136,-G136),"")</f>
        <v/>
      </c>
      <c r="W136" s="4" t="str">
        <f t="shared" si="10"/>
        <v/>
      </c>
      <c r="X136" s="4"/>
      <c r="Y136" s="4" t="str">
        <f t="shared" si="11"/>
        <v/>
      </c>
      <c r="Z136" s="6" t="str">
        <f>IF(H136&lt;&gt;"",Tabela1[[#This Row],[Iniciais]],"")</f>
        <v/>
      </c>
      <c r="AB136" s="6" t="str">
        <f>IF($H136&lt;&gt;"",RIGHT(Tabela1[[#This Row],[Ref.]],2),"")</f>
        <v/>
      </c>
      <c r="AC136" s="37" t="str">
        <f>IF($H136&lt;&gt;"",DATE(LEFT(Tabela1[[#This Row],[Ref.]],4),RIGHT(Tabela1[[#This Row],[Ref.]],2),1),"")</f>
        <v/>
      </c>
      <c r="AD136" s="4" t="str">
        <f t="shared" si="7"/>
        <v/>
      </c>
      <c r="AE136" s="5" t="str">
        <f t="shared" si="8"/>
        <v/>
      </c>
      <c r="AF136" s="4"/>
      <c r="AG136" s="6" t="str">
        <f t="shared" si="9"/>
        <v/>
      </c>
    </row>
    <row r="137" spans="1:33" ht="15.75" customHeight="1" x14ac:dyDescent="0.2">
      <c r="A137" s="35"/>
      <c r="B137" s="44"/>
      <c r="C137" s="35"/>
      <c r="D137" s="35"/>
      <c r="E137" s="48"/>
      <c r="F137" s="45"/>
      <c r="G137" s="38"/>
      <c r="H137" s="45"/>
      <c r="I137" s="45"/>
      <c r="L137" s="19"/>
      <c r="M137" s="2"/>
      <c r="N137" s="25"/>
      <c r="O137" s="25"/>
      <c r="P137" s="29"/>
      <c r="Q137" s="3"/>
      <c r="R137" s="6" t="str">
        <f>IF($H137&lt;&gt;"",RIGHT(Tabela1[[#This Row],[Ref.]],2),"")</f>
        <v/>
      </c>
      <c r="S137" s="6" t="str">
        <f t="shared" ref="S137:S200" si="12">IF($H137&lt;&gt;"",1,"")</f>
        <v/>
      </c>
      <c r="T137" s="4" t="str">
        <f>IF($H137&lt;&gt;"",_xlfn.XLOOKUP(H137,Naturezas!B:B,Naturezas!E:E,"",0,1),"")</f>
        <v/>
      </c>
      <c r="U137" s="4" t="str">
        <f>IF($H137&lt;&gt;"",_xlfn.XLOOKUP($H137,Naturezas!B:B,Naturezas!D:D,"",0,1),"")</f>
        <v/>
      </c>
      <c r="V137" s="5" t="str">
        <f>IF(H137&lt;&gt;"",IF(OR(H137=Naturezas!$B$3,H137=Naturezas!$B$4,H137=Naturezas!$B$5,H137=Naturezas!$B$17,H137=Naturezas!$B$18,H137=Naturezas!$B$19),G137,-G137),"")</f>
        <v/>
      </c>
      <c r="W137" s="4" t="str">
        <f t="shared" si="10"/>
        <v/>
      </c>
      <c r="X137" s="4"/>
      <c r="Y137" s="4" t="str">
        <f t="shared" si="11"/>
        <v/>
      </c>
      <c r="Z137" s="6" t="str">
        <f>IF(H137&lt;&gt;"",Tabela1[[#This Row],[Iniciais]],"")</f>
        <v/>
      </c>
      <c r="AB137" s="6" t="str">
        <f>IF($H137&lt;&gt;"",RIGHT(Tabela1[[#This Row],[Ref.]],2),"")</f>
        <v/>
      </c>
      <c r="AC137" s="37" t="str">
        <f>IF($H137&lt;&gt;"",DATE(LEFT(Tabela1[[#This Row],[Ref.]],4),RIGHT(Tabela1[[#This Row],[Ref.]],2),1),"")</f>
        <v/>
      </c>
      <c r="AD137" s="4" t="str">
        <f t="shared" ref="AD137:AD200" si="13">IF($H137&lt;&gt;"",$F137,"")</f>
        <v/>
      </c>
      <c r="AE137" s="5" t="str">
        <f t="shared" ref="AE137:AE200" si="14">IF($H137&lt;&gt;"",$G137,"")</f>
        <v/>
      </c>
      <c r="AF137" s="4"/>
      <c r="AG137" s="6" t="str">
        <f t="shared" ref="AG137:AG200" si="15">IF($H137&lt;&gt;"",$B$2,"")</f>
        <v/>
      </c>
    </row>
    <row r="138" spans="1:33" ht="15.75" customHeight="1" x14ac:dyDescent="0.2">
      <c r="A138" s="35"/>
      <c r="B138" s="44"/>
      <c r="C138" s="35"/>
      <c r="D138" s="35"/>
      <c r="E138" s="48"/>
      <c r="F138" s="45"/>
      <c r="G138" s="38"/>
      <c r="H138" s="45"/>
      <c r="I138" s="45"/>
      <c r="L138" s="19"/>
      <c r="M138" s="2"/>
      <c r="N138" s="25"/>
      <c r="O138" s="25"/>
      <c r="P138" s="29"/>
      <c r="Q138" s="3"/>
      <c r="R138" s="6" t="str">
        <f>IF($H138&lt;&gt;"",RIGHT(Tabela1[[#This Row],[Ref.]],2),"")</f>
        <v/>
      </c>
      <c r="S138" s="6" t="str">
        <f t="shared" si="12"/>
        <v/>
      </c>
      <c r="T138" s="4" t="str">
        <f>IF($H138&lt;&gt;"",_xlfn.XLOOKUP(H138,Naturezas!B:B,Naturezas!E:E,"",0,1),"")</f>
        <v/>
      </c>
      <c r="U138" s="4" t="str">
        <f>IF($H138&lt;&gt;"",_xlfn.XLOOKUP($H138,Naturezas!B:B,Naturezas!D:D,"",0,1),"")</f>
        <v/>
      </c>
      <c r="V138" s="5" t="str">
        <f>IF(H138&lt;&gt;"",IF(OR(H138=Naturezas!$B$3,H138=Naturezas!$B$4,H138=Naturezas!$B$5,H138=Naturezas!$B$17,H138=Naturezas!$B$18,H138=Naturezas!$B$19),G138,-G138),"")</f>
        <v/>
      </c>
      <c r="W138" s="4" t="str">
        <f t="shared" ref="W138:W201" si="16">IF(H138&lt;&gt;"",H138,"")</f>
        <v/>
      </c>
      <c r="X138" s="4"/>
      <c r="Y138" s="4" t="str">
        <f t="shared" ref="Y138:Y201" si="17">IF(H138&lt;&gt;"",F138,"")</f>
        <v/>
      </c>
      <c r="Z138" s="6" t="str">
        <f>IF(H138&lt;&gt;"",Tabela1[[#This Row],[Iniciais]],"")</f>
        <v/>
      </c>
      <c r="AB138" s="6" t="str">
        <f>IF($H138&lt;&gt;"",RIGHT(Tabela1[[#This Row],[Ref.]],2),"")</f>
        <v/>
      </c>
      <c r="AC138" s="37" t="str">
        <f>IF($H138&lt;&gt;"",DATE(LEFT(Tabela1[[#This Row],[Ref.]],4),RIGHT(Tabela1[[#This Row],[Ref.]],2),1),"")</f>
        <v/>
      </c>
      <c r="AD138" s="4" t="str">
        <f t="shared" si="13"/>
        <v/>
      </c>
      <c r="AE138" s="5" t="str">
        <f t="shared" si="14"/>
        <v/>
      </c>
      <c r="AF138" s="4"/>
      <c r="AG138" s="6" t="str">
        <f t="shared" si="15"/>
        <v/>
      </c>
    </row>
    <row r="139" spans="1:33" ht="15.75" customHeight="1" x14ac:dyDescent="0.2">
      <c r="A139" s="35"/>
      <c r="B139" s="44"/>
      <c r="C139" s="35"/>
      <c r="D139" s="35"/>
      <c r="E139" s="48"/>
      <c r="F139" s="45"/>
      <c r="G139" s="38"/>
      <c r="H139" s="45"/>
      <c r="I139" s="45"/>
      <c r="L139" s="19"/>
      <c r="M139" s="2"/>
      <c r="N139" s="25"/>
      <c r="O139" s="25"/>
      <c r="P139" s="29"/>
      <c r="Q139" s="3"/>
      <c r="R139" s="6" t="str">
        <f>IF($H139&lt;&gt;"",RIGHT(Tabela1[[#This Row],[Ref.]],2),"")</f>
        <v/>
      </c>
      <c r="S139" s="6" t="str">
        <f t="shared" si="12"/>
        <v/>
      </c>
      <c r="T139" s="4" t="str">
        <f>IF($H139&lt;&gt;"",_xlfn.XLOOKUP(H139,Naturezas!B:B,Naturezas!E:E,"",0,1),"")</f>
        <v/>
      </c>
      <c r="U139" s="4" t="str">
        <f>IF($H139&lt;&gt;"",_xlfn.XLOOKUP($H139,Naturezas!B:B,Naturezas!D:D,"",0,1),"")</f>
        <v/>
      </c>
      <c r="V139" s="5" t="str">
        <f>IF(H139&lt;&gt;"",IF(OR(H139=Naturezas!$B$3,H139=Naturezas!$B$4,H139=Naturezas!$B$5,H139=Naturezas!$B$17,H139=Naturezas!$B$18,H139=Naturezas!$B$19),G139,-G139),"")</f>
        <v/>
      </c>
      <c r="W139" s="4" t="str">
        <f t="shared" si="16"/>
        <v/>
      </c>
      <c r="X139" s="4"/>
      <c r="Y139" s="4" t="str">
        <f t="shared" si="17"/>
        <v/>
      </c>
      <c r="Z139" s="6" t="str">
        <f>IF(H139&lt;&gt;"",Tabela1[[#This Row],[Iniciais]],"")</f>
        <v/>
      </c>
      <c r="AB139" s="6" t="str">
        <f>IF($H139&lt;&gt;"",RIGHT(Tabela1[[#This Row],[Ref.]],2),"")</f>
        <v/>
      </c>
      <c r="AC139" s="37" t="str">
        <f>IF($H139&lt;&gt;"",DATE(LEFT(Tabela1[[#This Row],[Ref.]],4),RIGHT(Tabela1[[#This Row],[Ref.]],2),1),"")</f>
        <v/>
      </c>
      <c r="AD139" s="4" t="str">
        <f t="shared" si="13"/>
        <v/>
      </c>
      <c r="AE139" s="5" t="str">
        <f t="shared" si="14"/>
        <v/>
      </c>
      <c r="AF139" s="4"/>
      <c r="AG139" s="6" t="str">
        <f t="shared" si="15"/>
        <v/>
      </c>
    </row>
    <row r="140" spans="1:33" ht="15.75" customHeight="1" x14ac:dyDescent="0.2">
      <c r="A140" s="35"/>
      <c r="B140" s="44"/>
      <c r="C140" s="35"/>
      <c r="D140" s="35"/>
      <c r="E140" s="48"/>
      <c r="F140" s="45"/>
      <c r="G140" s="38"/>
      <c r="H140" s="45"/>
      <c r="I140" s="45"/>
      <c r="L140" s="19"/>
      <c r="M140" s="2"/>
      <c r="N140" s="25"/>
      <c r="O140" s="25"/>
      <c r="P140" s="29"/>
      <c r="Q140" s="3"/>
      <c r="R140" s="6" t="str">
        <f>IF($H140&lt;&gt;"",RIGHT(Tabela1[[#This Row],[Ref.]],2),"")</f>
        <v/>
      </c>
      <c r="S140" s="6" t="str">
        <f t="shared" si="12"/>
        <v/>
      </c>
      <c r="T140" s="4" t="str">
        <f>IF($H140&lt;&gt;"",_xlfn.XLOOKUP(H140,Naturezas!B:B,Naturezas!E:E,"",0,1),"")</f>
        <v/>
      </c>
      <c r="U140" s="4" t="str">
        <f>IF($H140&lt;&gt;"",_xlfn.XLOOKUP($H140,Naturezas!B:B,Naturezas!D:D,"",0,1),"")</f>
        <v/>
      </c>
      <c r="V140" s="5" t="str">
        <f>IF(H140&lt;&gt;"",IF(OR(H140=Naturezas!$B$3,H140=Naturezas!$B$4,H140=Naturezas!$B$5,H140=Naturezas!$B$17,H140=Naturezas!$B$18,H140=Naturezas!$B$19),G140,-G140),"")</f>
        <v/>
      </c>
      <c r="W140" s="4" t="str">
        <f t="shared" si="16"/>
        <v/>
      </c>
      <c r="X140" s="4"/>
      <c r="Y140" s="4" t="str">
        <f t="shared" si="17"/>
        <v/>
      </c>
      <c r="Z140" s="6" t="str">
        <f>IF(H140&lt;&gt;"",Tabela1[[#This Row],[Iniciais]],"")</f>
        <v/>
      </c>
      <c r="AB140" s="6" t="str">
        <f>IF($H140&lt;&gt;"",RIGHT(Tabela1[[#This Row],[Ref.]],2),"")</f>
        <v/>
      </c>
      <c r="AC140" s="37" t="str">
        <f>IF($H140&lt;&gt;"",DATE(LEFT(Tabela1[[#This Row],[Ref.]],4),RIGHT(Tabela1[[#This Row],[Ref.]],2),1),"")</f>
        <v/>
      </c>
      <c r="AD140" s="4" t="str">
        <f t="shared" si="13"/>
        <v/>
      </c>
      <c r="AE140" s="5" t="str">
        <f t="shared" si="14"/>
        <v/>
      </c>
      <c r="AF140" s="4"/>
      <c r="AG140" s="6" t="str">
        <f t="shared" si="15"/>
        <v/>
      </c>
    </row>
    <row r="141" spans="1:33" ht="15.75" customHeight="1" x14ac:dyDescent="0.2">
      <c r="A141" s="35"/>
      <c r="B141" s="44"/>
      <c r="C141" s="35"/>
      <c r="D141" s="35"/>
      <c r="E141" s="48"/>
      <c r="F141" s="45"/>
      <c r="G141" s="38"/>
      <c r="H141" s="45"/>
      <c r="I141" s="45"/>
      <c r="L141" s="19"/>
      <c r="M141" s="2"/>
      <c r="N141" s="25"/>
      <c r="O141" s="25"/>
      <c r="P141" s="29"/>
      <c r="Q141" s="3"/>
      <c r="R141" s="6" t="str">
        <f>IF($H141&lt;&gt;"",RIGHT(Tabela1[[#This Row],[Ref.]],2),"")</f>
        <v/>
      </c>
      <c r="S141" s="6" t="str">
        <f t="shared" si="12"/>
        <v/>
      </c>
      <c r="T141" s="4" t="str">
        <f>IF($H141&lt;&gt;"",_xlfn.XLOOKUP(H141,Naturezas!B:B,Naturezas!E:E,"",0,1),"")</f>
        <v/>
      </c>
      <c r="U141" s="4" t="str">
        <f>IF($H141&lt;&gt;"",_xlfn.XLOOKUP($H141,Naturezas!B:B,Naturezas!D:D,"",0,1),"")</f>
        <v/>
      </c>
      <c r="V141" s="5" t="str">
        <f>IF(H141&lt;&gt;"",IF(OR(H141=Naturezas!$B$3,H141=Naturezas!$B$4,H141=Naturezas!$B$5,H141=Naturezas!$B$17,H141=Naturezas!$B$18,H141=Naturezas!$B$19),G141,-G141),"")</f>
        <v/>
      </c>
      <c r="W141" s="4" t="str">
        <f t="shared" si="16"/>
        <v/>
      </c>
      <c r="X141" s="4"/>
      <c r="Y141" s="4" t="str">
        <f t="shared" si="17"/>
        <v/>
      </c>
      <c r="Z141" s="6" t="str">
        <f>IF(H141&lt;&gt;"",Tabela1[[#This Row],[Iniciais]],"")</f>
        <v/>
      </c>
      <c r="AB141" s="6" t="str">
        <f>IF($H141&lt;&gt;"",RIGHT(Tabela1[[#This Row],[Ref.]],2),"")</f>
        <v/>
      </c>
      <c r="AC141" s="37" t="str">
        <f>IF($H141&lt;&gt;"",DATE(LEFT(Tabela1[[#This Row],[Ref.]],4),RIGHT(Tabela1[[#This Row],[Ref.]],2),1),"")</f>
        <v/>
      </c>
      <c r="AD141" s="4" t="str">
        <f t="shared" si="13"/>
        <v/>
      </c>
      <c r="AE141" s="5" t="str">
        <f t="shared" si="14"/>
        <v/>
      </c>
      <c r="AF141" s="4"/>
      <c r="AG141" s="6" t="str">
        <f t="shared" si="15"/>
        <v/>
      </c>
    </row>
    <row r="142" spans="1:33" ht="15.75" customHeight="1" x14ac:dyDescent="0.2">
      <c r="A142" s="35"/>
      <c r="B142" s="44"/>
      <c r="C142" s="35"/>
      <c r="D142" s="35"/>
      <c r="E142" s="48"/>
      <c r="F142" s="45"/>
      <c r="G142" s="38"/>
      <c r="H142" s="45"/>
      <c r="I142" s="45"/>
      <c r="L142" s="19"/>
      <c r="M142" s="2"/>
      <c r="N142" s="25"/>
      <c r="O142" s="25"/>
      <c r="P142" s="29"/>
      <c r="Q142" s="3"/>
      <c r="R142" s="6" t="str">
        <f>IF($H142&lt;&gt;"",RIGHT(Tabela1[[#This Row],[Ref.]],2),"")</f>
        <v/>
      </c>
      <c r="S142" s="6" t="str">
        <f t="shared" si="12"/>
        <v/>
      </c>
      <c r="T142" s="4" t="str">
        <f>IF($H142&lt;&gt;"",_xlfn.XLOOKUP(H142,Naturezas!B:B,Naturezas!E:E,"",0,1),"")</f>
        <v/>
      </c>
      <c r="U142" s="4" t="str">
        <f>IF($H142&lt;&gt;"",_xlfn.XLOOKUP($H142,Naturezas!B:B,Naturezas!D:D,"",0,1),"")</f>
        <v/>
      </c>
      <c r="V142" s="5" t="str">
        <f>IF(H142&lt;&gt;"",IF(OR(H142=Naturezas!$B$3,H142=Naturezas!$B$4,H142=Naturezas!$B$5,H142=Naturezas!$B$17,H142=Naturezas!$B$18,H142=Naturezas!$B$19),G142,-G142),"")</f>
        <v/>
      </c>
      <c r="W142" s="4" t="str">
        <f t="shared" si="16"/>
        <v/>
      </c>
      <c r="X142" s="4"/>
      <c r="Y142" s="4" t="str">
        <f t="shared" si="17"/>
        <v/>
      </c>
      <c r="Z142" s="6" t="str">
        <f>IF(H142&lt;&gt;"",Tabela1[[#This Row],[Iniciais]],"")</f>
        <v/>
      </c>
      <c r="AB142" s="6" t="str">
        <f>IF($H142&lt;&gt;"",RIGHT(Tabela1[[#This Row],[Ref.]],2),"")</f>
        <v/>
      </c>
      <c r="AC142" s="37" t="str">
        <f>IF($H142&lt;&gt;"",DATE(LEFT(Tabela1[[#This Row],[Ref.]],4),RIGHT(Tabela1[[#This Row],[Ref.]],2),1),"")</f>
        <v/>
      </c>
      <c r="AD142" s="4" t="str">
        <f t="shared" si="13"/>
        <v/>
      </c>
      <c r="AE142" s="5" t="str">
        <f t="shared" si="14"/>
        <v/>
      </c>
      <c r="AF142" s="4"/>
      <c r="AG142" s="6" t="str">
        <f t="shared" si="15"/>
        <v/>
      </c>
    </row>
    <row r="143" spans="1:33" ht="15.75" customHeight="1" x14ac:dyDescent="0.2">
      <c r="A143" s="35"/>
      <c r="B143" s="44"/>
      <c r="C143" s="35"/>
      <c r="D143" s="35"/>
      <c r="E143" s="48"/>
      <c r="F143" s="45"/>
      <c r="G143" s="38"/>
      <c r="H143" s="45"/>
      <c r="I143" s="45"/>
      <c r="L143" s="19"/>
      <c r="M143" s="2"/>
      <c r="N143" s="25"/>
      <c r="O143" s="25"/>
      <c r="P143" s="29"/>
      <c r="Q143" s="3"/>
      <c r="R143" s="6" t="str">
        <f>IF($H143&lt;&gt;"",RIGHT(Tabela1[[#This Row],[Ref.]],2),"")</f>
        <v/>
      </c>
      <c r="S143" s="6" t="str">
        <f t="shared" si="12"/>
        <v/>
      </c>
      <c r="T143" s="4" t="str">
        <f>IF($H143&lt;&gt;"",_xlfn.XLOOKUP(H143,Naturezas!B:B,Naturezas!E:E,"",0,1),"")</f>
        <v/>
      </c>
      <c r="U143" s="4" t="str">
        <f>IF($H143&lt;&gt;"",_xlfn.XLOOKUP($H143,Naturezas!B:B,Naturezas!D:D,"",0,1),"")</f>
        <v/>
      </c>
      <c r="V143" s="5" t="str">
        <f>IF(H143&lt;&gt;"",IF(OR(H143=Naturezas!$B$3,H143=Naturezas!$B$4,H143=Naturezas!$B$5,H143=Naturezas!$B$17,H143=Naturezas!$B$18,H143=Naturezas!$B$19),G143,-G143),"")</f>
        <v/>
      </c>
      <c r="W143" s="4" t="str">
        <f t="shared" si="16"/>
        <v/>
      </c>
      <c r="X143" s="4"/>
      <c r="Y143" s="4" t="str">
        <f t="shared" si="17"/>
        <v/>
      </c>
      <c r="Z143" s="6" t="str">
        <f>IF(H143&lt;&gt;"",Tabela1[[#This Row],[Iniciais]],"")</f>
        <v/>
      </c>
      <c r="AB143" s="6" t="str">
        <f>IF($H143&lt;&gt;"",RIGHT(Tabela1[[#This Row],[Ref.]],2),"")</f>
        <v/>
      </c>
      <c r="AC143" s="37" t="str">
        <f>IF($H143&lt;&gt;"",DATE(LEFT(Tabela1[[#This Row],[Ref.]],4),RIGHT(Tabela1[[#This Row],[Ref.]],2),1),"")</f>
        <v/>
      </c>
      <c r="AD143" s="4" t="str">
        <f t="shared" si="13"/>
        <v/>
      </c>
      <c r="AE143" s="5" t="str">
        <f t="shared" si="14"/>
        <v/>
      </c>
      <c r="AF143" s="4"/>
      <c r="AG143" s="6" t="str">
        <f t="shared" si="15"/>
        <v/>
      </c>
    </row>
    <row r="144" spans="1:33" ht="15.75" customHeight="1" x14ac:dyDescent="0.2">
      <c r="A144" s="35"/>
      <c r="B144" s="44"/>
      <c r="C144" s="35"/>
      <c r="D144" s="35"/>
      <c r="E144" s="48"/>
      <c r="F144" s="45"/>
      <c r="G144" s="38"/>
      <c r="H144" s="45"/>
      <c r="I144" s="45"/>
      <c r="L144" s="19"/>
      <c r="M144" s="2"/>
      <c r="N144" s="25"/>
      <c r="O144" s="25"/>
      <c r="P144" s="29"/>
      <c r="Q144" s="3"/>
      <c r="R144" s="6" t="str">
        <f>IF($H144&lt;&gt;"",RIGHT(Tabela1[[#This Row],[Ref.]],2),"")</f>
        <v/>
      </c>
      <c r="S144" s="6" t="str">
        <f t="shared" si="12"/>
        <v/>
      </c>
      <c r="T144" s="4" t="str">
        <f>IF($H144&lt;&gt;"",_xlfn.XLOOKUP(H144,Naturezas!B:B,Naturezas!E:E,"",0,1),"")</f>
        <v/>
      </c>
      <c r="U144" s="4" t="str">
        <f>IF($H144&lt;&gt;"",_xlfn.XLOOKUP($H144,Naturezas!B:B,Naturezas!D:D,"",0,1),"")</f>
        <v/>
      </c>
      <c r="V144" s="5" t="str">
        <f>IF(H144&lt;&gt;"",IF(OR(H144=Naturezas!$B$3,H144=Naturezas!$B$4,H144=Naturezas!$B$5,H144=Naturezas!$B$17,H144=Naturezas!$B$18,H144=Naturezas!$B$19),G144,-G144),"")</f>
        <v/>
      </c>
      <c r="W144" s="4" t="str">
        <f t="shared" si="16"/>
        <v/>
      </c>
      <c r="X144" s="4"/>
      <c r="Y144" s="4" t="str">
        <f t="shared" si="17"/>
        <v/>
      </c>
      <c r="Z144" s="6" t="str">
        <f>IF(H144&lt;&gt;"",Tabela1[[#This Row],[Iniciais]],"")</f>
        <v/>
      </c>
      <c r="AB144" s="6" t="str">
        <f>IF($H144&lt;&gt;"",RIGHT(Tabela1[[#This Row],[Ref.]],2),"")</f>
        <v/>
      </c>
      <c r="AC144" s="37" t="str">
        <f>IF($H144&lt;&gt;"",DATE(LEFT(Tabela1[[#This Row],[Ref.]],4),RIGHT(Tabela1[[#This Row],[Ref.]],2),1),"")</f>
        <v/>
      </c>
      <c r="AD144" s="4" t="str">
        <f t="shared" si="13"/>
        <v/>
      </c>
      <c r="AE144" s="5" t="str">
        <f t="shared" si="14"/>
        <v/>
      </c>
      <c r="AF144" s="4"/>
      <c r="AG144" s="6" t="str">
        <f t="shared" si="15"/>
        <v/>
      </c>
    </row>
    <row r="145" spans="1:33" ht="15.75" customHeight="1" x14ac:dyDescent="0.2">
      <c r="A145" s="35"/>
      <c r="B145" s="44"/>
      <c r="C145" s="35"/>
      <c r="D145" s="35"/>
      <c r="E145" s="48"/>
      <c r="F145" s="45"/>
      <c r="G145" s="38"/>
      <c r="H145" s="45"/>
      <c r="I145" s="45"/>
      <c r="L145" s="19"/>
      <c r="M145" s="2"/>
      <c r="N145" s="25"/>
      <c r="O145" s="25"/>
      <c r="P145" s="29"/>
      <c r="Q145" s="3"/>
      <c r="R145" s="6" t="str">
        <f>IF($H145&lt;&gt;"",RIGHT(Tabela1[[#This Row],[Ref.]],2),"")</f>
        <v/>
      </c>
      <c r="S145" s="6" t="str">
        <f t="shared" si="12"/>
        <v/>
      </c>
      <c r="T145" s="4" t="str">
        <f>IF($H145&lt;&gt;"",_xlfn.XLOOKUP(H145,Naturezas!B:B,Naturezas!E:E,"",0,1),"")</f>
        <v/>
      </c>
      <c r="U145" s="4" t="str">
        <f>IF($H145&lt;&gt;"",_xlfn.XLOOKUP($H145,Naturezas!B:B,Naturezas!D:D,"",0,1),"")</f>
        <v/>
      </c>
      <c r="V145" s="5" t="str">
        <f>IF(H145&lt;&gt;"",IF(OR(H145=Naturezas!$B$3,H145=Naturezas!$B$4,H145=Naturezas!$B$5,H145=Naturezas!$B$17,H145=Naturezas!$B$18,H145=Naturezas!$B$19),G145,-G145),"")</f>
        <v/>
      </c>
      <c r="W145" s="4" t="str">
        <f t="shared" si="16"/>
        <v/>
      </c>
      <c r="X145" s="4"/>
      <c r="Y145" s="4" t="str">
        <f t="shared" si="17"/>
        <v/>
      </c>
      <c r="Z145" s="6" t="str">
        <f>IF(H145&lt;&gt;"",Tabela1[[#This Row],[Iniciais]],"")</f>
        <v/>
      </c>
      <c r="AB145" s="6" t="str">
        <f>IF($H145&lt;&gt;"",RIGHT(Tabela1[[#This Row],[Ref.]],2),"")</f>
        <v/>
      </c>
      <c r="AC145" s="37" t="str">
        <f>IF($H145&lt;&gt;"",DATE(LEFT(Tabela1[[#This Row],[Ref.]],4),RIGHT(Tabela1[[#This Row],[Ref.]],2),1),"")</f>
        <v/>
      </c>
      <c r="AD145" s="4" t="str">
        <f t="shared" si="13"/>
        <v/>
      </c>
      <c r="AE145" s="5" t="str">
        <f t="shared" si="14"/>
        <v/>
      </c>
      <c r="AF145" s="4"/>
      <c r="AG145" s="6" t="str">
        <f t="shared" si="15"/>
        <v/>
      </c>
    </row>
    <row r="146" spans="1:33" ht="15.75" customHeight="1" x14ac:dyDescent="0.2">
      <c r="A146" s="35"/>
      <c r="B146" s="44"/>
      <c r="C146" s="35"/>
      <c r="D146" s="35"/>
      <c r="E146" s="48"/>
      <c r="F146" s="45"/>
      <c r="G146" s="38"/>
      <c r="H146" s="45"/>
      <c r="I146" s="45"/>
      <c r="L146" s="19"/>
      <c r="M146" s="2"/>
      <c r="N146" s="25"/>
      <c r="O146" s="25"/>
      <c r="P146" s="29"/>
      <c r="Q146" s="3"/>
      <c r="R146" s="6" t="str">
        <f>IF($H146&lt;&gt;"",RIGHT(Tabela1[[#This Row],[Ref.]],2),"")</f>
        <v/>
      </c>
      <c r="S146" s="6" t="str">
        <f t="shared" si="12"/>
        <v/>
      </c>
      <c r="T146" s="4" t="str">
        <f>IF($H146&lt;&gt;"",_xlfn.XLOOKUP(H146,Naturezas!B:B,Naturezas!E:E,"",0,1),"")</f>
        <v/>
      </c>
      <c r="U146" s="4" t="str">
        <f>IF($H146&lt;&gt;"",_xlfn.XLOOKUP($H146,Naturezas!B:B,Naturezas!D:D,"",0,1),"")</f>
        <v/>
      </c>
      <c r="V146" s="5" t="str">
        <f>IF(H146&lt;&gt;"",IF(OR(H146=Naturezas!$B$3,H146=Naturezas!$B$4,H146=Naturezas!$B$5,H146=Naturezas!$B$17,H146=Naturezas!$B$18,H146=Naturezas!$B$19),G146,-G146),"")</f>
        <v/>
      </c>
      <c r="W146" s="4" t="str">
        <f t="shared" si="16"/>
        <v/>
      </c>
      <c r="X146" s="4"/>
      <c r="Y146" s="4" t="str">
        <f t="shared" si="17"/>
        <v/>
      </c>
      <c r="Z146" s="6" t="str">
        <f>IF(H146&lt;&gt;"",Tabela1[[#This Row],[Iniciais]],"")</f>
        <v/>
      </c>
      <c r="AB146" s="6" t="str">
        <f>IF($H146&lt;&gt;"",RIGHT(Tabela1[[#This Row],[Ref.]],2),"")</f>
        <v/>
      </c>
      <c r="AC146" s="37" t="str">
        <f>IF($H146&lt;&gt;"",DATE(LEFT(Tabela1[[#This Row],[Ref.]],4),RIGHT(Tabela1[[#This Row],[Ref.]],2),1),"")</f>
        <v/>
      </c>
      <c r="AD146" s="4" t="str">
        <f t="shared" si="13"/>
        <v/>
      </c>
      <c r="AE146" s="5" t="str">
        <f t="shared" si="14"/>
        <v/>
      </c>
      <c r="AF146" s="4"/>
      <c r="AG146" s="6" t="str">
        <f t="shared" si="15"/>
        <v/>
      </c>
    </row>
    <row r="147" spans="1:33" ht="15.75" customHeight="1" x14ac:dyDescent="0.2">
      <c r="A147" s="35"/>
      <c r="B147" s="44"/>
      <c r="C147" s="35"/>
      <c r="D147" s="35"/>
      <c r="E147" s="48"/>
      <c r="F147" s="45"/>
      <c r="G147" s="38"/>
      <c r="H147" s="45"/>
      <c r="I147" s="45"/>
      <c r="L147" s="19"/>
      <c r="M147" s="2"/>
      <c r="N147" s="25"/>
      <c r="O147" s="25"/>
      <c r="P147" s="29"/>
      <c r="Q147" s="3"/>
      <c r="R147" s="6" t="str">
        <f>IF($H147&lt;&gt;"",RIGHT(Tabela1[[#This Row],[Ref.]],2),"")</f>
        <v/>
      </c>
      <c r="S147" s="6" t="str">
        <f t="shared" si="12"/>
        <v/>
      </c>
      <c r="T147" s="4" t="str">
        <f>IF($H147&lt;&gt;"",_xlfn.XLOOKUP(H147,Naturezas!B:B,Naturezas!E:E,"",0,1),"")</f>
        <v/>
      </c>
      <c r="U147" s="4" t="str">
        <f>IF($H147&lt;&gt;"",_xlfn.XLOOKUP($H147,Naturezas!B:B,Naturezas!D:D,"",0,1),"")</f>
        <v/>
      </c>
      <c r="V147" s="5" t="str">
        <f>IF(H147&lt;&gt;"",IF(OR(H147=Naturezas!$B$3,H147=Naturezas!$B$4,H147=Naturezas!$B$5,H147=Naturezas!$B$17,H147=Naturezas!$B$18,H147=Naturezas!$B$19),G147,-G147),"")</f>
        <v/>
      </c>
      <c r="W147" s="4" t="str">
        <f t="shared" si="16"/>
        <v/>
      </c>
      <c r="X147" s="4"/>
      <c r="Y147" s="4" t="str">
        <f t="shared" si="17"/>
        <v/>
      </c>
      <c r="Z147" s="6" t="str">
        <f>IF(H147&lt;&gt;"",Tabela1[[#This Row],[Iniciais]],"")</f>
        <v/>
      </c>
      <c r="AB147" s="6" t="str">
        <f>IF($H147&lt;&gt;"",RIGHT(Tabela1[[#This Row],[Ref.]],2),"")</f>
        <v/>
      </c>
      <c r="AC147" s="37" t="str">
        <f>IF($H147&lt;&gt;"",DATE(LEFT(Tabela1[[#This Row],[Ref.]],4),RIGHT(Tabela1[[#This Row],[Ref.]],2),1),"")</f>
        <v/>
      </c>
      <c r="AD147" s="4" t="str">
        <f t="shared" si="13"/>
        <v/>
      </c>
      <c r="AE147" s="5" t="str">
        <f t="shared" si="14"/>
        <v/>
      </c>
      <c r="AF147" s="4"/>
      <c r="AG147" s="6" t="str">
        <f t="shared" si="15"/>
        <v/>
      </c>
    </row>
    <row r="148" spans="1:33" ht="15.75" customHeight="1" x14ac:dyDescent="0.2">
      <c r="A148" s="35"/>
      <c r="B148" s="44"/>
      <c r="C148" s="35"/>
      <c r="D148" s="35"/>
      <c r="E148" s="48"/>
      <c r="F148" s="45"/>
      <c r="G148" s="38"/>
      <c r="H148" s="45"/>
      <c r="I148" s="45"/>
      <c r="L148" s="19"/>
      <c r="M148" s="2"/>
      <c r="N148" s="25"/>
      <c r="O148" s="25"/>
      <c r="P148" s="29"/>
      <c r="Q148" s="3"/>
      <c r="R148" s="6" t="str">
        <f>IF($H148&lt;&gt;"",RIGHT(Tabela1[[#This Row],[Ref.]],2),"")</f>
        <v/>
      </c>
      <c r="S148" s="6" t="str">
        <f t="shared" si="12"/>
        <v/>
      </c>
      <c r="T148" s="4" t="str">
        <f>IF($H148&lt;&gt;"",_xlfn.XLOOKUP(H148,Naturezas!B:B,Naturezas!E:E,"",0,1),"")</f>
        <v/>
      </c>
      <c r="U148" s="4" t="str">
        <f>IF($H148&lt;&gt;"",_xlfn.XLOOKUP($H148,Naturezas!B:B,Naturezas!D:D,"",0,1),"")</f>
        <v/>
      </c>
      <c r="V148" s="5" t="str">
        <f>IF(H148&lt;&gt;"",IF(OR(H148=Naturezas!$B$3,H148=Naturezas!$B$4,H148=Naturezas!$B$5,H148=Naturezas!$B$17,H148=Naturezas!$B$18,H148=Naturezas!$B$19),G148,-G148),"")</f>
        <v/>
      </c>
      <c r="W148" s="4" t="str">
        <f t="shared" si="16"/>
        <v/>
      </c>
      <c r="X148" s="4"/>
      <c r="Y148" s="4" t="str">
        <f t="shared" si="17"/>
        <v/>
      </c>
      <c r="Z148" s="6" t="str">
        <f>IF(H148&lt;&gt;"",Tabela1[[#This Row],[Iniciais]],"")</f>
        <v/>
      </c>
      <c r="AB148" s="6" t="str">
        <f>IF($H148&lt;&gt;"",RIGHT(Tabela1[[#This Row],[Ref.]],2),"")</f>
        <v/>
      </c>
      <c r="AC148" s="37" t="str">
        <f>IF($H148&lt;&gt;"",DATE(LEFT(Tabela1[[#This Row],[Ref.]],4),RIGHT(Tabela1[[#This Row],[Ref.]],2),1),"")</f>
        <v/>
      </c>
      <c r="AD148" s="4" t="str">
        <f t="shared" si="13"/>
        <v/>
      </c>
      <c r="AE148" s="5" t="str">
        <f t="shared" si="14"/>
        <v/>
      </c>
      <c r="AF148" s="4"/>
      <c r="AG148" s="6" t="str">
        <f t="shared" si="15"/>
        <v/>
      </c>
    </row>
    <row r="149" spans="1:33" ht="15.75" customHeight="1" x14ac:dyDescent="0.2">
      <c r="A149" s="35"/>
      <c r="B149" s="44"/>
      <c r="C149" s="35"/>
      <c r="D149" s="35"/>
      <c r="E149" s="48"/>
      <c r="F149" s="45"/>
      <c r="G149" s="38"/>
      <c r="H149" s="45"/>
      <c r="I149" s="45"/>
      <c r="L149" s="19"/>
      <c r="M149" s="2"/>
      <c r="N149" s="25"/>
      <c r="O149" s="25"/>
      <c r="P149" s="29"/>
      <c r="Q149" s="3"/>
      <c r="R149" s="6" t="str">
        <f>IF($H149&lt;&gt;"",RIGHT(Tabela1[[#This Row],[Ref.]],2),"")</f>
        <v/>
      </c>
      <c r="S149" s="6" t="str">
        <f t="shared" si="12"/>
        <v/>
      </c>
      <c r="T149" s="4" t="str">
        <f>IF($H149&lt;&gt;"",_xlfn.XLOOKUP(H149,Naturezas!B:B,Naturezas!E:E,"",0,1),"")</f>
        <v/>
      </c>
      <c r="U149" s="4" t="str">
        <f>IF($H149&lt;&gt;"",_xlfn.XLOOKUP($H149,Naturezas!B:B,Naturezas!D:D,"",0,1),"")</f>
        <v/>
      </c>
      <c r="V149" s="5" t="str">
        <f>IF(H149&lt;&gt;"",IF(OR(H149=Naturezas!$B$3,H149=Naturezas!$B$4,H149=Naturezas!$B$5,H149=Naturezas!$B$17,H149=Naturezas!$B$18,H149=Naturezas!$B$19),G149,-G149),"")</f>
        <v/>
      </c>
      <c r="W149" s="4" t="str">
        <f t="shared" si="16"/>
        <v/>
      </c>
      <c r="X149" s="4"/>
      <c r="Y149" s="4" t="str">
        <f t="shared" si="17"/>
        <v/>
      </c>
      <c r="Z149" s="6" t="str">
        <f>IF(H149&lt;&gt;"",Tabela1[[#This Row],[Iniciais]],"")</f>
        <v/>
      </c>
      <c r="AB149" s="6" t="str">
        <f>IF($H149&lt;&gt;"",RIGHT(Tabela1[[#This Row],[Ref.]],2),"")</f>
        <v/>
      </c>
      <c r="AC149" s="37" t="str">
        <f>IF($H149&lt;&gt;"",DATE(LEFT(Tabela1[[#This Row],[Ref.]],4),RIGHT(Tabela1[[#This Row],[Ref.]],2),1),"")</f>
        <v/>
      </c>
      <c r="AD149" s="4" t="str">
        <f t="shared" si="13"/>
        <v/>
      </c>
      <c r="AE149" s="5" t="str">
        <f t="shared" si="14"/>
        <v/>
      </c>
      <c r="AF149" s="4"/>
      <c r="AG149" s="6" t="str">
        <f t="shared" si="15"/>
        <v/>
      </c>
    </row>
    <row r="150" spans="1:33" ht="15.75" customHeight="1" x14ac:dyDescent="0.2">
      <c r="A150" s="35"/>
      <c r="B150" s="44"/>
      <c r="C150" s="35"/>
      <c r="D150" s="35"/>
      <c r="E150" s="48"/>
      <c r="F150" s="45"/>
      <c r="G150" s="38"/>
      <c r="H150" s="45"/>
      <c r="I150" s="45"/>
      <c r="L150" s="19"/>
      <c r="M150" s="2"/>
      <c r="N150" s="25"/>
      <c r="O150" s="25"/>
      <c r="P150" s="29"/>
      <c r="Q150" s="3"/>
      <c r="R150" s="6" t="str">
        <f>IF($H150&lt;&gt;"",RIGHT(Tabela1[[#This Row],[Ref.]],2),"")</f>
        <v/>
      </c>
      <c r="S150" s="6" t="str">
        <f t="shared" si="12"/>
        <v/>
      </c>
      <c r="T150" s="4" t="str">
        <f>IF($H150&lt;&gt;"",_xlfn.XLOOKUP(H150,Naturezas!B:B,Naturezas!E:E,"",0,1),"")</f>
        <v/>
      </c>
      <c r="U150" s="4" t="str">
        <f>IF($H150&lt;&gt;"",_xlfn.XLOOKUP($H150,Naturezas!B:B,Naturezas!D:D,"",0,1),"")</f>
        <v/>
      </c>
      <c r="V150" s="5" t="str">
        <f>IF(H150&lt;&gt;"",IF(OR(H150=Naturezas!$B$3,H150=Naturezas!$B$4,H150=Naturezas!$B$5,H150=Naturezas!$B$17,H150=Naturezas!$B$18,H150=Naturezas!$B$19),G150,-G150),"")</f>
        <v/>
      </c>
      <c r="W150" s="4" t="str">
        <f t="shared" si="16"/>
        <v/>
      </c>
      <c r="X150" s="4"/>
      <c r="Y150" s="4" t="str">
        <f t="shared" si="17"/>
        <v/>
      </c>
      <c r="Z150" s="6" t="str">
        <f>IF(H150&lt;&gt;"",Tabela1[[#This Row],[Iniciais]],"")</f>
        <v/>
      </c>
      <c r="AB150" s="6" t="str">
        <f>IF($H150&lt;&gt;"",RIGHT(Tabela1[[#This Row],[Ref.]],2),"")</f>
        <v/>
      </c>
      <c r="AC150" s="37" t="str">
        <f>IF($H150&lt;&gt;"",DATE(LEFT(Tabela1[[#This Row],[Ref.]],4),RIGHT(Tabela1[[#This Row],[Ref.]],2),1),"")</f>
        <v/>
      </c>
      <c r="AD150" s="4" t="str">
        <f t="shared" si="13"/>
        <v/>
      </c>
      <c r="AE150" s="5" t="str">
        <f t="shared" si="14"/>
        <v/>
      </c>
      <c r="AF150" s="4"/>
      <c r="AG150" s="6" t="str">
        <f t="shared" si="15"/>
        <v/>
      </c>
    </row>
    <row r="151" spans="1:33" ht="15.75" customHeight="1" x14ac:dyDescent="0.2">
      <c r="A151" s="35"/>
      <c r="B151" s="44"/>
      <c r="C151" s="35"/>
      <c r="D151" s="35"/>
      <c r="E151" s="48"/>
      <c r="F151" s="45"/>
      <c r="G151" s="38"/>
      <c r="H151" s="45"/>
      <c r="I151" s="45"/>
      <c r="L151" s="19"/>
      <c r="M151" s="2"/>
      <c r="N151" s="25"/>
      <c r="O151" s="25"/>
      <c r="P151" s="29"/>
      <c r="Q151" s="3"/>
      <c r="R151" s="6" t="str">
        <f>IF($H151&lt;&gt;"",RIGHT(Tabela1[[#This Row],[Ref.]],2),"")</f>
        <v/>
      </c>
      <c r="S151" s="6" t="str">
        <f t="shared" si="12"/>
        <v/>
      </c>
      <c r="T151" s="4" t="str">
        <f>IF($H151&lt;&gt;"",_xlfn.XLOOKUP(H151,Naturezas!B:B,Naturezas!E:E,"",0,1),"")</f>
        <v/>
      </c>
      <c r="U151" s="4" t="str">
        <f>IF($H151&lt;&gt;"",_xlfn.XLOOKUP($H151,Naturezas!B:B,Naturezas!D:D,"",0,1),"")</f>
        <v/>
      </c>
      <c r="V151" s="5" t="str">
        <f>IF(H151&lt;&gt;"",IF(OR(H151=Naturezas!$B$3,H151=Naturezas!$B$4,H151=Naturezas!$B$5,H151=Naturezas!$B$17,H151=Naturezas!$B$18,H151=Naturezas!$B$19),G151,-G151),"")</f>
        <v/>
      </c>
      <c r="W151" s="4" t="str">
        <f t="shared" si="16"/>
        <v/>
      </c>
      <c r="X151" s="4"/>
      <c r="Y151" s="4" t="str">
        <f t="shared" si="17"/>
        <v/>
      </c>
      <c r="Z151" s="6" t="str">
        <f>IF(H151&lt;&gt;"",Tabela1[[#This Row],[Iniciais]],"")</f>
        <v/>
      </c>
      <c r="AB151" s="6" t="str">
        <f>IF($H151&lt;&gt;"",RIGHT(Tabela1[[#This Row],[Ref.]],2),"")</f>
        <v/>
      </c>
      <c r="AC151" s="37" t="str">
        <f>IF($H151&lt;&gt;"",DATE(LEFT(Tabela1[[#This Row],[Ref.]],4),RIGHT(Tabela1[[#This Row],[Ref.]],2),1),"")</f>
        <v/>
      </c>
      <c r="AD151" s="4" t="str">
        <f t="shared" si="13"/>
        <v/>
      </c>
      <c r="AE151" s="5" t="str">
        <f t="shared" si="14"/>
        <v/>
      </c>
      <c r="AF151" s="4"/>
      <c r="AG151" s="6" t="str">
        <f t="shared" si="15"/>
        <v/>
      </c>
    </row>
    <row r="152" spans="1:33" ht="15.75" customHeight="1" x14ac:dyDescent="0.2">
      <c r="A152" s="35"/>
      <c r="B152" s="44"/>
      <c r="C152" s="35"/>
      <c r="D152" s="35"/>
      <c r="E152" s="48"/>
      <c r="F152" s="45"/>
      <c r="G152" s="38"/>
      <c r="H152" s="45"/>
      <c r="I152" s="45"/>
      <c r="L152" s="19"/>
      <c r="M152" s="2"/>
      <c r="N152" s="25"/>
      <c r="O152" s="25"/>
      <c r="P152" s="29"/>
      <c r="Q152" s="3"/>
      <c r="R152" s="6" t="str">
        <f>IF($H152&lt;&gt;"",RIGHT(Tabela1[[#This Row],[Ref.]],2),"")</f>
        <v/>
      </c>
      <c r="S152" s="6" t="str">
        <f t="shared" si="12"/>
        <v/>
      </c>
      <c r="T152" s="4" t="str">
        <f>IF($H152&lt;&gt;"",_xlfn.XLOOKUP(H152,Naturezas!B:B,Naturezas!E:E,"",0,1),"")</f>
        <v/>
      </c>
      <c r="U152" s="4" t="str">
        <f>IF($H152&lt;&gt;"",_xlfn.XLOOKUP($H152,Naturezas!B:B,Naturezas!D:D,"",0,1),"")</f>
        <v/>
      </c>
      <c r="V152" s="5" t="str">
        <f>IF(H152&lt;&gt;"",IF(OR(H152=Naturezas!$B$3,H152=Naturezas!$B$4,H152=Naturezas!$B$5,H152=Naturezas!$B$17,H152=Naturezas!$B$18,H152=Naturezas!$B$19),G152,-G152),"")</f>
        <v/>
      </c>
      <c r="W152" s="4" t="str">
        <f t="shared" si="16"/>
        <v/>
      </c>
      <c r="X152" s="4"/>
      <c r="Y152" s="4" t="str">
        <f t="shared" si="17"/>
        <v/>
      </c>
      <c r="Z152" s="6" t="str">
        <f>IF(H152&lt;&gt;"",Tabela1[[#This Row],[Iniciais]],"")</f>
        <v/>
      </c>
      <c r="AB152" s="6" t="str">
        <f>IF($H152&lt;&gt;"",RIGHT(Tabela1[[#This Row],[Ref.]],2),"")</f>
        <v/>
      </c>
      <c r="AC152" s="37" t="str">
        <f>IF($H152&lt;&gt;"",DATE(LEFT(Tabela1[[#This Row],[Ref.]],4),RIGHT(Tabela1[[#This Row],[Ref.]],2),1),"")</f>
        <v/>
      </c>
      <c r="AD152" s="4" t="str">
        <f t="shared" si="13"/>
        <v/>
      </c>
      <c r="AE152" s="5" t="str">
        <f t="shared" si="14"/>
        <v/>
      </c>
      <c r="AF152" s="4"/>
      <c r="AG152" s="6" t="str">
        <f t="shared" si="15"/>
        <v/>
      </c>
    </row>
    <row r="153" spans="1:33" ht="15.75" customHeight="1" x14ac:dyDescent="0.2">
      <c r="A153" s="35"/>
      <c r="B153" s="44"/>
      <c r="C153" s="35"/>
      <c r="D153" s="35"/>
      <c r="E153" s="48"/>
      <c r="F153" s="45"/>
      <c r="G153" s="38"/>
      <c r="H153" s="45"/>
      <c r="I153" s="45"/>
      <c r="L153" s="19"/>
      <c r="M153" s="2"/>
      <c r="N153" s="25"/>
      <c r="O153" s="25"/>
      <c r="P153" s="29"/>
      <c r="Q153" s="3"/>
      <c r="R153" s="6" t="str">
        <f>IF($H153&lt;&gt;"",RIGHT(Tabela1[[#This Row],[Ref.]],2),"")</f>
        <v/>
      </c>
      <c r="S153" s="6" t="str">
        <f t="shared" si="12"/>
        <v/>
      </c>
      <c r="T153" s="4" t="str">
        <f>IF($H153&lt;&gt;"",_xlfn.XLOOKUP(H153,Naturezas!B:B,Naturezas!E:E,"",0,1),"")</f>
        <v/>
      </c>
      <c r="U153" s="4" t="str">
        <f>IF($H153&lt;&gt;"",_xlfn.XLOOKUP($H153,Naturezas!B:B,Naturezas!D:D,"",0,1),"")</f>
        <v/>
      </c>
      <c r="V153" s="5" t="str">
        <f>IF(H153&lt;&gt;"",IF(OR(H153=Naturezas!$B$3,H153=Naturezas!$B$4,H153=Naturezas!$B$5,H153=Naturezas!$B$17,H153=Naturezas!$B$18,H153=Naturezas!$B$19),G153,-G153),"")</f>
        <v/>
      </c>
      <c r="W153" s="4" t="str">
        <f t="shared" si="16"/>
        <v/>
      </c>
      <c r="X153" s="4"/>
      <c r="Y153" s="4" t="str">
        <f t="shared" si="17"/>
        <v/>
      </c>
      <c r="Z153" s="6" t="str">
        <f>IF(H153&lt;&gt;"",Tabela1[[#This Row],[Iniciais]],"")</f>
        <v/>
      </c>
      <c r="AB153" s="6" t="str">
        <f>IF($H153&lt;&gt;"",RIGHT(Tabela1[[#This Row],[Ref.]],2),"")</f>
        <v/>
      </c>
      <c r="AC153" s="37" t="str">
        <f>IF($H153&lt;&gt;"",DATE(LEFT(Tabela1[[#This Row],[Ref.]],4),RIGHT(Tabela1[[#This Row],[Ref.]],2),1),"")</f>
        <v/>
      </c>
      <c r="AD153" s="4" t="str">
        <f t="shared" si="13"/>
        <v/>
      </c>
      <c r="AE153" s="5" t="str">
        <f t="shared" si="14"/>
        <v/>
      </c>
      <c r="AF153" s="4"/>
      <c r="AG153" s="6" t="str">
        <f t="shared" si="15"/>
        <v/>
      </c>
    </row>
    <row r="154" spans="1:33" ht="15.75" customHeight="1" x14ac:dyDescent="0.2">
      <c r="A154" s="35"/>
      <c r="B154" s="44"/>
      <c r="C154" s="35"/>
      <c r="D154" s="35"/>
      <c r="E154" s="48"/>
      <c r="F154" s="45"/>
      <c r="G154" s="38"/>
      <c r="H154" s="45"/>
      <c r="I154" s="45"/>
      <c r="L154" s="19"/>
      <c r="M154" s="2"/>
      <c r="N154" s="25"/>
      <c r="O154" s="25"/>
      <c r="P154" s="29"/>
      <c r="Q154" s="3"/>
      <c r="R154" s="6" t="str">
        <f>IF($H154&lt;&gt;"",RIGHT(Tabela1[[#This Row],[Ref.]],2),"")</f>
        <v/>
      </c>
      <c r="S154" s="6" t="str">
        <f t="shared" si="12"/>
        <v/>
      </c>
      <c r="T154" s="4" t="str">
        <f>IF($H154&lt;&gt;"",_xlfn.XLOOKUP(H154,Naturezas!B:B,Naturezas!E:E,"",0,1),"")</f>
        <v/>
      </c>
      <c r="U154" s="4" t="str">
        <f>IF($H154&lt;&gt;"",_xlfn.XLOOKUP($H154,Naturezas!B:B,Naturezas!D:D,"",0,1),"")</f>
        <v/>
      </c>
      <c r="V154" s="5" t="str">
        <f>IF(H154&lt;&gt;"",IF(OR(H154=Naturezas!$B$3,H154=Naturezas!$B$4,H154=Naturezas!$B$5,H154=Naturezas!$B$17,H154=Naturezas!$B$18,H154=Naturezas!$B$19),G154,-G154),"")</f>
        <v/>
      </c>
      <c r="W154" s="4" t="str">
        <f t="shared" si="16"/>
        <v/>
      </c>
      <c r="X154" s="4"/>
      <c r="Y154" s="4" t="str">
        <f t="shared" si="17"/>
        <v/>
      </c>
      <c r="Z154" s="6" t="str">
        <f>IF(H154&lt;&gt;"",Tabela1[[#This Row],[Iniciais]],"")</f>
        <v/>
      </c>
      <c r="AB154" s="6" t="str">
        <f>IF($H154&lt;&gt;"",RIGHT(Tabela1[[#This Row],[Ref.]],2),"")</f>
        <v/>
      </c>
      <c r="AC154" s="37" t="str">
        <f>IF($H154&lt;&gt;"",DATE(LEFT(Tabela1[[#This Row],[Ref.]],4),RIGHT(Tabela1[[#This Row],[Ref.]],2),1),"")</f>
        <v/>
      </c>
      <c r="AD154" s="4" t="str">
        <f t="shared" si="13"/>
        <v/>
      </c>
      <c r="AE154" s="5" t="str">
        <f t="shared" si="14"/>
        <v/>
      </c>
      <c r="AF154" s="4"/>
      <c r="AG154" s="6" t="str">
        <f t="shared" si="15"/>
        <v/>
      </c>
    </row>
    <row r="155" spans="1:33" ht="15.75" customHeight="1" x14ac:dyDescent="0.2">
      <c r="A155" s="35"/>
      <c r="B155" s="44"/>
      <c r="C155" s="35"/>
      <c r="D155" s="35"/>
      <c r="E155" s="48"/>
      <c r="F155" s="45"/>
      <c r="G155" s="38"/>
      <c r="H155" s="45"/>
      <c r="I155" s="45"/>
      <c r="L155" s="19"/>
      <c r="M155" s="2"/>
      <c r="N155" s="25"/>
      <c r="O155" s="25"/>
      <c r="P155" s="29"/>
      <c r="Q155" s="3"/>
      <c r="R155" s="6" t="str">
        <f>IF($H155&lt;&gt;"",RIGHT(Tabela1[[#This Row],[Ref.]],2),"")</f>
        <v/>
      </c>
      <c r="S155" s="6" t="str">
        <f t="shared" si="12"/>
        <v/>
      </c>
      <c r="T155" s="4" t="str">
        <f>IF($H155&lt;&gt;"",_xlfn.XLOOKUP(H155,Naturezas!B:B,Naturezas!E:E,"",0,1),"")</f>
        <v/>
      </c>
      <c r="U155" s="4" t="str">
        <f>IF($H155&lt;&gt;"",_xlfn.XLOOKUP($H155,Naturezas!B:B,Naturezas!D:D,"",0,1),"")</f>
        <v/>
      </c>
      <c r="V155" s="5" t="str">
        <f>IF(H155&lt;&gt;"",IF(OR(H155=Naturezas!$B$3,H155=Naturezas!$B$4,H155=Naturezas!$B$5,H155=Naturezas!$B$17,H155=Naturezas!$B$18,H155=Naturezas!$B$19),G155,-G155),"")</f>
        <v/>
      </c>
      <c r="W155" s="4" t="str">
        <f t="shared" si="16"/>
        <v/>
      </c>
      <c r="X155" s="4"/>
      <c r="Y155" s="4" t="str">
        <f t="shared" si="17"/>
        <v/>
      </c>
      <c r="Z155" s="6" t="str">
        <f>IF(H155&lt;&gt;"",Tabela1[[#This Row],[Iniciais]],"")</f>
        <v/>
      </c>
      <c r="AB155" s="6" t="str">
        <f>IF($H155&lt;&gt;"",RIGHT(Tabela1[[#This Row],[Ref.]],2),"")</f>
        <v/>
      </c>
      <c r="AC155" s="37" t="str">
        <f>IF($H155&lt;&gt;"",DATE(LEFT(Tabela1[[#This Row],[Ref.]],4),RIGHT(Tabela1[[#This Row],[Ref.]],2),1),"")</f>
        <v/>
      </c>
      <c r="AD155" s="4" t="str">
        <f t="shared" si="13"/>
        <v/>
      </c>
      <c r="AE155" s="5" t="str">
        <f t="shared" si="14"/>
        <v/>
      </c>
      <c r="AF155" s="4"/>
      <c r="AG155" s="6" t="str">
        <f t="shared" si="15"/>
        <v/>
      </c>
    </row>
    <row r="156" spans="1:33" ht="15.75" customHeight="1" x14ac:dyDescent="0.2">
      <c r="A156" s="35"/>
      <c r="B156" s="44"/>
      <c r="C156" s="35"/>
      <c r="D156" s="35"/>
      <c r="E156" s="48"/>
      <c r="F156" s="45"/>
      <c r="G156" s="38"/>
      <c r="H156" s="45"/>
      <c r="I156" s="45"/>
      <c r="L156" s="19"/>
      <c r="M156" s="2"/>
      <c r="N156" s="25"/>
      <c r="O156" s="25"/>
      <c r="P156" s="29"/>
      <c r="Q156" s="3"/>
      <c r="R156" s="6" t="str">
        <f>IF($H156&lt;&gt;"",RIGHT(Tabela1[[#This Row],[Ref.]],2),"")</f>
        <v/>
      </c>
      <c r="S156" s="6" t="str">
        <f t="shared" si="12"/>
        <v/>
      </c>
      <c r="T156" s="4" t="str">
        <f>IF($H156&lt;&gt;"",_xlfn.XLOOKUP(H156,Naturezas!B:B,Naturezas!E:E,"",0,1),"")</f>
        <v/>
      </c>
      <c r="U156" s="4" t="str">
        <f>IF($H156&lt;&gt;"",_xlfn.XLOOKUP($H156,Naturezas!B:B,Naturezas!D:D,"",0,1),"")</f>
        <v/>
      </c>
      <c r="V156" s="5" t="str">
        <f>IF(H156&lt;&gt;"",IF(OR(H156=Naturezas!$B$3,H156=Naturezas!$B$4,H156=Naturezas!$B$5,H156=Naturezas!$B$17,H156=Naturezas!$B$18,H156=Naturezas!$B$19),G156,-G156),"")</f>
        <v/>
      </c>
      <c r="W156" s="4" t="str">
        <f t="shared" si="16"/>
        <v/>
      </c>
      <c r="X156" s="4"/>
      <c r="Y156" s="4" t="str">
        <f t="shared" si="17"/>
        <v/>
      </c>
      <c r="Z156" s="6" t="str">
        <f>IF(H156&lt;&gt;"",Tabela1[[#This Row],[Iniciais]],"")</f>
        <v/>
      </c>
      <c r="AB156" s="6" t="str">
        <f>IF($H156&lt;&gt;"",RIGHT(Tabela1[[#This Row],[Ref.]],2),"")</f>
        <v/>
      </c>
      <c r="AC156" s="37" t="str">
        <f>IF($H156&lt;&gt;"",DATE(LEFT(Tabela1[[#This Row],[Ref.]],4),RIGHT(Tabela1[[#This Row],[Ref.]],2),1),"")</f>
        <v/>
      </c>
      <c r="AD156" s="4" t="str">
        <f t="shared" si="13"/>
        <v/>
      </c>
      <c r="AE156" s="5" t="str">
        <f t="shared" si="14"/>
        <v/>
      </c>
      <c r="AF156" s="4"/>
      <c r="AG156" s="6" t="str">
        <f t="shared" si="15"/>
        <v/>
      </c>
    </row>
    <row r="157" spans="1:33" ht="15.75" customHeight="1" x14ac:dyDescent="0.2">
      <c r="A157" s="35"/>
      <c r="B157" s="44"/>
      <c r="C157" s="35"/>
      <c r="D157" s="35"/>
      <c r="E157" s="48"/>
      <c r="F157" s="45"/>
      <c r="G157" s="38"/>
      <c r="H157" s="45"/>
      <c r="I157" s="45"/>
      <c r="L157" s="19"/>
      <c r="M157" s="2"/>
      <c r="N157" s="25"/>
      <c r="O157" s="25"/>
      <c r="P157" s="29"/>
      <c r="Q157" s="3"/>
      <c r="R157" s="6" t="str">
        <f>IF($H157&lt;&gt;"",RIGHT(Tabela1[[#This Row],[Ref.]],2),"")</f>
        <v/>
      </c>
      <c r="S157" s="6" t="str">
        <f t="shared" si="12"/>
        <v/>
      </c>
      <c r="T157" s="4" t="str">
        <f>IF($H157&lt;&gt;"",_xlfn.XLOOKUP(H157,Naturezas!B:B,Naturezas!E:E,"",0,1),"")</f>
        <v/>
      </c>
      <c r="U157" s="4" t="str">
        <f>IF($H157&lt;&gt;"",_xlfn.XLOOKUP($H157,Naturezas!B:B,Naturezas!D:D,"",0,1),"")</f>
        <v/>
      </c>
      <c r="V157" s="5" t="str">
        <f>IF(H157&lt;&gt;"",IF(OR(H157=Naturezas!$B$3,H157=Naturezas!$B$4,H157=Naturezas!$B$5,H157=Naturezas!$B$17,H157=Naturezas!$B$18,H157=Naturezas!$B$19),G157,-G157),"")</f>
        <v/>
      </c>
      <c r="W157" s="4" t="str">
        <f t="shared" si="16"/>
        <v/>
      </c>
      <c r="X157" s="4"/>
      <c r="Y157" s="4" t="str">
        <f t="shared" si="17"/>
        <v/>
      </c>
      <c r="Z157" s="6" t="str">
        <f>IF(H157&lt;&gt;"",Tabela1[[#This Row],[Iniciais]],"")</f>
        <v/>
      </c>
      <c r="AB157" s="6" t="str">
        <f>IF($H157&lt;&gt;"",RIGHT(Tabela1[[#This Row],[Ref.]],2),"")</f>
        <v/>
      </c>
      <c r="AC157" s="37" t="str">
        <f>IF($H157&lt;&gt;"",DATE(LEFT(Tabela1[[#This Row],[Ref.]],4),RIGHT(Tabela1[[#This Row],[Ref.]],2),1),"")</f>
        <v/>
      </c>
      <c r="AD157" s="4" t="str">
        <f t="shared" si="13"/>
        <v/>
      </c>
      <c r="AE157" s="5" t="str">
        <f t="shared" si="14"/>
        <v/>
      </c>
      <c r="AF157" s="4"/>
      <c r="AG157" s="6" t="str">
        <f t="shared" si="15"/>
        <v/>
      </c>
    </row>
    <row r="158" spans="1:33" ht="15.75" customHeight="1" x14ac:dyDescent="0.2">
      <c r="A158" s="35"/>
      <c r="B158" s="44"/>
      <c r="C158" s="35"/>
      <c r="D158" s="35"/>
      <c r="E158" s="48"/>
      <c r="F158" s="45"/>
      <c r="G158" s="38"/>
      <c r="H158" s="45"/>
      <c r="I158" s="45"/>
      <c r="L158" s="19"/>
      <c r="M158" s="2"/>
      <c r="N158" s="25"/>
      <c r="O158" s="25"/>
      <c r="P158" s="29"/>
      <c r="Q158" s="3"/>
      <c r="R158" s="6" t="str">
        <f>IF($H158&lt;&gt;"",RIGHT(Tabela1[[#This Row],[Ref.]],2),"")</f>
        <v/>
      </c>
      <c r="S158" s="6" t="str">
        <f t="shared" si="12"/>
        <v/>
      </c>
      <c r="T158" s="4" t="str">
        <f>IF($H158&lt;&gt;"",_xlfn.XLOOKUP(H158,Naturezas!B:B,Naturezas!E:E,"",0,1),"")</f>
        <v/>
      </c>
      <c r="U158" s="4" t="str">
        <f>IF($H158&lt;&gt;"",_xlfn.XLOOKUP($H158,Naturezas!B:B,Naturezas!D:D,"",0,1),"")</f>
        <v/>
      </c>
      <c r="V158" s="5" t="str">
        <f>IF(H158&lt;&gt;"",IF(OR(H158=Naturezas!$B$3,H158=Naturezas!$B$4,H158=Naturezas!$B$5,H158=Naturezas!$B$17,H158=Naturezas!$B$18,H158=Naturezas!$B$19),G158,-G158),"")</f>
        <v/>
      </c>
      <c r="W158" s="4" t="str">
        <f t="shared" si="16"/>
        <v/>
      </c>
      <c r="X158" s="4"/>
      <c r="Y158" s="4" t="str">
        <f t="shared" si="17"/>
        <v/>
      </c>
      <c r="Z158" s="6" t="str">
        <f>IF(H158&lt;&gt;"",Tabela1[[#This Row],[Iniciais]],"")</f>
        <v/>
      </c>
      <c r="AB158" s="6" t="str">
        <f>IF($H158&lt;&gt;"",RIGHT(Tabela1[[#This Row],[Ref.]],2),"")</f>
        <v/>
      </c>
      <c r="AC158" s="37" t="str">
        <f>IF($H158&lt;&gt;"",DATE(LEFT(Tabela1[[#This Row],[Ref.]],4),RIGHT(Tabela1[[#This Row],[Ref.]],2),1),"")</f>
        <v/>
      </c>
      <c r="AD158" s="4" t="str">
        <f t="shared" si="13"/>
        <v/>
      </c>
      <c r="AE158" s="5" t="str">
        <f t="shared" si="14"/>
        <v/>
      </c>
      <c r="AF158" s="4"/>
      <c r="AG158" s="6" t="str">
        <f t="shared" si="15"/>
        <v/>
      </c>
    </row>
    <row r="159" spans="1:33" ht="15.75" customHeight="1" x14ac:dyDescent="0.2">
      <c r="A159" s="35"/>
      <c r="B159" s="44"/>
      <c r="C159" s="35"/>
      <c r="D159" s="35"/>
      <c r="E159" s="48"/>
      <c r="F159" s="45"/>
      <c r="G159" s="38"/>
      <c r="H159" s="45"/>
      <c r="I159" s="45"/>
      <c r="L159" s="19"/>
      <c r="M159" s="2"/>
      <c r="N159" s="25"/>
      <c r="O159" s="25"/>
      <c r="P159" s="29"/>
      <c r="Q159" s="3"/>
      <c r="R159" s="6" t="str">
        <f>IF($H159&lt;&gt;"",RIGHT(Tabela1[[#This Row],[Ref.]],2),"")</f>
        <v/>
      </c>
      <c r="S159" s="6" t="str">
        <f t="shared" si="12"/>
        <v/>
      </c>
      <c r="T159" s="4" t="str">
        <f>IF($H159&lt;&gt;"",_xlfn.XLOOKUP(H159,Naturezas!B:B,Naturezas!E:E,"",0,1),"")</f>
        <v/>
      </c>
      <c r="U159" s="4" t="str">
        <f>IF($H159&lt;&gt;"",_xlfn.XLOOKUP($H159,Naturezas!B:B,Naturezas!D:D,"",0,1),"")</f>
        <v/>
      </c>
      <c r="V159" s="5" t="str">
        <f>IF(H159&lt;&gt;"",IF(OR(H159=Naturezas!$B$3,H159=Naturezas!$B$4,H159=Naturezas!$B$5,H159=Naturezas!$B$17,H159=Naturezas!$B$18,H159=Naturezas!$B$19),G159,-G159),"")</f>
        <v/>
      </c>
      <c r="W159" s="4" t="str">
        <f t="shared" si="16"/>
        <v/>
      </c>
      <c r="X159" s="4"/>
      <c r="Y159" s="4" t="str">
        <f t="shared" si="17"/>
        <v/>
      </c>
      <c r="Z159" s="6" t="str">
        <f>IF(H159&lt;&gt;"",Tabela1[[#This Row],[Iniciais]],"")</f>
        <v/>
      </c>
      <c r="AB159" s="6" t="str">
        <f>IF($H159&lt;&gt;"",RIGHT(Tabela1[[#This Row],[Ref.]],2),"")</f>
        <v/>
      </c>
      <c r="AC159" s="37" t="str">
        <f>IF($H159&lt;&gt;"",DATE(LEFT(Tabela1[[#This Row],[Ref.]],4),RIGHT(Tabela1[[#This Row],[Ref.]],2),1),"")</f>
        <v/>
      </c>
      <c r="AD159" s="4" t="str">
        <f t="shared" si="13"/>
        <v/>
      </c>
      <c r="AE159" s="5" t="str">
        <f t="shared" si="14"/>
        <v/>
      </c>
      <c r="AF159" s="4"/>
      <c r="AG159" s="6" t="str">
        <f t="shared" si="15"/>
        <v/>
      </c>
    </row>
    <row r="160" spans="1:33" ht="15.75" customHeight="1" x14ac:dyDescent="0.2">
      <c r="A160" s="35"/>
      <c r="B160" s="44"/>
      <c r="C160" s="35"/>
      <c r="D160" s="35"/>
      <c r="E160" s="48"/>
      <c r="F160" s="45"/>
      <c r="G160" s="38"/>
      <c r="H160" s="45"/>
      <c r="I160" s="45"/>
      <c r="L160" s="19"/>
      <c r="M160" s="2"/>
      <c r="N160" s="25"/>
      <c r="O160" s="25"/>
      <c r="P160" s="29"/>
      <c r="Q160" s="3"/>
      <c r="R160" s="6" t="str">
        <f>IF($H160&lt;&gt;"",RIGHT(Tabela1[[#This Row],[Ref.]],2),"")</f>
        <v/>
      </c>
      <c r="S160" s="6" t="str">
        <f t="shared" si="12"/>
        <v/>
      </c>
      <c r="T160" s="4" t="str">
        <f>IF($H160&lt;&gt;"",_xlfn.XLOOKUP(H160,Naturezas!B:B,Naturezas!E:E,"",0,1),"")</f>
        <v/>
      </c>
      <c r="U160" s="4" t="str">
        <f>IF($H160&lt;&gt;"",_xlfn.XLOOKUP($H160,Naturezas!B:B,Naturezas!D:D,"",0,1),"")</f>
        <v/>
      </c>
      <c r="V160" s="5" t="str">
        <f>IF(H160&lt;&gt;"",IF(OR(H160=Naturezas!$B$3,H160=Naturezas!$B$4,H160=Naturezas!$B$5,H160=Naturezas!$B$17,H160=Naturezas!$B$18,H160=Naturezas!$B$19),G160,-G160),"")</f>
        <v/>
      </c>
      <c r="W160" s="4" t="str">
        <f t="shared" si="16"/>
        <v/>
      </c>
      <c r="X160" s="4"/>
      <c r="Y160" s="4" t="str">
        <f t="shared" si="17"/>
        <v/>
      </c>
      <c r="Z160" s="6" t="str">
        <f>IF(H160&lt;&gt;"",Tabela1[[#This Row],[Iniciais]],"")</f>
        <v/>
      </c>
      <c r="AB160" s="6" t="str">
        <f>IF($H160&lt;&gt;"",RIGHT(Tabela1[[#This Row],[Ref.]],2),"")</f>
        <v/>
      </c>
      <c r="AC160" s="37" t="str">
        <f>IF($H160&lt;&gt;"",DATE(LEFT(Tabela1[[#This Row],[Ref.]],4),RIGHT(Tabela1[[#This Row],[Ref.]],2),1),"")</f>
        <v/>
      </c>
      <c r="AD160" s="4" t="str">
        <f t="shared" si="13"/>
        <v/>
      </c>
      <c r="AE160" s="5" t="str">
        <f t="shared" si="14"/>
        <v/>
      </c>
      <c r="AF160" s="4"/>
      <c r="AG160" s="6" t="str">
        <f t="shared" si="15"/>
        <v/>
      </c>
    </row>
    <row r="161" spans="1:33" ht="15.75" customHeight="1" x14ac:dyDescent="0.2">
      <c r="A161" s="35"/>
      <c r="B161" s="44"/>
      <c r="C161" s="35"/>
      <c r="D161" s="35"/>
      <c r="E161" s="48"/>
      <c r="F161" s="45"/>
      <c r="G161" s="38"/>
      <c r="H161" s="45"/>
      <c r="I161" s="45"/>
      <c r="L161" s="19"/>
      <c r="M161" s="2"/>
      <c r="N161" s="25"/>
      <c r="O161" s="25"/>
      <c r="P161" s="29"/>
      <c r="Q161" s="3"/>
      <c r="R161" s="6" t="str">
        <f>IF($H161&lt;&gt;"",RIGHT(Tabela1[[#This Row],[Ref.]],2),"")</f>
        <v/>
      </c>
      <c r="S161" s="6" t="str">
        <f t="shared" si="12"/>
        <v/>
      </c>
      <c r="T161" s="4" t="str">
        <f>IF($H161&lt;&gt;"",_xlfn.XLOOKUP(H161,Naturezas!B:B,Naturezas!E:E,"",0,1),"")</f>
        <v/>
      </c>
      <c r="U161" s="4" t="str">
        <f>IF($H161&lt;&gt;"",_xlfn.XLOOKUP($H161,Naturezas!B:B,Naturezas!D:D,"",0,1),"")</f>
        <v/>
      </c>
      <c r="V161" s="5" t="str">
        <f>IF(H161&lt;&gt;"",IF(OR(H161=Naturezas!$B$3,H161=Naturezas!$B$4,H161=Naturezas!$B$5,H161=Naturezas!$B$17,H161=Naturezas!$B$18,H161=Naturezas!$B$19),G161,-G161),"")</f>
        <v/>
      </c>
      <c r="W161" s="4" t="str">
        <f t="shared" si="16"/>
        <v/>
      </c>
      <c r="X161" s="4"/>
      <c r="Y161" s="4" t="str">
        <f t="shared" si="17"/>
        <v/>
      </c>
      <c r="Z161" s="6" t="str">
        <f>IF(H161&lt;&gt;"",Tabela1[[#This Row],[Iniciais]],"")</f>
        <v/>
      </c>
      <c r="AB161" s="6" t="str">
        <f>IF($H161&lt;&gt;"",RIGHT(Tabela1[[#This Row],[Ref.]],2),"")</f>
        <v/>
      </c>
      <c r="AC161" s="37" t="str">
        <f>IF($H161&lt;&gt;"",DATE(LEFT(Tabela1[[#This Row],[Ref.]],4),RIGHT(Tabela1[[#This Row],[Ref.]],2),1),"")</f>
        <v/>
      </c>
      <c r="AD161" s="4" t="str">
        <f t="shared" si="13"/>
        <v/>
      </c>
      <c r="AE161" s="5" t="str">
        <f t="shared" si="14"/>
        <v/>
      </c>
      <c r="AF161" s="4"/>
      <c r="AG161" s="6" t="str">
        <f t="shared" si="15"/>
        <v/>
      </c>
    </row>
    <row r="162" spans="1:33" ht="15.75" customHeight="1" x14ac:dyDescent="0.2">
      <c r="A162" s="35"/>
      <c r="B162" s="44"/>
      <c r="C162" s="35"/>
      <c r="D162" s="35"/>
      <c r="E162" s="48"/>
      <c r="F162" s="45"/>
      <c r="G162" s="38"/>
      <c r="H162" s="45"/>
      <c r="I162" s="45"/>
      <c r="L162" s="19"/>
      <c r="M162" s="2"/>
      <c r="N162" s="25"/>
      <c r="O162" s="25"/>
      <c r="P162" s="29"/>
      <c r="Q162" s="3"/>
      <c r="R162" s="6" t="str">
        <f>IF($H162&lt;&gt;"",RIGHT(Tabela1[[#This Row],[Ref.]],2),"")</f>
        <v/>
      </c>
      <c r="S162" s="6" t="str">
        <f t="shared" si="12"/>
        <v/>
      </c>
      <c r="T162" s="4" t="str">
        <f>IF($H162&lt;&gt;"",_xlfn.XLOOKUP(H162,Naturezas!B:B,Naturezas!E:E,"",0,1),"")</f>
        <v/>
      </c>
      <c r="U162" s="4" t="str">
        <f>IF($H162&lt;&gt;"",_xlfn.XLOOKUP($H162,Naturezas!B:B,Naturezas!D:D,"",0,1),"")</f>
        <v/>
      </c>
      <c r="V162" s="5" t="str">
        <f>IF(H162&lt;&gt;"",IF(OR(H162=Naturezas!$B$3,H162=Naturezas!$B$4,H162=Naturezas!$B$5,H162=Naturezas!$B$17,H162=Naturezas!$B$18,H162=Naturezas!$B$19),G162,-G162),"")</f>
        <v/>
      </c>
      <c r="W162" s="4" t="str">
        <f t="shared" si="16"/>
        <v/>
      </c>
      <c r="X162" s="4"/>
      <c r="Y162" s="4" t="str">
        <f t="shared" si="17"/>
        <v/>
      </c>
      <c r="Z162" s="6" t="str">
        <f>IF(H162&lt;&gt;"",Tabela1[[#This Row],[Iniciais]],"")</f>
        <v/>
      </c>
      <c r="AB162" s="6" t="str">
        <f>IF($H162&lt;&gt;"",RIGHT(Tabela1[[#This Row],[Ref.]],2),"")</f>
        <v/>
      </c>
      <c r="AC162" s="37" t="str">
        <f>IF($H162&lt;&gt;"",DATE(LEFT(Tabela1[[#This Row],[Ref.]],4),RIGHT(Tabela1[[#This Row],[Ref.]],2),1),"")</f>
        <v/>
      </c>
      <c r="AD162" s="4" t="str">
        <f t="shared" si="13"/>
        <v/>
      </c>
      <c r="AE162" s="5" t="str">
        <f t="shared" si="14"/>
        <v/>
      </c>
      <c r="AF162" s="4"/>
      <c r="AG162" s="6" t="str">
        <f t="shared" si="15"/>
        <v/>
      </c>
    </row>
    <row r="163" spans="1:33" ht="15.75" customHeight="1" x14ac:dyDescent="0.2">
      <c r="A163" s="35"/>
      <c r="B163" s="44"/>
      <c r="C163" s="35"/>
      <c r="D163" s="35"/>
      <c r="E163" s="48"/>
      <c r="F163" s="45"/>
      <c r="G163" s="38"/>
      <c r="H163" s="45"/>
      <c r="I163" s="45"/>
      <c r="L163" s="19"/>
      <c r="M163" s="2"/>
      <c r="N163" s="25"/>
      <c r="O163" s="25"/>
      <c r="P163" s="29"/>
      <c r="Q163" s="3"/>
      <c r="R163" s="6" t="str">
        <f>IF($H163&lt;&gt;"",RIGHT(Tabela1[[#This Row],[Ref.]],2),"")</f>
        <v/>
      </c>
      <c r="S163" s="6" t="str">
        <f t="shared" si="12"/>
        <v/>
      </c>
      <c r="T163" s="4" t="str">
        <f>IF($H163&lt;&gt;"",_xlfn.XLOOKUP(H163,Naturezas!B:B,Naturezas!E:E,"",0,1),"")</f>
        <v/>
      </c>
      <c r="U163" s="4" t="str">
        <f>IF($H163&lt;&gt;"",_xlfn.XLOOKUP($H163,Naturezas!B:B,Naturezas!D:D,"",0,1),"")</f>
        <v/>
      </c>
      <c r="V163" s="5" t="str">
        <f>IF(H163&lt;&gt;"",IF(OR(H163=Naturezas!$B$3,H163=Naturezas!$B$4,H163=Naturezas!$B$5,H163=Naturezas!$B$17,H163=Naturezas!$B$18,H163=Naturezas!$B$19),G163,-G163),"")</f>
        <v/>
      </c>
      <c r="W163" s="4" t="str">
        <f t="shared" si="16"/>
        <v/>
      </c>
      <c r="X163" s="4"/>
      <c r="Y163" s="4" t="str">
        <f t="shared" si="17"/>
        <v/>
      </c>
      <c r="Z163" s="6" t="str">
        <f>IF(H163&lt;&gt;"",Tabela1[[#This Row],[Iniciais]],"")</f>
        <v/>
      </c>
      <c r="AB163" s="6" t="str">
        <f>IF($H163&lt;&gt;"",RIGHT(Tabela1[[#This Row],[Ref.]],2),"")</f>
        <v/>
      </c>
      <c r="AC163" s="37" t="str">
        <f>IF($H163&lt;&gt;"",DATE(LEFT(Tabela1[[#This Row],[Ref.]],4),RIGHT(Tabela1[[#This Row],[Ref.]],2),1),"")</f>
        <v/>
      </c>
      <c r="AD163" s="4" t="str">
        <f t="shared" si="13"/>
        <v/>
      </c>
      <c r="AE163" s="5" t="str">
        <f t="shared" si="14"/>
        <v/>
      </c>
      <c r="AF163" s="4"/>
      <c r="AG163" s="6" t="str">
        <f t="shared" si="15"/>
        <v/>
      </c>
    </row>
    <row r="164" spans="1:33" ht="15.75" customHeight="1" x14ac:dyDescent="0.2">
      <c r="A164" s="35"/>
      <c r="B164" s="44"/>
      <c r="C164" s="35"/>
      <c r="D164" s="35"/>
      <c r="E164" s="48"/>
      <c r="F164" s="45"/>
      <c r="G164" s="38"/>
      <c r="H164" s="45"/>
      <c r="I164" s="45"/>
      <c r="L164" s="19"/>
      <c r="M164" s="2"/>
      <c r="N164" s="25"/>
      <c r="O164" s="25"/>
      <c r="P164" s="29"/>
      <c r="Q164" s="3"/>
      <c r="R164" s="6" t="str">
        <f>IF($H164&lt;&gt;"",RIGHT(Tabela1[[#This Row],[Ref.]],2),"")</f>
        <v/>
      </c>
      <c r="S164" s="6" t="str">
        <f t="shared" si="12"/>
        <v/>
      </c>
      <c r="T164" s="4" t="str">
        <f>IF($H164&lt;&gt;"",_xlfn.XLOOKUP(H164,Naturezas!B:B,Naturezas!E:E,"",0,1),"")</f>
        <v/>
      </c>
      <c r="U164" s="4" t="str">
        <f>IF($H164&lt;&gt;"",_xlfn.XLOOKUP($H164,Naturezas!B:B,Naturezas!D:D,"",0,1),"")</f>
        <v/>
      </c>
      <c r="V164" s="5" t="str">
        <f>IF(H164&lt;&gt;"",IF(OR(H164=Naturezas!$B$3,H164=Naturezas!$B$4,H164=Naturezas!$B$5,H164=Naturezas!$B$17,H164=Naturezas!$B$18,H164=Naturezas!$B$19),G164,-G164),"")</f>
        <v/>
      </c>
      <c r="W164" s="4" t="str">
        <f t="shared" si="16"/>
        <v/>
      </c>
      <c r="X164" s="4"/>
      <c r="Y164" s="4" t="str">
        <f t="shared" si="17"/>
        <v/>
      </c>
      <c r="Z164" s="6" t="str">
        <f>IF(H164&lt;&gt;"",Tabela1[[#This Row],[Iniciais]],"")</f>
        <v/>
      </c>
      <c r="AB164" s="6" t="str">
        <f>IF($H164&lt;&gt;"",RIGHT(Tabela1[[#This Row],[Ref.]],2),"")</f>
        <v/>
      </c>
      <c r="AC164" s="37" t="str">
        <f>IF($H164&lt;&gt;"",DATE(LEFT(Tabela1[[#This Row],[Ref.]],4),RIGHT(Tabela1[[#This Row],[Ref.]],2),1),"")</f>
        <v/>
      </c>
      <c r="AD164" s="4" t="str">
        <f t="shared" si="13"/>
        <v/>
      </c>
      <c r="AE164" s="5" t="str">
        <f t="shared" si="14"/>
        <v/>
      </c>
      <c r="AF164" s="4"/>
      <c r="AG164" s="6" t="str">
        <f t="shared" si="15"/>
        <v/>
      </c>
    </row>
    <row r="165" spans="1:33" ht="15.75" customHeight="1" x14ac:dyDescent="0.2">
      <c r="A165" s="35"/>
      <c r="B165" s="44"/>
      <c r="C165" s="35"/>
      <c r="D165" s="35"/>
      <c r="E165" s="48"/>
      <c r="F165" s="45"/>
      <c r="G165" s="38"/>
      <c r="H165" s="45"/>
      <c r="I165" s="45"/>
      <c r="L165" s="19"/>
      <c r="M165" s="2"/>
      <c r="N165" s="25"/>
      <c r="O165" s="25"/>
      <c r="P165" s="29"/>
      <c r="Q165" s="3"/>
      <c r="R165" s="6" t="str">
        <f>IF($H165&lt;&gt;"",RIGHT(Tabela1[[#This Row],[Ref.]],2),"")</f>
        <v/>
      </c>
      <c r="S165" s="6" t="str">
        <f t="shared" si="12"/>
        <v/>
      </c>
      <c r="T165" s="4" t="str">
        <f>IF($H165&lt;&gt;"",_xlfn.XLOOKUP(H165,Naturezas!B:B,Naturezas!E:E,"",0,1),"")</f>
        <v/>
      </c>
      <c r="U165" s="4" t="str">
        <f>IF($H165&lt;&gt;"",_xlfn.XLOOKUP($H165,Naturezas!B:B,Naturezas!D:D,"",0,1),"")</f>
        <v/>
      </c>
      <c r="V165" s="5" t="str">
        <f>IF(H165&lt;&gt;"",IF(OR(H165=Naturezas!$B$3,H165=Naturezas!$B$4,H165=Naturezas!$B$5,H165=Naturezas!$B$17,H165=Naturezas!$B$18,H165=Naturezas!$B$19),G165,-G165),"")</f>
        <v/>
      </c>
      <c r="W165" s="4" t="str">
        <f t="shared" si="16"/>
        <v/>
      </c>
      <c r="X165" s="4"/>
      <c r="Y165" s="4" t="str">
        <f t="shared" si="17"/>
        <v/>
      </c>
      <c r="Z165" s="6" t="str">
        <f>IF(H165&lt;&gt;"",Tabela1[[#This Row],[Iniciais]],"")</f>
        <v/>
      </c>
      <c r="AB165" s="6" t="str">
        <f>IF($H165&lt;&gt;"",RIGHT(Tabela1[[#This Row],[Ref.]],2),"")</f>
        <v/>
      </c>
      <c r="AC165" s="37" t="str">
        <f>IF($H165&lt;&gt;"",DATE(LEFT(Tabela1[[#This Row],[Ref.]],4),RIGHT(Tabela1[[#This Row],[Ref.]],2),1),"")</f>
        <v/>
      </c>
      <c r="AD165" s="4" t="str">
        <f t="shared" si="13"/>
        <v/>
      </c>
      <c r="AE165" s="5" t="str">
        <f t="shared" si="14"/>
        <v/>
      </c>
      <c r="AF165" s="4"/>
      <c r="AG165" s="6" t="str">
        <f t="shared" si="15"/>
        <v/>
      </c>
    </row>
    <row r="166" spans="1:33" ht="15.75" customHeight="1" x14ac:dyDescent="0.2">
      <c r="A166" s="35"/>
      <c r="B166" s="44"/>
      <c r="C166" s="35"/>
      <c r="D166" s="35"/>
      <c r="E166" s="48"/>
      <c r="F166" s="45"/>
      <c r="G166" s="38"/>
      <c r="H166" s="45"/>
      <c r="I166" s="45"/>
      <c r="L166" s="19"/>
      <c r="M166" s="2"/>
      <c r="N166" s="25"/>
      <c r="O166" s="25"/>
      <c r="P166" s="29"/>
      <c r="Q166" s="3"/>
      <c r="R166" s="6" t="str">
        <f>IF($H166&lt;&gt;"",RIGHT(Tabela1[[#This Row],[Ref.]],2),"")</f>
        <v/>
      </c>
      <c r="S166" s="6" t="str">
        <f t="shared" si="12"/>
        <v/>
      </c>
      <c r="T166" s="4" t="str">
        <f>IF($H166&lt;&gt;"",_xlfn.XLOOKUP(H166,Naturezas!B:B,Naturezas!E:E,"",0,1),"")</f>
        <v/>
      </c>
      <c r="U166" s="4" t="str">
        <f>IF($H166&lt;&gt;"",_xlfn.XLOOKUP($H166,Naturezas!B:B,Naturezas!D:D,"",0,1),"")</f>
        <v/>
      </c>
      <c r="V166" s="5" t="str">
        <f>IF(H166&lt;&gt;"",IF(OR(H166=Naturezas!$B$3,H166=Naturezas!$B$4,H166=Naturezas!$B$5,H166=Naturezas!$B$17,H166=Naturezas!$B$18,H166=Naturezas!$B$19),G166,-G166),"")</f>
        <v/>
      </c>
      <c r="W166" s="4" t="str">
        <f t="shared" si="16"/>
        <v/>
      </c>
      <c r="X166" s="4"/>
      <c r="Y166" s="4" t="str">
        <f t="shared" si="17"/>
        <v/>
      </c>
      <c r="Z166" s="6" t="str">
        <f>IF(H166&lt;&gt;"",Tabela1[[#This Row],[Iniciais]],"")</f>
        <v/>
      </c>
      <c r="AB166" s="6" t="str">
        <f>IF($H166&lt;&gt;"",RIGHT(Tabela1[[#This Row],[Ref.]],2),"")</f>
        <v/>
      </c>
      <c r="AC166" s="37" t="str">
        <f>IF($H166&lt;&gt;"",DATE(LEFT(Tabela1[[#This Row],[Ref.]],4),RIGHT(Tabela1[[#This Row],[Ref.]],2),1),"")</f>
        <v/>
      </c>
      <c r="AD166" s="4" t="str">
        <f t="shared" si="13"/>
        <v/>
      </c>
      <c r="AE166" s="5" t="str">
        <f t="shared" si="14"/>
        <v/>
      </c>
      <c r="AF166" s="4"/>
      <c r="AG166" s="6" t="str">
        <f t="shared" si="15"/>
        <v/>
      </c>
    </row>
    <row r="167" spans="1:33" ht="15.75" customHeight="1" x14ac:dyDescent="0.2">
      <c r="A167" s="35"/>
      <c r="B167" s="44"/>
      <c r="C167" s="35"/>
      <c r="D167" s="35"/>
      <c r="E167" s="48"/>
      <c r="F167" s="45"/>
      <c r="G167" s="38"/>
      <c r="H167" s="45"/>
      <c r="I167" s="45"/>
      <c r="L167" s="19"/>
      <c r="M167" s="2"/>
      <c r="N167" s="25"/>
      <c r="O167" s="25"/>
      <c r="P167" s="29"/>
      <c r="Q167" s="3"/>
      <c r="R167" s="6" t="str">
        <f>IF($H167&lt;&gt;"",RIGHT(Tabela1[[#This Row],[Ref.]],2),"")</f>
        <v/>
      </c>
      <c r="S167" s="6" t="str">
        <f t="shared" si="12"/>
        <v/>
      </c>
      <c r="T167" s="4" t="str">
        <f>IF($H167&lt;&gt;"",_xlfn.XLOOKUP(H167,Naturezas!B:B,Naturezas!E:E,"",0,1),"")</f>
        <v/>
      </c>
      <c r="U167" s="4" t="str">
        <f>IF($H167&lt;&gt;"",_xlfn.XLOOKUP($H167,Naturezas!B:B,Naturezas!D:D,"",0,1),"")</f>
        <v/>
      </c>
      <c r="V167" s="5" t="str">
        <f>IF(H167&lt;&gt;"",IF(OR(H167=Naturezas!$B$3,H167=Naturezas!$B$4,H167=Naturezas!$B$5,H167=Naturezas!$B$17,H167=Naturezas!$B$18,H167=Naturezas!$B$19),G167,-G167),"")</f>
        <v/>
      </c>
      <c r="W167" s="4" t="str">
        <f t="shared" si="16"/>
        <v/>
      </c>
      <c r="X167" s="4"/>
      <c r="Y167" s="4" t="str">
        <f t="shared" si="17"/>
        <v/>
      </c>
      <c r="Z167" s="6" t="str">
        <f>IF(H167&lt;&gt;"",Tabela1[[#This Row],[Iniciais]],"")</f>
        <v/>
      </c>
      <c r="AB167" s="6" t="str">
        <f>IF($H167&lt;&gt;"",RIGHT(Tabela1[[#This Row],[Ref.]],2),"")</f>
        <v/>
      </c>
      <c r="AC167" s="37" t="str">
        <f>IF($H167&lt;&gt;"",DATE(LEFT(Tabela1[[#This Row],[Ref.]],4),RIGHT(Tabela1[[#This Row],[Ref.]],2),1),"")</f>
        <v/>
      </c>
      <c r="AD167" s="4" t="str">
        <f t="shared" si="13"/>
        <v/>
      </c>
      <c r="AE167" s="5" t="str">
        <f t="shared" si="14"/>
        <v/>
      </c>
      <c r="AF167" s="4"/>
      <c r="AG167" s="6" t="str">
        <f t="shared" si="15"/>
        <v/>
      </c>
    </row>
    <row r="168" spans="1:33" ht="15.75" customHeight="1" x14ac:dyDescent="0.2">
      <c r="A168" s="35"/>
      <c r="B168" s="44"/>
      <c r="C168" s="35"/>
      <c r="D168" s="35"/>
      <c r="E168" s="48"/>
      <c r="F168" s="45"/>
      <c r="G168" s="38"/>
      <c r="H168" s="45"/>
      <c r="I168" s="45"/>
      <c r="L168" s="19"/>
      <c r="M168" s="2"/>
      <c r="N168" s="25"/>
      <c r="O168" s="25"/>
      <c r="P168" s="29"/>
      <c r="Q168" s="3"/>
      <c r="R168" s="6" t="str">
        <f>IF($H168&lt;&gt;"",RIGHT(Tabela1[[#This Row],[Ref.]],2),"")</f>
        <v/>
      </c>
      <c r="S168" s="6" t="str">
        <f t="shared" si="12"/>
        <v/>
      </c>
      <c r="T168" s="4" t="str">
        <f>IF($H168&lt;&gt;"",_xlfn.XLOOKUP(H168,Naturezas!B:B,Naturezas!E:E,"",0,1),"")</f>
        <v/>
      </c>
      <c r="U168" s="4" t="str">
        <f>IF($H168&lt;&gt;"",_xlfn.XLOOKUP($H168,Naturezas!B:B,Naturezas!D:D,"",0,1),"")</f>
        <v/>
      </c>
      <c r="V168" s="5" t="str">
        <f>IF(H168&lt;&gt;"",IF(OR(H168=Naturezas!$B$3,H168=Naturezas!$B$4,H168=Naturezas!$B$5,H168=Naturezas!$B$17,H168=Naturezas!$B$18,H168=Naturezas!$B$19),G168,-G168),"")</f>
        <v/>
      </c>
      <c r="W168" s="4" t="str">
        <f t="shared" si="16"/>
        <v/>
      </c>
      <c r="X168" s="4"/>
      <c r="Y168" s="4" t="str">
        <f t="shared" si="17"/>
        <v/>
      </c>
      <c r="Z168" s="6" t="str">
        <f>IF(H168&lt;&gt;"",Tabela1[[#This Row],[Iniciais]],"")</f>
        <v/>
      </c>
      <c r="AB168" s="6" t="str">
        <f>IF($H168&lt;&gt;"",RIGHT(Tabela1[[#This Row],[Ref.]],2),"")</f>
        <v/>
      </c>
      <c r="AC168" s="37" t="str">
        <f>IF($H168&lt;&gt;"",DATE(LEFT(Tabela1[[#This Row],[Ref.]],4),RIGHT(Tabela1[[#This Row],[Ref.]],2),1),"")</f>
        <v/>
      </c>
      <c r="AD168" s="4" t="str">
        <f t="shared" si="13"/>
        <v/>
      </c>
      <c r="AE168" s="5" t="str">
        <f t="shared" si="14"/>
        <v/>
      </c>
      <c r="AF168" s="4"/>
      <c r="AG168" s="6" t="str">
        <f t="shared" si="15"/>
        <v/>
      </c>
    </row>
    <row r="169" spans="1:33" ht="15.75" customHeight="1" x14ac:dyDescent="0.2">
      <c r="A169" s="35"/>
      <c r="B169" s="44"/>
      <c r="C169" s="35"/>
      <c r="D169" s="35"/>
      <c r="E169" s="48"/>
      <c r="F169" s="45"/>
      <c r="G169" s="38"/>
      <c r="H169" s="45"/>
      <c r="I169" s="45"/>
      <c r="L169" s="19"/>
      <c r="M169" s="2"/>
      <c r="N169" s="25"/>
      <c r="O169" s="25"/>
      <c r="P169" s="29"/>
      <c r="Q169" s="3"/>
      <c r="R169" s="6" t="str">
        <f>IF($H169&lt;&gt;"",RIGHT(Tabela1[[#This Row],[Ref.]],2),"")</f>
        <v/>
      </c>
      <c r="S169" s="6" t="str">
        <f t="shared" si="12"/>
        <v/>
      </c>
      <c r="T169" s="4" t="str">
        <f>IF($H169&lt;&gt;"",_xlfn.XLOOKUP(H169,Naturezas!B:B,Naturezas!E:E,"",0,1),"")</f>
        <v/>
      </c>
      <c r="U169" s="4" t="str">
        <f>IF($H169&lt;&gt;"",_xlfn.XLOOKUP($H169,Naturezas!B:B,Naturezas!D:D,"",0,1),"")</f>
        <v/>
      </c>
      <c r="V169" s="5" t="str">
        <f>IF(H169&lt;&gt;"",IF(OR(H169=Naturezas!$B$3,H169=Naturezas!$B$4,H169=Naturezas!$B$5,H169=Naturezas!$B$17,H169=Naturezas!$B$18,H169=Naturezas!$B$19),G169,-G169),"")</f>
        <v/>
      </c>
      <c r="W169" s="4" t="str">
        <f t="shared" si="16"/>
        <v/>
      </c>
      <c r="X169" s="4"/>
      <c r="Y169" s="4" t="str">
        <f t="shared" si="17"/>
        <v/>
      </c>
      <c r="Z169" s="6" t="str">
        <f>IF(H169&lt;&gt;"",Tabela1[[#This Row],[Iniciais]],"")</f>
        <v/>
      </c>
      <c r="AB169" s="6" t="str">
        <f>IF($H169&lt;&gt;"",RIGHT(Tabela1[[#This Row],[Ref.]],2),"")</f>
        <v/>
      </c>
      <c r="AC169" s="37" t="str">
        <f>IF($H169&lt;&gt;"",DATE(LEFT(Tabela1[[#This Row],[Ref.]],4),RIGHT(Tabela1[[#This Row],[Ref.]],2),1),"")</f>
        <v/>
      </c>
      <c r="AD169" s="4" t="str">
        <f t="shared" si="13"/>
        <v/>
      </c>
      <c r="AE169" s="5" t="str">
        <f t="shared" si="14"/>
        <v/>
      </c>
      <c r="AF169" s="4"/>
      <c r="AG169" s="6" t="str">
        <f t="shared" si="15"/>
        <v/>
      </c>
    </row>
    <row r="170" spans="1:33" ht="15.75" customHeight="1" x14ac:dyDescent="0.2">
      <c r="A170" s="35"/>
      <c r="B170" s="44"/>
      <c r="C170" s="35"/>
      <c r="D170" s="35"/>
      <c r="E170" s="48"/>
      <c r="F170" s="45"/>
      <c r="G170" s="38"/>
      <c r="H170" s="45"/>
      <c r="I170" s="45"/>
      <c r="L170" s="19"/>
      <c r="M170" s="2"/>
      <c r="N170" s="25"/>
      <c r="O170" s="25"/>
      <c r="P170" s="29"/>
      <c r="Q170" s="3"/>
      <c r="R170" s="6" t="str">
        <f>IF($H170&lt;&gt;"",RIGHT(Tabela1[[#This Row],[Ref.]],2),"")</f>
        <v/>
      </c>
      <c r="S170" s="6" t="str">
        <f t="shared" si="12"/>
        <v/>
      </c>
      <c r="T170" s="4" t="str">
        <f>IF($H170&lt;&gt;"",_xlfn.XLOOKUP(H170,Naturezas!B:B,Naturezas!E:E,"",0,1),"")</f>
        <v/>
      </c>
      <c r="U170" s="4" t="str">
        <f>IF($H170&lt;&gt;"",_xlfn.XLOOKUP($H170,Naturezas!B:B,Naturezas!D:D,"",0,1),"")</f>
        <v/>
      </c>
      <c r="V170" s="5" t="str">
        <f>IF(H170&lt;&gt;"",IF(OR(H170=Naturezas!$B$3,H170=Naturezas!$B$4,H170=Naturezas!$B$5,H170=Naturezas!$B$17,H170=Naturezas!$B$18,H170=Naturezas!$B$19),G170,-G170),"")</f>
        <v/>
      </c>
      <c r="W170" s="4" t="str">
        <f t="shared" si="16"/>
        <v/>
      </c>
      <c r="X170" s="4"/>
      <c r="Y170" s="4" t="str">
        <f t="shared" si="17"/>
        <v/>
      </c>
      <c r="Z170" s="6" t="str">
        <f>IF(H170&lt;&gt;"",Tabela1[[#This Row],[Iniciais]],"")</f>
        <v/>
      </c>
      <c r="AB170" s="6" t="str">
        <f>IF($H170&lt;&gt;"",RIGHT(Tabela1[[#This Row],[Ref.]],2),"")</f>
        <v/>
      </c>
      <c r="AC170" s="37" t="str">
        <f>IF($H170&lt;&gt;"",DATE(LEFT(Tabela1[[#This Row],[Ref.]],4),RIGHT(Tabela1[[#This Row],[Ref.]],2),1),"")</f>
        <v/>
      </c>
      <c r="AD170" s="4" t="str">
        <f t="shared" si="13"/>
        <v/>
      </c>
      <c r="AE170" s="5" t="str">
        <f t="shared" si="14"/>
        <v/>
      </c>
      <c r="AF170" s="4"/>
      <c r="AG170" s="6" t="str">
        <f t="shared" si="15"/>
        <v/>
      </c>
    </row>
    <row r="171" spans="1:33" ht="15.75" customHeight="1" x14ac:dyDescent="0.2">
      <c r="A171" s="35"/>
      <c r="B171" s="44"/>
      <c r="C171" s="35"/>
      <c r="D171" s="35"/>
      <c r="E171" s="48"/>
      <c r="F171" s="45"/>
      <c r="G171" s="38"/>
      <c r="H171" s="45"/>
      <c r="I171" s="45"/>
      <c r="L171" s="19"/>
      <c r="M171" s="2"/>
      <c r="N171" s="25"/>
      <c r="O171" s="25"/>
      <c r="P171" s="29"/>
      <c r="Q171" s="3"/>
      <c r="R171" s="6" t="str">
        <f>IF($H171&lt;&gt;"",RIGHT(Tabela1[[#This Row],[Ref.]],2),"")</f>
        <v/>
      </c>
      <c r="S171" s="6" t="str">
        <f t="shared" si="12"/>
        <v/>
      </c>
      <c r="T171" s="4" t="str">
        <f>IF($H171&lt;&gt;"",_xlfn.XLOOKUP(H171,Naturezas!B:B,Naturezas!E:E,"",0,1),"")</f>
        <v/>
      </c>
      <c r="U171" s="4" t="str">
        <f>IF($H171&lt;&gt;"",_xlfn.XLOOKUP($H171,Naturezas!B:B,Naturezas!D:D,"",0,1),"")</f>
        <v/>
      </c>
      <c r="V171" s="5" t="str">
        <f>IF(H171&lt;&gt;"",IF(OR(H171=Naturezas!$B$3,H171=Naturezas!$B$4,H171=Naturezas!$B$5,H171=Naturezas!$B$17,H171=Naturezas!$B$18,H171=Naturezas!$B$19),G171,-G171),"")</f>
        <v/>
      </c>
      <c r="W171" s="4" t="str">
        <f t="shared" si="16"/>
        <v/>
      </c>
      <c r="X171" s="4"/>
      <c r="Y171" s="4" t="str">
        <f t="shared" si="17"/>
        <v/>
      </c>
      <c r="Z171" s="6" t="str">
        <f>IF(H171&lt;&gt;"",Tabela1[[#This Row],[Iniciais]],"")</f>
        <v/>
      </c>
      <c r="AB171" s="6" t="str">
        <f>IF($H171&lt;&gt;"",RIGHT(Tabela1[[#This Row],[Ref.]],2),"")</f>
        <v/>
      </c>
      <c r="AC171" s="37" t="str">
        <f>IF($H171&lt;&gt;"",DATE(LEFT(Tabela1[[#This Row],[Ref.]],4),RIGHT(Tabela1[[#This Row],[Ref.]],2),1),"")</f>
        <v/>
      </c>
      <c r="AD171" s="4" t="str">
        <f t="shared" si="13"/>
        <v/>
      </c>
      <c r="AE171" s="5" t="str">
        <f t="shared" si="14"/>
        <v/>
      </c>
      <c r="AF171" s="4"/>
      <c r="AG171" s="6" t="str">
        <f t="shared" si="15"/>
        <v/>
      </c>
    </row>
    <row r="172" spans="1:33" ht="15.75" customHeight="1" x14ac:dyDescent="0.2">
      <c r="A172" s="35"/>
      <c r="B172" s="44"/>
      <c r="C172" s="35"/>
      <c r="D172" s="35"/>
      <c r="E172" s="48"/>
      <c r="F172" s="45"/>
      <c r="G172" s="38"/>
      <c r="H172" s="45"/>
      <c r="I172" s="45"/>
      <c r="L172" s="19"/>
      <c r="M172" s="2"/>
      <c r="N172" s="25"/>
      <c r="O172" s="25"/>
      <c r="P172" s="29"/>
      <c r="Q172" s="3"/>
      <c r="R172" s="6" t="str">
        <f>IF($H172&lt;&gt;"",RIGHT(Tabela1[[#This Row],[Ref.]],2),"")</f>
        <v/>
      </c>
      <c r="S172" s="6" t="str">
        <f t="shared" si="12"/>
        <v/>
      </c>
      <c r="T172" s="4" t="str">
        <f>IF($H172&lt;&gt;"",_xlfn.XLOOKUP(H172,Naturezas!B:B,Naturezas!E:E,"",0,1),"")</f>
        <v/>
      </c>
      <c r="U172" s="4" t="str">
        <f>IF($H172&lt;&gt;"",_xlfn.XLOOKUP($H172,Naturezas!B:B,Naturezas!D:D,"",0,1),"")</f>
        <v/>
      </c>
      <c r="V172" s="5" t="str">
        <f>IF(H172&lt;&gt;"",IF(OR(H172=Naturezas!$B$3,H172=Naturezas!$B$4,H172=Naturezas!$B$5,H172=Naturezas!$B$17,H172=Naturezas!$B$18,H172=Naturezas!$B$19),G172,-G172),"")</f>
        <v/>
      </c>
      <c r="W172" s="4" t="str">
        <f t="shared" si="16"/>
        <v/>
      </c>
      <c r="X172" s="4"/>
      <c r="Y172" s="4" t="str">
        <f t="shared" si="17"/>
        <v/>
      </c>
      <c r="Z172" s="6" t="str">
        <f>IF(H172&lt;&gt;"",Tabela1[[#This Row],[Iniciais]],"")</f>
        <v/>
      </c>
      <c r="AB172" s="6" t="str">
        <f>IF($H172&lt;&gt;"",RIGHT(Tabela1[[#This Row],[Ref.]],2),"")</f>
        <v/>
      </c>
      <c r="AC172" s="37" t="str">
        <f>IF($H172&lt;&gt;"",DATE(LEFT(Tabela1[[#This Row],[Ref.]],4),RIGHT(Tabela1[[#This Row],[Ref.]],2),1),"")</f>
        <v/>
      </c>
      <c r="AD172" s="4" t="str">
        <f t="shared" si="13"/>
        <v/>
      </c>
      <c r="AE172" s="5" t="str">
        <f t="shared" si="14"/>
        <v/>
      </c>
      <c r="AF172" s="4"/>
      <c r="AG172" s="6" t="str">
        <f t="shared" si="15"/>
        <v/>
      </c>
    </row>
    <row r="173" spans="1:33" ht="15.75" customHeight="1" x14ac:dyDescent="0.2">
      <c r="A173" s="35"/>
      <c r="B173" s="44"/>
      <c r="C173" s="35"/>
      <c r="D173" s="35"/>
      <c r="E173" s="48"/>
      <c r="F173" s="45"/>
      <c r="G173" s="38"/>
      <c r="H173" s="45"/>
      <c r="I173" s="45"/>
      <c r="L173" s="19"/>
      <c r="M173" s="2"/>
      <c r="N173" s="25"/>
      <c r="O173" s="25"/>
      <c r="P173" s="29"/>
      <c r="Q173" s="3"/>
      <c r="R173" s="6" t="str">
        <f>IF($H173&lt;&gt;"",RIGHT(Tabela1[[#This Row],[Ref.]],2),"")</f>
        <v/>
      </c>
      <c r="S173" s="6" t="str">
        <f t="shared" si="12"/>
        <v/>
      </c>
      <c r="T173" s="4" t="str">
        <f>IF($H173&lt;&gt;"",_xlfn.XLOOKUP(H173,Naturezas!B:B,Naturezas!E:E,"",0,1),"")</f>
        <v/>
      </c>
      <c r="U173" s="4" t="str">
        <f>IF($H173&lt;&gt;"",_xlfn.XLOOKUP($H173,Naturezas!B:B,Naturezas!D:D,"",0,1),"")</f>
        <v/>
      </c>
      <c r="V173" s="5" t="str">
        <f>IF(H173&lt;&gt;"",IF(OR(H173=Naturezas!$B$3,H173=Naturezas!$B$4,H173=Naturezas!$B$5,H173=Naturezas!$B$17,H173=Naturezas!$B$18,H173=Naturezas!$B$19),G173,-G173),"")</f>
        <v/>
      </c>
      <c r="W173" s="4" t="str">
        <f t="shared" si="16"/>
        <v/>
      </c>
      <c r="X173" s="4"/>
      <c r="Y173" s="4" t="str">
        <f t="shared" si="17"/>
        <v/>
      </c>
      <c r="Z173" s="6" t="str">
        <f>IF(H173&lt;&gt;"",Tabela1[[#This Row],[Iniciais]],"")</f>
        <v/>
      </c>
      <c r="AB173" s="6" t="str">
        <f>IF($H173&lt;&gt;"",RIGHT(Tabela1[[#This Row],[Ref.]],2),"")</f>
        <v/>
      </c>
      <c r="AC173" s="37" t="str">
        <f>IF($H173&lt;&gt;"",DATE(LEFT(Tabela1[[#This Row],[Ref.]],4),RIGHT(Tabela1[[#This Row],[Ref.]],2),1),"")</f>
        <v/>
      </c>
      <c r="AD173" s="4" t="str">
        <f t="shared" si="13"/>
        <v/>
      </c>
      <c r="AE173" s="5" t="str">
        <f t="shared" si="14"/>
        <v/>
      </c>
      <c r="AF173" s="4"/>
      <c r="AG173" s="6" t="str">
        <f t="shared" si="15"/>
        <v/>
      </c>
    </row>
    <row r="174" spans="1:33" ht="15.75" customHeight="1" x14ac:dyDescent="0.2">
      <c r="A174" s="35"/>
      <c r="B174" s="44"/>
      <c r="C174" s="35"/>
      <c r="D174" s="35"/>
      <c r="E174" s="48"/>
      <c r="F174" s="45"/>
      <c r="G174" s="38"/>
      <c r="H174" s="45"/>
      <c r="I174" s="45"/>
      <c r="L174" s="19"/>
      <c r="M174" s="2"/>
      <c r="N174" s="25"/>
      <c r="O174" s="25"/>
      <c r="P174" s="29"/>
      <c r="Q174" s="3"/>
      <c r="R174" s="6" t="str">
        <f>IF($H174&lt;&gt;"",RIGHT(Tabela1[[#This Row],[Ref.]],2),"")</f>
        <v/>
      </c>
      <c r="S174" s="6" t="str">
        <f t="shared" si="12"/>
        <v/>
      </c>
      <c r="T174" s="4" t="str">
        <f>IF($H174&lt;&gt;"",_xlfn.XLOOKUP(H174,Naturezas!B:B,Naturezas!E:E,"",0,1),"")</f>
        <v/>
      </c>
      <c r="U174" s="4" t="str">
        <f>IF($H174&lt;&gt;"",_xlfn.XLOOKUP($H174,Naturezas!B:B,Naturezas!D:D,"",0,1),"")</f>
        <v/>
      </c>
      <c r="V174" s="5" t="str">
        <f>IF(H174&lt;&gt;"",IF(OR(H174=Naturezas!$B$3,H174=Naturezas!$B$4,H174=Naturezas!$B$5,H174=Naturezas!$B$17,H174=Naturezas!$B$18,H174=Naturezas!$B$19),G174,-G174),"")</f>
        <v/>
      </c>
      <c r="W174" s="4" t="str">
        <f t="shared" si="16"/>
        <v/>
      </c>
      <c r="X174" s="4"/>
      <c r="Y174" s="4" t="str">
        <f t="shared" si="17"/>
        <v/>
      </c>
      <c r="Z174" s="6" t="str">
        <f>IF(H174&lt;&gt;"",Tabela1[[#This Row],[Iniciais]],"")</f>
        <v/>
      </c>
      <c r="AB174" s="6" t="str">
        <f>IF($H174&lt;&gt;"",RIGHT(Tabela1[[#This Row],[Ref.]],2),"")</f>
        <v/>
      </c>
      <c r="AC174" s="37" t="str">
        <f>IF($H174&lt;&gt;"",DATE(LEFT(Tabela1[[#This Row],[Ref.]],4),RIGHT(Tabela1[[#This Row],[Ref.]],2),1),"")</f>
        <v/>
      </c>
      <c r="AD174" s="4" t="str">
        <f t="shared" si="13"/>
        <v/>
      </c>
      <c r="AE174" s="5" t="str">
        <f t="shared" si="14"/>
        <v/>
      </c>
      <c r="AF174" s="4"/>
      <c r="AG174" s="6" t="str">
        <f t="shared" si="15"/>
        <v/>
      </c>
    </row>
    <row r="175" spans="1:33" ht="15.75" customHeight="1" x14ac:dyDescent="0.2">
      <c r="A175" s="35"/>
      <c r="B175" s="44"/>
      <c r="C175" s="35"/>
      <c r="D175" s="35"/>
      <c r="E175" s="48"/>
      <c r="F175" s="45"/>
      <c r="G175" s="38"/>
      <c r="H175" s="45"/>
      <c r="I175" s="45"/>
      <c r="L175" s="19"/>
      <c r="M175" s="2"/>
      <c r="N175" s="25"/>
      <c r="O175" s="25"/>
      <c r="P175" s="29"/>
      <c r="Q175" s="3"/>
      <c r="R175" s="6" t="str">
        <f>IF($H175&lt;&gt;"",RIGHT(Tabela1[[#This Row],[Ref.]],2),"")</f>
        <v/>
      </c>
      <c r="S175" s="6" t="str">
        <f t="shared" si="12"/>
        <v/>
      </c>
      <c r="T175" s="4" t="str">
        <f>IF($H175&lt;&gt;"",_xlfn.XLOOKUP(H175,Naturezas!B:B,Naturezas!E:E,"",0,1),"")</f>
        <v/>
      </c>
      <c r="U175" s="4" t="str">
        <f>IF($H175&lt;&gt;"",_xlfn.XLOOKUP($H175,Naturezas!B:B,Naturezas!D:D,"",0,1),"")</f>
        <v/>
      </c>
      <c r="V175" s="5" t="str">
        <f>IF(H175&lt;&gt;"",IF(OR(H175=Naturezas!$B$3,H175=Naturezas!$B$4,H175=Naturezas!$B$5,H175=Naturezas!$B$17,H175=Naturezas!$B$18,H175=Naturezas!$B$19),G175,-G175),"")</f>
        <v/>
      </c>
      <c r="W175" s="4" t="str">
        <f t="shared" si="16"/>
        <v/>
      </c>
      <c r="X175" s="4"/>
      <c r="Y175" s="4" t="str">
        <f t="shared" si="17"/>
        <v/>
      </c>
      <c r="Z175" s="6" t="str">
        <f>IF(H175&lt;&gt;"",Tabela1[[#This Row],[Iniciais]],"")</f>
        <v/>
      </c>
      <c r="AB175" s="6" t="str">
        <f>IF($H175&lt;&gt;"",RIGHT(Tabela1[[#This Row],[Ref.]],2),"")</f>
        <v/>
      </c>
      <c r="AC175" s="37" t="str">
        <f>IF($H175&lt;&gt;"",DATE(LEFT(Tabela1[[#This Row],[Ref.]],4),RIGHT(Tabela1[[#This Row],[Ref.]],2),1),"")</f>
        <v/>
      </c>
      <c r="AD175" s="4" t="str">
        <f t="shared" si="13"/>
        <v/>
      </c>
      <c r="AE175" s="5" t="str">
        <f t="shared" si="14"/>
        <v/>
      </c>
      <c r="AF175" s="4"/>
      <c r="AG175" s="6" t="str">
        <f t="shared" si="15"/>
        <v/>
      </c>
    </row>
    <row r="176" spans="1:33" ht="15.75" customHeight="1" x14ac:dyDescent="0.2">
      <c r="A176" s="35"/>
      <c r="B176" s="44"/>
      <c r="C176" s="35"/>
      <c r="D176" s="35"/>
      <c r="E176" s="48"/>
      <c r="F176" s="45"/>
      <c r="G176" s="38"/>
      <c r="H176" s="45"/>
      <c r="I176" s="45"/>
      <c r="L176" s="19"/>
      <c r="M176" s="2"/>
      <c r="N176" s="25"/>
      <c r="O176" s="25"/>
      <c r="P176" s="29"/>
      <c r="Q176" s="3"/>
      <c r="R176" s="6" t="str">
        <f>IF($H176&lt;&gt;"",RIGHT(Tabela1[[#This Row],[Ref.]],2),"")</f>
        <v/>
      </c>
      <c r="S176" s="6" t="str">
        <f t="shared" si="12"/>
        <v/>
      </c>
      <c r="T176" s="4" t="str">
        <f>IF($H176&lt;&gt;"",_xlfn.XLOOKUP(H176,Naturezas!B:B,Naturezas!E:E,"",0,1),"")</f>
        <v/>
      </c>
      <c r="U176" s="4" t="str">
        <f>IF($H176&lt;&gt;"",_xlfn.XLOOKUP($H176,Naturezas!B:B,Naturezas!D:D,"",0,1),"")</f>
        <v/>
      </c>
      <c r="V176" s="5" t="str">
        <f>IF(H176&lt;&gt;"",IF(OR(H176=Naturezas!$B$3,H176=Naturezas!$B$4,H176=Naturezas!$B$5,H176=Naturezas!$B$17,H176=Naturezas!$B$18,H176=Naturezas!$B$19),G176,-G176),"")</f>
        <v/>
      </c>
      <c r="W176" s="4" t="str">
        <f t="shared" si="16"/>
        <v/>
      </c>
      <c r="X176" s="4"/>
      <c r="Y176" s="4" t="str">
        <f t="shared" si="17"/>
        <v/>
      </c>
      <c r="Z176" s="6" t="str">
        <f>IF(H176&lt;&gt;"",Tabela1[[#This Row],[Iniciais]],"")</f>
        <v/>
      </c>
      <c r="AB176" s="6" t="str">
        <f>IF($H176&lt;&gt;"",RIGHT(Tabela1[[#This Row],[Ref.]],2),"")</f>
        <v/>
      </c>
      <c r="AC176" s="37" t="str">
        <f>IF($H176&lt;&gt;"",DATE(LEFT(Tabela1[[#This Row],[Ref.]],4),RIGHT(Tabela1[[#This Row],[Ref.]],2),1),"")</f>
        <v/>
      </c>
      <c r="AD176" s="4" t="str">
        <f t="shared" si="13"/>
        <v/>
      </c>
      <c r="AE176" s="5" t="str">
        <f t="shared" si="14"/>
        <v/>
      </c>
      <c r="AF176" s="4"/>
      <c r="AG176" s="6" t="str">
        <f t="shared" si="15"/>
        <v/>
      </c>
    </row>
    <row r="177" spans="1:33" ht="15.75" customHeight="1" x14ac:dyDescent="0.2">
      <c r="A177" s="35"/>
      <c r="B177" s="44"/>
      <c r="C177" s="35"/>
      <c r="D177" s="35"/>
      <c r="E177" s="48"/>
      <c r="F177" s="45"/>
      <c r="G177" s="38"/>
      <c r="H177" s="45"/>
      <c r="I177" s="45"/>
      <c r="L177" s="19"/>
      <c r="M177" s="2"/>
      <c r="N177" s="25"/>
      <c r="O177" s="25"/>
      <c r="P177" s="29"/>
      <c r="Q177" s="3"/>
      <c r="R177" s="6" t="str">
        <f>IF($H177&lt;&gt;"",RIGHT(Tabela1[[#This Row],[Ref.]],2),"")</f>
        <v/>
      </c>
      <c r="S177" s="6" t="str">
        <f t="shared" si="12"/>
        <v/>
      </c>
      <c r="T177" s="4" t="str">
        <f>IF($H177&lt;&gt;"",_xlfn.XLOOKUP(H177,Naturezas!B:B,Naturezas!E:E,"",0,1),"")</f>
        <v/>
      </c>
      <c r="U177" s="4" t="str">
        <f>IF($H177&lt;&gt;"",_xlfn.XLOOKUP($H177,Naturezas!B:B,Naturezas!D:D,"",0,1),"")</f>
        <v/>
      </c>
      <c r="V177" s="5" t="str">
        <f>IF(H177&lt;&gt;"",IF(OR(H177=Naturezas!$B$3,H177=Naturezas!$B$4,H177=Naturezas!$B$5,H177=Naturezas!$B$17,H177=Naturezas!$B$18,H177=Naturezas!$B$19),G177,-G177),"")</f>
        <v/>
      </c>
      <c r="W177" s="4" t="str">
        <f t="shared" si="16"/>
        <v/>
      </c>
      <c r="X177" s="4"/>
      <c r="Y177" s="4" t="str">
        <f t="shared" si="17"/>
        <v/>
      </c>
      <c r="Z177" s="6" t="str">
        <f>IF(H177&lt;&gt;"",Tabela1[[#This Row],[Iniciais]],"")</f>
        <v/>
      </c>
      <c r="AB177" s="6" t="str">
        <f>IF($H177&lt;&gt;"",RIGHT(Tabela1[[#This Row],[Ref.]],2),"")</f>
        <v/>
      </c>
      <c r="AC177" s="37" t="str">
        <f>IF($H177&lt;&gt;"",DATE(LEFT(Tabela1[[#This Row],[Ref.]],4),RIGHT(Tabela1[[#This Row],[Ref.]],2),1),"")</f>
        <v/>
      </c>
      <c r="AD177" s="4" t="str">
        <f t="shared" si="13"/>
        <v/>
      </c>
      <c r="AE177" s="5" t="str">
        <f t="shared" si="14"/>
        <v/>
      </c>
      <c r="AF177" s="4"/>
      <c r="AG177" s="6" t="str">
        <f t="shared" si="15"/>
        <v/>
      </c>
    </row>
    <row r="178" spans="1:33" ht="15.75" customHeight="1" x14ac:dyDescent="0.2">
      <c r="A178" s="35"/>
      <c r="B178" s="44"/>
      <c r="C178" s="35"/>
      <c r="D178" s="35"/>
      <c r="E178" s="48"/>
      <c r="F178" s="45"/>
      <c r="G178" s="38"/>
      <c r="H178" s="45"/>
      <c r="I178" s="45"/>
      <c r="L178" s="19"/>
      <c r="M178" s="2"/>
      <c r="N178" s="25"/>
      <c r="O178" s="25"/>
      <c r="P178" s="29"/>
      <c r="Q178" s="3"/>
      <c r="R178" s="6" t="str">
        <f>IF($H178&lt;&gt;"",RIGHT(Tabela1[[#This Row],[Ref.]],2),"")</f>
        <v/>
      </c>
      <c r="S178" s="6" t="str">
        <f t="shared" si="12"/>
        <v/>
      </c>
      <c r="T178" s="4" t="str">
        <f>IF($H178&lt;&gt;"",_xlfn.XLOOKUP(H178,Naturezas!B:B,Naturezas!E:E,"",0,1),"")</f>
        <v/>
      </c>
      <c r="U178" s="4" t="str">
        <f>IF($H178&lt;&gt;"",_xlfn.XLOOKUP($H178,Naturezas!B:B,Naturezas!D:D,"",0,1),"")</f>
        <v/>
      </c>
      <c r="V178" s="5" t="str">
        <f>IF(H178&lt;&gt;"",IF(OR(H178=Naturezas!$B$3,H178=Naturezas!$B$4,H178=Naturezas!$B$5,H178=Naturezas!$B$17,H178=Naturezas!$B$18,H178=Naturezas!$B$19),G178,-G178),"")</f>
        <v/>
      </c>
      <c r="W178" s="4" t="str">
        <f t="shared" si="16"/>
        <v/>
      </c>
      <c r="X178" s="4"/>
      <c r="Y178" s="4" t="str">
        <f t="shared" si="17"/>
        <v/>
      </c>
      <c r="Z178" s="6" t="str">
        <f>IF(H178&lt;&gt;"",Tabela1[[#This Row],[Iniciais]],"")</f>
        <v/>
      </c>
      <c r="AB178" s="6" t="str">
        <f>IF($H178&lt;&gt;"",RIGHT(Tabela1[[#This Row],[Ref.]],2),"")</f>
        <v/>
      </c>
      <c r="AC178" s="37" t="str">
        <f>IF($H178&lt;&gt;"",DATE(LEFT(Tabela1[[#This Row],[Ref.]],4),RIGHT(Tabela1[[#This Row],[Ref.]],2),1),"")</f>
        <v/>
      </c>
      <c r="AD178" s="4" t="str">
        <f t="shared" si="13"/>
        <v/>
      </c>
      <c r="AE178" s="5" t="str">
        <f t="shared" si="14"/>
        <v/>
      </c>
      <c r="AF178" s="4"/>
      <c r="AG178" s="6" t="str">
        <f t="shared" si="15"/>
        <v/>
      </c>
    </row>
    <row r="179" spans="1:33" ht="15.75" customHeight="1" x14ac:dyDescent="0.2">
      <c r="A179" s="35"/>
      <c r="B179" s="44"/>
      <c r="C179" s="35"/>
      <c r="D179" s="35"/>
      <c r="E179" s="48"/>
      <c r="F179" s="45"/>
      <c r="G179" s="38"/>
      <c r="H179" s="45"/>
      <c r="I179" s="45"/>
      <c r="L179" s="19"/>
      <c r="M179" s="2"/>
      <c r="N179" s="25"/>
      <c r="O179" s="25"/>
      <c r="P179" s="29"/>
      <c r="Q179" s="3"/>
      <c r="R179" s="6" t="str">
        <f>IF($H179&lt;&gt;"",RIGHT(Tabela1[[#This Row],[Ref.]],2),"")</f>
        <v/>
      </c>
      <c r="S179" s="6" t="str">
        <f t="shared" si="12"/>
        <v/>
      </c>
      <c r="T179" s="4" t="str">
        <f>IF($H179&lt;&gt;"",_xlfn.XLOOKUP(H179,Naturezas!B:B,Naturezas!E:E,"",0,1),"")</f>
        <v/>
      </c>
      <c r="U179" s="4" t="str">
        <f>IF($H179&lt;&gt;"",_xlfn.XLOOKUP($H179,Naturezas!B:B,Naturezas!D:D,"",0,1),"")</f>
        <v/>
      </c>
      <c r="V179" s="5" t="str">
        <f>IF(H179&lt;&gt;"",IF(OR(H179=Naturezas!$B$3,H179=Naturezas!$B$4,H179=Naturezas!$B$5,H179=Naturezas!$B$17,H179=Naturezas!$B$18,H179=Naturezas!$B$19),G179,-G179),"")</f>
        <v/>
      </c>
      <c r="W179" s="4" t="str">
        <f t="shared" si="16"/>
        <v/>
      </c>
      <c r="X179" s="4"/>
      <c r="Y179" s="4" t="str">
        <f t="shared" si="17"/>
        <v/>
      </c>
      <c r="Z179" s="6" t="str">
        <f>IF(H179&lt;&gt;"",Tabela1[[#This Row],[Iniciais]],"")</f>
        <v/>
      </c>
      <c r="AB179" s="6" t="str">
        <f>IF($H179&lt;&gt;"",RIGHT(Tabela1[[#This Row],[Ref.]],2),"")</f>
        <v/>
      </c>
      <c r="AC179" s="37" t="str">
        <f>IF($H179&lt;&gt;"",DATE(LEFT(Tabela1[[#This Row],[Ref.]],4),RIGHT(Tabela1[[#This Row],[Ref.]],2),1),"")</f>
        <v/>
      </c>
      <c r="AD179" s="4" t="str">
        <f t="shared" si="13"/>
        <v/>
      </c>
      <c r="AE179" s="5" t="str">
        <f t="shared" si="14"/>
        <v/>
      </c>
      <c r="AF179" s="4"/>
      <c r="AG179" s="6" t="str">
        <f t="shared" si="15"/>
        <v/>
      </c>
    </row>
    <row r="180" spans="1:33" ht="15.75" customHeight="1" x14ac:dyDescent="0.2">
      <c r="A180" s="35"/>
      <c r="B180" s="44"/>
      <c r="C180" s="35"/>
      <c r="D180" s="35"/>
      <c r="E180" s="48"/>
      <c r="F180" s="45"/>
      <c r="G180" s="38"/>
      <c r="H180" s="45"/>
      <c r="I180" s="45"/>
      <c r="L180" s="19"/>
      <c r="M180" s="2"/>
      <c r="N180" s="25"/>
      <c r="O180" s="25"/>
      <c r="P180" s="29"/>
      <c r="Q180" s="3"/>
      <c r="R180" s="6" t="str">
        <f>IF($H180&lt;&gt;"",RIGHT(Tabela1[[#This Row],[Ref.]],2),"")</f>
        <v/>
      </c>
      <c r="S180" s="6" t="str">
        <f t="shared" si="12"/>
        <v/>
      </c>
      <c r="T180" s="4" t="str">
        <f>IF($H180&lt;&gt;"",_xlfn.XLOOKUP(H180,Naturezas!B:B,Naturezas!E:E,"",0,1),"")</f>
        <v/>
      </c>
      <c r="U180" s="4" t="str">
        <f>IF($H180&lt;&gt;"",_xlfn.XLOOKUP($H180,Naturezas!B:B,Naturezas!D:D,"",0,1),"")</f>
        <v/>
      </c>
      <c r="V180" s="5" t="str">
        <f>IF(H180&lt;&gt;"",IF(OR(H180=Naturezas!$B$3,H180=Naturezas!$B$4,H180=Naturezas!$B$5,H180=Naturezas!$B$17,H180=Naturezas!$B$18,H180=Naturezas!$B$19),G180,-G180),"")</f>
        <v/>
      </c>
      <c r="W180" s="4" t="str">
        <f t="shared" si="16"/>
        <v/>
      </c>
      <c r="X180" s="4"/>
      <c r="Y180" s="4" t="str">
        <f t="shared" si="17"/>
        <v/>
      </c>
      <c r="Z180" s="6" t="str">
        <f>IF(H180&lt;&gt;"",Tabela1[[#This Row],[Iniciais]],"")</f>
        <v/>
      </c>
      <c r="AB180" s="6" t="str">
        <f>IF($H180&lt;&gt;"",RIGHT(Tabela1[[#This Row],[Ref.]],2),"")</f>
        <v/>
      </c>
      <c r="AC180" s="37" t="str">
        <f>IF($H180&lt;&gt;"",DATE(LEFT(Tabela1[[#This Row],[Ref.]],4),RIGHT(Tabela1[[#This Row],[Ref.]],2),1),"")</f>
        <v/>
      </c>
      <c r="AD180" s="4" t="str">
        <f t="shared" si="13"/>
        <v/>
      </c>
      <c r="AE180" s="5" t="str">
        <f t="shared" si="14"/>
        <v/>
      </c>
      <c r="AF180" s="4"/>
      <c r="AG180" s="6" t="str">
        <f t="shared" si="15"/>
        <v/>
      </c>
    </row>
    <row r="181" spans="1:33" ht="15.75" customHeight="1" x14ac:dyDescent="0.2">
      <c r="A181" s="35"/>
      <c r="B181" s="44"/>
      <c r="C181" s="35"/>
      <c r="D181" s="35"/>
      <c r="E181" s="48"/>
      <c r="F181" s="45"/>
      <c r="G181" s="38"/>
      <c r="H181" s="45"/>
      <c r="I181" s="45"/>
      <c r="L181" s="19"/>
      <c r="M181" s="2"/>
      <c r="N181" s="25"/>
      <c r="O181" s="25"/>
      <c r="P181" s="29"/>
      <c r="Q181" s="3"/>
      <c r="R181" s="6" t="str">
        <f>IF($H181&lt;&gt;"",RIGHT(Tabela1[[#This Row],[Ref.]],2),"")</f>
        <v/>
      </c>
      <c r="S181" s="6" t="str">
        <f t="shared" si="12"/>
        <v/>
      </c>
      <c r="T181" s="4" t="str">
        <f>IF($H181&lt;&gt;"",_xlfn.XLOOKUP(H181,Naturezas!B:B,Naturezas!E:E,"",0,1),"")</f>
        <v/>
      </c>
      <c r="U181" s="4" t="str">
        <f>IF($H181&lt;&gt;"",_xlfn.XLOOKUP($H181,Naturezas!B:B,Naturezas!D:D,"",0,1),"")</f>
        <v/>
      </c>
      <c r="V181" s="5" t="str">
        <f>IF(H181&lt;&gt;"",IF(OR(H181=Naturezas!$B$3,H181=Naturezas!$B$4,H181=Naturezas!$B$5,H181=Naturezas!$B$17,H181=Naturezas!$B$18,H181=Naturezas!$B$19),G181,-G181),"")</f>
        <v/>
      </c>
      <c r="W181" s="4" t="str">
        <f t="shared" si="16"/>
        <v/>
      </c>
      <c r="X181" s="4"/>
      <c r="Y181" s="4" t="str">
        <f t="shared" si="17"/>
        <v/>
      </c>
      <c r="Z181" s="6" t="str">
        <f>IF(H181&lt;&gt;"",Tabela1[[#This Row],[Iniciais]],"")</f>
        <v/>
      </c>
      <c r="AB181" s="6" t="str">
        <f>IF($H181&lt;&gt;"",RIGHT(Tabela1[[#This Row],[Ref.]],2),"")</f>
        <v/>
      </c>
      <c r="AC181" s="37" t="str">
        <f>IF($H181&lt;&gt;"",DATE(LEFT(Tabela1[[#This Row],[Ref.]],4),RIGHT(Tabela1[[#This Row],[Ref.]],2),1),"")</f>
        <v/>
      </c>
      <c r="AD181" s="4" t="str">
        <f t="shared" si="13"/>
        <v/>
      </c>
      <c r="AE181" s="5" t="str">
        <f t="shared" si="14"/>
        <v/>
      </c>
      <c r="AF181" s="4"/>
      <c r="AG181" s="6" t="str">
        <f t="shared" si="15"/>
        <v/>
      </c>
    </row>
    <row r="182" spans="1:33" ht="15.75" customHeight="1" x14ac:dyDescent="0.2">
      <c r="A182" s="35"/>
      <c r="B182" s="44"/>
      <c r="C182" s="35"/>
      <c r="D182" s="35"/>
      <c r="E182" s="48"/>
      <c r="F182" s="45"/>
      <c r="G182" s="38"/>
      <c r="H182" s="45"/>
      <c r="I182" s="45"/>
      <c r="L182" s="19"/>
      <c r="M182" s="2"/>
      <c r="N182" s="25"/>
      <c r="O182" s="25"/>
      <c r="P182" s="29"/>
      <c r="Q182" s="3"/>
      <c r="R182" s="6" t="str">
        <f>IF($H182&lt;&gt;"",RIGHT(Tabela1[[#This Row],[Ref.]],2),"")</f>
        <v/>
      </c>
      <c r="S182" s="6" t="str">
        <f t="shared" si="12"/>
        <v/>
      </c>
      <c r="T182" s="4" t="str">
        <f>IF($H182&lt;&gt;"",_xlfn.XLOOKUP(H182,Naturezas!B:B,Naturezas!E:E,"",0,1),"")</f>
        <v/>
      </c>
      <c r="U182" s="4" t="str">
        <f>IF($H182&lt;&gt;"",_xlfn.XLOOKUP($H182,Naturezas!B:B,Naturezas!D:D,"",0,1),"")</f>
        <v/>
      </c>
      <c r="V182" s="5" t="str">
        <f>IF(H182&lt;&gt;"",IF(OR(H182=Naturezas!$B$3,H182=Naturezas!$B$4,H182=Naturezas!$B$5,H182=Naturezas!$B$17,H182=Naturezas!$B$18,H182=Naturezas!$B$19),G182,-G182),"")</f>
        <v/>
      </c>
      <c r="W182" s="4" t="str">
        <f t="shared" si="16"/>
        <v/>
      </c>
      <c r="X182" s="4"/>
      <c r="Y182" s="4" t="str">
        <f t="shared" si="17"/>
        <v/>
      </c>
      <c r="Z182" s="6" t="str">
        <f>IF(H182&lt;&gt;"",Tabela1[[#This Row],[Iniciais]],"")</f>
        <v/>
      </c>
      <c r="AB182" s="6" t="str">
        <f>IF($H182&lt;&gt;"",RIGHT(Tabela1[[#This Row],[Ref.]],2),"")</f>
        <v/>
      </c>
      <c r="AC182" s="37" t="str">
        <f>IF($H182&lt;&gt;"",DATE(LEFT(Tabela1[[#This Row],[Ref.]],4),RIGHT(Tabela1[[#This Row],[Ref.]],2),1),"")</f>
        <v/>
      </c>
      <c r="AD182" s="4" t="str">
        <f t="shared" si="13"/>
        <v/>
      </c>
      <c r="AE182" s="5" t="str">
        <f t="shared" si="14"/>
        <v/>
      </c>
      <c r="AF182" s="4"/>
      <c r="AG182" s="6" t="str">
        <f t="shared" si="15"/>
        <v/>
      </c>
    </row>
    <row r="183" spans="1:33" ht="15.75" customHeight="1" x14ac:dyDescent="0.2">
      <c r="A183" s="35"/>
      <c r="B183" s="44"/>
      <c r="C183" s="35"/>
      <c r="D183" s="35"/>
      <c r="E183" s="48"/>
      <c r="F183" s="45"/>
      <c r="G183" s="38"/>
      <c r="H183" s="45"/>
      <c r="I183" s="45"/>
      <c r="L183" s="19"/>
      <c r="M183" s="2"/>
      <c r="N183" s="25"/>
      <c r="O183" s="25"/>
      <c r="P183" s="29"/>
      <c r="Q183" s="3"/>
      <c r="R183" s="6" t="str">
        <f>IF($H183&lt;&gt;"",RIGHT(Tabela1[[#This Row],[Ref.]],2),"")</f>
        <v/>
      </c>
      <c r="S183" s="6" t="str">
        <f t="shared" si="12"/>
        <v/>
      </c>
      <c r="T183" s="4" t="str">
        <f>IF($H183&lt;&gt;"",_xlfn.XLOOKUP(H183,Naturezas!B:B,Naturezas!E:E,"",0,1),"")</f>
        <v/>
      </c>
      <c r="U183" s="4" t="str">
        <f>IF($H183&lt;&gt;"",_xlfn.XLOOKUP($H183,Naturezas!B:B,Naturezas!D:D,"",0,1),"")</f>
        <v/>
      </c>
      <c r="V183" s="5" t="str">
        <f>IF(H183&lt;&gt;"",IF(OR(H183=Naturezas!$B$3,H183=Naturezas!$B$4,H183=Naturezas!$B$5,H183=Naturezas!$B$17,H183=Naturezas!$B$18,H183=Naturezas!$B$19),G183,-G183),"")</f>
        <v/>
      </c>
      <c r="W183" s="4" t="str">
        <f t="shared" si="16"/>
        <v/>
      </c>
      <c r="X183" s="4"/>
      <c r="Y183" s="4" t="str">
        <f t="shared" si="17"/>
        <v/>
      </c>
      <c r="Z183" s="6" t="str">
        <f>IF(H183&lt;&gt;"",Tabela1[[#This Row],[Iniciais]],"")</f>
        <v/>
      </c>
      <c r="AB183" s="6" t="str">
        <f>IF($H183&lt;&gt;"",RIGHT(Tabela1[[#This Row],[Ref.]],2),"")</f>
        <v/>
      </c>
      <c r="AC183" s="37" t="str">
        <f>IF($H183&lt;&gt;"",DATE(LEFT(Tabela1[[#This Row],[Ref.]],4),RIGHT(Tabela1[[#This Row],[Ref.]],2),1),"")</f>
        <v/>
      </c>
      <c r="AD183" s="4" t="str">
        <f t="shared" si="13"/>
        <v/>
      </c>
      <c r="AE183" s="5" t="str">
        <f t="shared" si="14"/>
        <v/>
      </c>
      <c r="AF183" s="4"/>
      <c r="AG183" s="6" t="str">
        <f t="shared" si="15"/>
        <v/>
      </c>
    </row>
    <row r="184" spans="1:33" ht="15.75" customHeight="1" x14ac:dyDescent="0.2">
      <c r="A184" s="35"/>
      <c r="B184" s="44"/>
      <c r="C184" s="35"/>
      <c r="D184" s="35"/>
      <c r="E184" s="48"/>
      <c r="F184" s="45"/>
      <c r="G184" s="38"/>
      <c r="H184" s="45"/>
      <c r="I184" s="45"/>
      <c r="L184" s="19"/>
      <c r="M184" s="2"/>
      <c r="N184" s="25"/>
      <c r="O184" s="25"/>
      <c r="P184" s="29"/>
      <c r="Q184" s="3"/>
      <c r="R184" s="6" t="str">
        <f>IF($H184&lt;&gt;"",RIGHT(Tabela1[[#This Row],[Ref.]],2),"")</f>
        <v/>
      </c>
      <c r="S184" s="6" t="str">
        <f t="shared" si="12"/>
        <v/>
      </c>
      <c r="T184" s="4" t="str">
        <f>IF($H184&lt;&gt;"",_xlfn.XLOOKUP(H184,Naturezas!B:B,Naturezas!E:E,"",0,1),"")</f>
        <v/>
      </c>
      <c r="U184" s="4" t="str">
        <f>IF($H184&lt;&gt;"",_xlfn.XLOOKUP($H184,Naturezas!B:B,Naturezas!D:D,"",0,1),"")</f>
        <v/>
      </c>
      <c r="V184" s="5" t="str">
        <f>IF(H184&lt;&gt;"",IF(OR(H184=Naturezas!$B$3,H184=Naturezas!$B$4,H184=Naturezas!$B$5,H184=Naturezas!$B$17,H184=Naturezas!$B$18,H184=Naturezas!$B$19),G184,-G184),"")</f>
        <v/>
      </c>
      <c r="W184" s="4" t="str">
        <f t="shared" si="16"/>
        <v/>
      </c>
      <c r="X184" s="4"/>
      <c r="Y184" s="4" t="str">
        <f t="shared" si="17"/>
        <v/>
      </c>
      <c r="Z184" s="6" t="str">
        <f>IF(H184&lt;&gt;"",Tabela1[[#This Row],[Iniciais]],"")</f>
        <v/>
      </c>
      <c r="AB184" s="6" t="str">
        <f>IF($H184&lt;&gt;"",RIGHT(Tabela1[[#This Row],[Ref.]],2),"")</f>
        <v/>
      </c>
      <c r="AC184" s="37" t="str">
        <f>IF($H184&lt;&gt;"",DATE(LEFT(Tabela1[[#This Row],[Ref.]],4),RIGHT(Tabela1[[#This Row],[Ref.]],2),1),"")</f>
        <v/>
      </c>
      <c r="AD184" s="4" t="str">
        <f t="shared" si="13"/>
        <v/>
      </c>
      <c r="AE184" s="5" t="str">
        <f t="shared" si="14"/>
        <v/>
      </c>
      <c r="AF184" s="4"/>
      <c r="AG184" s="6" t="str">
        <f t="shared" si="15"/>
        <v/>
      </c>
    </row>
    <row r="185" spans="1:33" ht="15.75" customHeight="1" x14ac:dyDescent="0.2">
      <c r="A185" s="35"/>
      <c r="B185" s="44"/>
      <c r="C185" s="35"/>
      <c r="D185" s="35"/>
      <c r="E185" s="48"/>
      <c r="F185" s="45"/>
      <c r="G185" s="38"/>
      <c r="H185" s="45"/>
      <c r="I185" s="45"/>
      <c r="L185" s="19"/>
      <c r="M185" s="2"/>
      <c r="N185" s="25"/>
      <c r="O185" s="25"/>
      <c r="P185" s="29"/>
      <c r="Q185" s="3"/>
      <c r="R185" s="6" t="str">
        <f>IF($H185&lt;&gt;"",RIGHT(Tabela1[[#This Row],[Ref.]],2),"")</f>
        <v/>
      </c>
      <c r="S185" s="6" t="str">
        <f t="shared" si="12"/>
        <v/>
      </c>
      <c r="T185" s="4" t="str">
        <f>IF($H185&lt;&gt;"",_xlfn.XLOOKUP(H185,Naturezas!B:B,Naturezas!E:E,"",0,1),"")</f>
        <v/>
      </c>
      <c r="U185" s="4" t="str">
        <f>IF($H185&lt;&gt;"",_xlfn.XLOOKUP($H185,Naturezas!B:B,Naturezas!D:D,"",0,1),"")</f>
        <v/>
      </c>
      <c r="V185" s="5" t="str">
        <f>IF(H185&lt;&gt;"",IF(OR(H185=Naturezas!$B$3,H185=Naturezas!$B$4,H185=Naturezas!$B$5,H185=Naturezas!$B$17,H185=Naturezas!$B$18,H185=Naturezas!$B$19),G185,-G185),"")</f>
        <v/>
      </c>
      <c r="W185" s="4" t="str">
        <f t="shared" si="16"/>
        <v/>
      </c>
      <c r="X185" s="4"/>
      <c r="Y185" s="4" t="str">
        <f t="shared" si="17"/>
        <v/>
      </c>
      <c r="Z185" s="6" t="str">
        <f>IF(H185&lt;&gt;"",Tabela1[[#This Row],[Iniciais]],"")</f>
        <v/>
      </c>
      <c r="AB185" s="6" t="str">
        <f>IF($H185&lt;&gt;"",RIGHT(Tabela1[[#This Row],[Ref.]],2),"")</f>
        <v/>
      </c>
      <c r="AC185" s="37" t="str">
        <f>IF($H185&lt;&gt;"",DATE(LEFT(Tabela1[[#This Row],[Ref.]],4),RIGHT(Tabela1[[#This Row],[Ref.]],2),1),"")</f>
        <v/>
      </c>
      <c r="AD185" s="4" t="str">
        <f t="shared" si="13"/>
        <v/>
      </c>
      <c r="AE185" s="5" t="str">
        <f t="shared" si="14"/>
        <v/>
      </c>
      <c r="AF185" s="4"/>
      <c r="AG185" s="6" t="str">
        <f t="shared" si="15"/>
        <v/>
      </c>
    </row>
    <row r="186" spans="1:33" ht="15.75" customHeight="1" x14ac:dyDescent="0.2">
      <c r="A186" s="35"/>
      <c r="B186" s="44"/>
      <c r="C186" s="35"/>
      <c r="D186" s="35"/>
      <c r="E186" s="48"/>
      <c r="F186" s="45"/>
      <c r="G186" s="38"/>
      <c r="H186" s="45"/>
      <c r="I186" s="45"/>
      <c r="L186" s="19"/>
      <c r="M186" s="2"/>
      <c r="N186" s="25"/>
      <c r="O186" s="25"/>
      <c r="P186" s="29"/>
      <c r="Q186" s="3"/>
      <c r="R186" s="6" t="str">
        <f>IF($H186&lt;&gt;"",RIGHT(Tabela1[[#This Row],[Ref.]],2),"")</f>
        <v/>
      </c>
      <c r="S186" s="6" t="str">
        <f t="shared" si="12"/>
        <v/>
      </c>
      <c r="T186" s="4" t="str">
        <f>IF($H186&lt;&gt;"",_xlfn.XLOOKUP(H186,Naturezas!B:B,Naturezas!E:E,"",0,1),"")</f>
        <v/>
      </c>
      <c r="U186" s="4" t="str">
        <f>IF($H186&lt;&gt;"",_xlfn.XLOOKUP($H186,Naturezas!B:B,Naturezas!D:D,"",0,1),"")</f>
        <v/>
      </c>
      <c r="V186" s="5" t="str">
        <f>IF(H186&lt;&gt;"",IF(OR(H186=Naturezas!$B$3,H186=Naturezas!$B$4,H186=Naturezas!$B$5,H186=Naturezas!$B$17,H186=Naturezas!$B$18,H186=Naturezas!$B$19),G186,-G186),"")</f>
        <v/>
      </c>
      <c r="W186" s="4" t="str">
        <f t="shared" si="16"/>
        <v/>
      </c>
      <c r="X186" s="4"/>
      <c r="Y186" s="4" t="str">
        <f t="shared" si="17"/>
        <v/>
      </c>
      <c r="Z186" s="6" t="str">
        <f>IF(H186&lt;&gt;"",Tabela1[[#This Row],[Iniciais]],"")</f>
        <v/>
      </c>
      <c r="AB186" s="6" t="str">
        <f>IF($H186&lt;&gt;"",RIGHT(Tabela1[[#This Row],[Ref.]],2),"")</f>
        <v/>
      </c>
      <c r="AC186" s="37" t="str">
        <f>IF($H186&lt;&gt;"",DATE(LEFT(Tabela1[[#This Row],[Ref.]],4),RIGHT(Tabela1[[#This Row],[Ref.]],2),1),"")</f>
        <v/>
      </c>
      <c r="AD186" s="4" t="str">
        <f t="shared" si="13"/>
        <v/>
      </c>
      <c r="AE186" s="5" t="str">
        <f t="shared" si="14"/>
        <v/>
      </c>
      <c r="AF186" s="4"/>
      <c r="AG186" s="6" t="str">
        <f t="shared" si="15"/>
        <v/>
      </c>
    </row>
    <row r="187" spans="1:33" ht="15.75" customHeight="1" x14ac:dyDescent="0.2">
      <c r="A187" s="35"/>
      <c r="B187" s="44"/>
      <c r="C187" s="35"/>
      <c r="D187" s="35"/>
      <c r="E187" s="48"/>
      <c r="F187" s="45"/>
      <c r="G187" s="38"/>
      <c r="H187" s="45"/>
      <c r="I187" s="45"/>
      <c r="L187" s="19"/>
      <c r="M187" s="2"/>
      <c r="N187" s="25"/>
      <c r="O187" s="25"/>
      <c r="P187" s="29"/>
      <c r="Q187" s="3"/>
      <c r="R187" s="6" t="str">
        <f>IF($H187&lt;&gt;"",RIGHT(Tabela1[[#This Row],[Ref.]],2),"")</f>
        <v/>
      </c>
      <c r="S187" s="6" t="str">
        <f t="shared" si="12"/>
        <v/>
      </c>
      <c r="T187" s="4" t="str">
        <f>IF($H187&lt;&gt;"",_xlfn.XLOOKUP(H187,Naturezas!B:B,Naturezas!E:E,"",0,1),"")</f>
        <v/>
      </c>
      <c r="U187" s="4" t="str">
        <f>IF($H187&lt;&gt;"",_xlfn.XLOOKUP($H187,Naturezas!B:B,Naturezas!D:D,"",0,1),"")</f>
        <v/>
      </c>
      <c r="V187" s="5" t="str">
        <f>IF(H187&lt;&gt;"",IF(OR(H187=Naturezas!$B$3,H187=Naturezas!$B$4,H187=Naturezas!$B$5,H187=Naturezas!$B$17,H187=Naturezas!$B$18,H187=Naturezas!$B$19),G187,-G187),"")</f>
        <v/>
      </c>
      <c r="W187" s="4" t="str">
        <f t="shared" si="16"/>
        <v/>
      </c>
      <c r="X187" s="4"/>
      <c r="Y187" s="4" t="str">
        <f t="shared" si="17"/>
        <v/>
      </c>
      <c r="Z187" s="6" t="str">
        <f>IF(H187&lt;&gt;"",Tabela1[[#This Row],[Iniciais]],"")</f>
        <v/>
      </c>
      <c r="AB187" s="6" t="str">
        <f>IF($H187&lt;&gt;"",RIGHT(Tabela1[[#This Row],[Ref.]],2),"")</f>
        <v/>
      </c>
      <c r="AC187" s="37" t="str">
        <f>IF($H187&lt;&gt;"",DATE(LEFT(Tabela1[[#This Row],[Ref.]],4),RIGHT(Tabela1[[#This Row],[Ref.]],2),1),"")</f>
        <v/>
      </c>
      <c r="AD187" s="4" t="str">
        <f t="shared" si="13"/>
        <v/>
      </c>
      <c r="AE187" s="5" t="str">
        <f t="shared" si="14"/>
        <v/>
      </c>
      <c r="AF187" s="4"/>
      <c r="AG187" s="6" t="str">
        <f t="shared" si="15"/>
        <v/>
      </c>
    </row>
    <row r="188" spans="1:33" ht="15.75" customHeight="1" x14ac:dyDescent="0.2">
      <c r="A188" s="35"/>
      <c r="B188" s="44"/>
      <c r="C188" s="35"/>
      <c r="D188" s="35"/>
      <c r="E188" s="48"/>
      <c r="F188" s="45"/>
      <c r="G188" s="38"/>
      <c r="H188" s="45"/>
      <c r="I188" s="45"/>
      <c r="L188" s="19"/>
      <c r="M188" s="2"/>
      <c r="N188" s="25"/>
      <c r="O188" s="25"/>
      <c r="P188" s="29"/>
      <c r="Q188" s="3"/>
      <c r="R188" s="6" t="str">
        <f>IF($H188&lt;&gt;"",RIGHT(Tabela1[[#This Row],[Ref.]],2),"")</f>
        <v/>
      </c>
      <c r="S188" s="6" t="str">
        <f t="shared" si="12"/>
        <v/>
      </c>
      <c r="T188" s="4" t="str">
        <f>IF($H188&lt;&gt;"",_xlfn.XLOOKUP(H188,Naturezas!B:B,Naturezas!E:E,"",0,1),"")</f>
        <v/>
      </c>
      <c r="U188" s="4" t="str">
        <f>IF($H188&lt;&gt;"",_xlfn.XLOOKUP($H188,Naturezas!B:B,Naturezas!D:D,"",0,1),"")</f>
        <v/>
      </c>
      <c r="V188" s="5" t="str">
        <f>IF(H188&lt;&gt;"",IF(OR(H188=Naturezas!$B$3,H188=Naturezas!$B$4,H188=Naturezas!$B$5,H188=Naturezas!$B$17,H188=Naturezas!$B$18,H188=Naturezas!$B$19),G188,-G188),"")</f>
        <v/>
      </c>
      <c r="W188" s="4" t="str">
        <f t="shared" si="16"/>
        <v/>
      </c>
      <c r="X188" s="4"/>
      <c r="Y188" s="4" t="str">
        <f t="shared" si="17"/>
        <v/>
      </c>
      <c r="Z188" s="6" t="str">
        <f>IF(H188&lt;&gt;"",Tabela1[[#This Row],[Iniciais]],"")</f>
        <v/>
      </c>
      <c r="AB188" s="6" t="str">
        <f>IF($H188&lt;&gt;"",RIGHT(Tabela1[[#This Row],[Ref.]],2),"")</f>
        <v/>
      </c>
      <c r="AC188" s="37" t="str">
        <f>IF($H188&lt;&gt;"",DATE(LEFT(Tabela1[[#This Row],[Ref.]],4),RIGHT(Tabela1[[#This Row],[Ref.]],2),1),"")</f>
        <v/>
      </c>
      <c r="AD188" s="4" t="str">
        <f t="shared" si="13"/>
        <v/>
      </c>
      <c r="AE188" s="5" t="str">
        <f t="shared" si="14"/>
        <v/>
      </c>
      <c r="AF188" s="4"/>
      <c r="AG188" s="6" t="str">
        <f t="shared" si="15"/>
        <v/>
      </c>
    </row>
    <row r="189" spans="1:33" ht="15.75" customHeight="1" x14ac:dyDescent="0.2">
      <c r="A189" s="35"/>
      <c r="B189" s="44"/>
      <c r="C189" s="35"/>
      <c r="D189" s="35"/>
      <c r="E189" s="48"/>
      <c r="F189" s="45"/>
      <c r="G189" s="38"/>
      <c r="H189" s="45"/>
      <c r="I189" s="45"/>
      <c r="L189" s="19"/>
      <c r="M189" s="2"/>
      <c r="N189" s="25"/>
      <c r="O189" s="25"/>
      <c r="P189" s="29"/>
      <c r="Q189" s="3"/>
      <c r="R189" s="6" t="str">
        <f>IF($H189&lt;&gt;"",RIGHT(Tabela1[[#This Row],[Ref.]],2),"")</f>
        <v/>
      </c>
      <c r="S189" s="6" t="str">
        <f t="shared" si="12"/>
        <v/>
      </c>
      <c r="T189" s="4" t="str">
        <f>IF($H189&lt;&gt;"",_xlfn.XLOOKUP(H189,Naturezas!B:B,Naturezas!E:E,"",0,1),"")</f>
        <v/>
      </c>
      <c r="U189" s="4" t="str">
        <f>IF($H189&lt;&gt;"",_xlfn.XLOOKUP($H189,Naturezas!B:B,Naturezas!D:D,"",0,1),"")</f>
        <v/>
      </c>
      <c r="V189" s="5" t="str">
        <f>IF(H189&lt;&gt;"",IF(OR(H189=Naturezas!$B$3,H189=Naturezas!$B$4,H189=Naturezas!$B$5,H189=Naturezas!$B$17,H189=Naturezas!$B$18,H189=Naturezas!$B$19),G189,-G189),"")</f>
        <v/>
      </c>
      <c r="W189" s="4" t="str">
        <f t="shared" si="16"/>
        <v/>
      </c>
      <c r="X189" s="4"/>
      <c r="Y189" s="4" t="str">
        <f t="shared" si="17"/>
        <v/>
      </c>
      <c r="Z189" s="6" t="str">
        <f>IF(H189&lt;&gt;"",Tabela1[[#This Row],[Iniciais]],"")</f>
        <v/>
      </c>
      <c r="AB189" s="6" t="str">
        <f>IF($H189&lt;&gt;"",RIGHT(Tabela1[[#This Row],[Ref.]],2),"")</f>
        <v/>
      </c>
      <c r="AC189" s="37" t="str">
        <f>IF($H189&lt;&gt;"",DATE(LEFT(Tabela1[[#This Row],[Ref.]],4),RIGHT(Tabela1[[#This Row],[Ref.]],2),1),"")</f>
        <v/>
      </c>
      <c r="AD189" s="4" t="str">
        <f t="shared" si="13"/>
        <v/>
      </c>
      <c r="AE189" s="5" t="str">
        <f t="shared" si="14"/>
        <v/>
      </c>
      <c r="AF189" s="4"/>
      <c r="AG189" s="6" t="str">
        <f t="shared" si="15"/>
        <v/>
      </c>
    </row>
    <row r="190" spans="1:33" ht="15.75" customHeight="1" x14ac:dyDescent="0.2">
      <c r="A190" s="35"/>
      <c r="B190" s="44"/>
      <c r="C190" s="35"/>
      <c r="D190" s="35"/>
      <c r="E190" s="48"/>
      <c r="F190" s="45"/>
      <c r="G190" s="38"/>
      <c r="H190" s="45"/>
      <c r="I190" s="45"/>
      <c r="L190" s="19"/>
      <c r="M190" s="2"/>
      <c r="N190" s="25"/>
      <c r="O190" s="25"/>
      <c r="P190" s="29"/>
      <c r="Q190" s="3"/>
      <c r="R190" s="6" t="str">
        <f>IF($H190&lt;&gt;"",RIGHT(Tabela1[[#This Row],[Ref.]],2),"")</f>
        <v/>
      </c>
      <c r="S190" s="6" t="str">
        <f t="shared" si="12"/>
        <v/>
      </c>
      <c r="T190" s="4" t="str">
        <f>IF($H190&lt;&gt;"",_xlfn.XLOOKUP(H190,Naturezas!B:B,Naturezas!E:E,"",0,1),"")</f>
        <v/>
      </c>
      <c r="U190" s="4" t="str">
        <f>IF($H190&lt;&gt;"",_xlfn.XLOOKUP($H190,Naturezas!B:B,Naturezas!D:D,"",0,1),"")</f>
        <v/>
      </c>
      <c r="V190" s="5" t="str">
        <f>IF(H190&lt;&gt;"",IF(OR(H190=Naturezas!$B$3,H190=Naturezas!$B$4,H190=Naturezas!$B$5,H190=Naturezas!$B$17,H190=Naturezas!$B$18,H190=Naturezas!$B$19),G190,-G190),"")</f>
        <v/>
      </c>
      <c r="W190" s="4" t="str">
        <f t="shared" si="16"/>
        <v/>
      </c>
      <c r="X190" s="4"/>
      <c r="Y190" s="4" t="str">
        <f t="shared" si="17"/>
        <v/>
      </c>
      <c r="Z190" s="6" t="str">
        <f>IF(H190&lt;&gt;"",Tabela1[[#This Row],[Iniciais]],"")</f>
        <v/>
      </c>
      <c r="AB190" s="6" t="str">
        <f>IF($H190&lt;&gt;"",RIGHT(Tabela1[[#This Row],[Ref.]],2),"")</f>
        <v/>
      </c>
      <c r="AC190" s="37" t="str">
        <f>IF($H190&lt;&gt;"",DATE(LEFT(Tabela1[[#This Row],[Ref.]],4),RIGHT(Tabela1[[#This Row],[Ref.]],2),1),"")</f>
        <v/>
      </c>
      <c r="AD190" s="4" t="str">
        <f t="shared" si="13"/>
        <v/>
      </c>
      <c r="AE190" s="5" t="str">
        <f t="shared" si="14"/>
        <v/>
      </c>
      <c r="AF190" s="4"/>
      <c r="AG190" s="6" t="str">
        <f t="shared" si="15"/>
        <v/>
      </c>
    </row>
    <row r="191" spans="1:33" ht="15.75" customHeight="1" x14ac:dyDescent="0.2">
      <c r="A191" s="35"/>
      <c r="B191" s="44"/>
      <c r="C191" s="35"/>
      <c r="D191" s="35"/>
      <c r="E191" s="48"/>
      <c r="F191" s="45"/>
      <c r="G191" s="38"/>
      <c r="H191" s="45"/>
      <c r="I191" s="45"/>
      <c r="L191" s="19"/>
      <c r="M191" s="2"/>
      <c r="N191" s="25"/>
      <c r="O191" s="25"/>
      <c r="P191" s="29"/>
      <c r="Q191" s="3"/>
      <c r="R191" s="6" t="str">
        <f>IF($H191&lt;&gt;"",RIGHT(Tabela1[[#This Row],[Ref.]],2),"")</f>
        <v/>
      </c>
      <c r="S191" s="6" t="str">
        <f t="shared" si="12"/>
        <v/>
      </c>
      <c r="T191" s="4" t="str">
        <f>IF($H191&lt;&gt;"",_xlfn.XLOOKUP(H191,Naturezas!B:B,Naturezas!E:E,"",0,1),"")</f>
        <v/>
      </c>
      <c r="U191" s="4" t="str">
        <f>IF($H191&lt;&gt;"",_xlfn.XLOOKUP($H191,Naturezas!B:B,Naturezas!D:D,"",0,1),"")</f>
        <v/>
      </c>
      <c r="V191" s="5" t="str">
        <f>IF(H191&lt;&gt;"",IF(OR(H191=Naturezas!$B$3,H191=Naturezas!$B$4,H191=Naturezas!$B$5,H191=Naturezas!$B$17,H191=Naturezas!$B$18,H191=Naturezas!$B$19),G191,-G191),"")</f>
        <v/>
      </c>
      <c r="W191" s="4" t="str">
        <f t="shared" si="16"/>
        <v/>
      </c>
      <c r="X191" s="4"/>
      <c r="Y191" s="4" t="str">
        <f t="shared" si="17"/>
        <v/>
      </c>
      <c r="Z191" s="6" t="str">
        <f>IF(H191&lt;&gt;"",Tabela1[[#This Row],[Iniciais]],"")</f>
        <v/>
      </c>
      <c r="AB191" s="6" t="str">
        <f>IF($H191&lt;&gt;"",RIGHT(Tabela1[[#This Row],[Ref.]],2),"")</f>
        <v/>
      </c>
      <c r="AC191" s="37" t="str">
        <f>IF($H191&lt;&gt;"",DATE(LEFT(Tabela1[[#This Row],[Ref.]],4),RIGHT(Tabela1[[#This Row],[Ref.]],2),1),"")</f>
        <v/>
      </c>
      <c r="AD191" s="4" t="str">
        <f t="shared" si="13"/>
        <v/>
      </c>
      <c r="AE191" s="5" t="str">
        <f t="shared" si="14"/>
        <v/>
      </c>
      <c r="AF191" s="4"/>
      <c r="AG191" s="6" t="str">
        <f t="shared" si="15"/>
        <v/>
      </c>
    </row>
    <row r="192" spans="1:33" ht="15.75" customHeight="1" x14ac:dyDescent="0.2">
      <c r="A192" s="35"/>
      <c r="B192" s="44"/>
      <c r="C192" s="35"/>
      <c r="D192" s="35"/>
      <c r="E192" s="48"/>
      <c r="F192" s="45"/>
      <c r="G192" s="38"/>
      <c r="H192" s="45"/>
      <c r="I192" s="45"/>
      <c r="L192" s="19"/>
      <c r="M192" s="2"/>
      <c r="N192" s="25"/>
      <c r="O192" s="25"/>
      <c r="P192" s="29"/>
      <c r="Q192" s="3"/>
      <c r="R192" s="6" t="str">
        <f>IF($H192&lt;&gt;"",RIGHT(Tabela1[[#This Row],[Ref.]],2),"")</f>
        <v/>
      </c>
      <c r="S192" s="6" t="str">
        <f t="shared" si="12"/>
        <v/>
      </c>
      <c r="T192" s="4" t="str">
        <f>IF($H192&lt;&gt;"",_xlfn.XLOOKUP(H192,Naturezas!B:B,Naturezas!E:E,"",0,1),"")</f>
        <v/>
      </c>
      <c r="U192" s="4" t="str">
        <f>IF($H192&lt;&gt;"",_xlfn.XLOOKUP($H192,Naturezas!B:B,Naturezas!D:D,"",0,1),"")</f>
        <v/>
      </c>
      <c r="V192" s="5" t="str">
        <f>IF(H192&lt;&gt;"",IF(OR(H192=Naturezas!$B$3,H192=Naturezas!$B$4,H192=Naturezas!$B$5,H192=Naturezas!$B$17,H192=Naturezas!$B$18,H192=Naturezas!$B$19),G192,-G192),"")</f>
        <v/>
      </c>
      <c r="W192" s="4" t="str">
        <f t="shared" si="16"/>
        <v/>
      </c>
      <c r="X192" s="4"/>
      <c r="Y192" s="4" t="str">
        <f t="shared" si="17"/>
        <v/>
      </c>
      <c r="Z192" s="6" t="str">
        <f>IF(H192&lt;&gt;"",Tabela1[[#This Row],[Iniciais]],"")</f>
        <v/>
      </c>
      <c r="AB192" s="6" t="str">
        <f>IF($H192&lt;&gt;"",RIGHT(Tabela1[[#This Row],[Ref.]],2),"")</f>
        <v/>
      </c>
      <c r="AC192" s="37" t="str">
        <f>IF($H192&lt;&gt;"",DATE(LEFT(Tabela1[[#This Row],[Ref.]],4),RIGHT(Tabela1[[#This Row],[Ref.]],2),1),"")</f>
        <v/>
      </c>
      <c r="AD192" s="4" t="str">
        <f t="shared" si="13"/>
        <v/>
      </c>
      <c r="AE192" s="5" t="str">
        <f t="shared" si="14"/>
        <v/>
      </c>
      <c r="AF192" s="4"/>
      <c r="AG192" s="6" t="str">
        <f t="shared" si="15"/>
        <v/>
      </c>
    </row>
    <row r="193" spans="1:33" ht="15.75" customHeight="1" x14ac:dyDescent="0.2">
      <c r="A193" s="35"/>
      <c r="B193" s="44"/>
      <c r="C193" s="35"/>
      <c r="D193" s="35"/>
      <c r="E193" s="48"/>
      <c r="F193" s="45"/>
      <c r="G193" s="38"/>
      <c r="H193" s="45"/>
      <c r="I193" s="45"/>
      <c r="L193" s="19"/>
      <c r="M193" s="2"/>
      <c r="N193" s="25"/>
      <c r="O193" s="25"/>
      <c r="P193" s="29"/>
      <c r="Q193" s="3"/>
      <c r="R193" s="6" t="str">
        <f>IF($H193&lt;&gt;"",RIGHT(Tabela1[[#This Row],[Ref.]],2),"")</f>
        <v/>
      </c>
      <c r="S193" s="6" t="str">
        <f t="shared" si="12"/>
        <v/>
      </c>
      <c r="T193" s="4" t="str">
        <f>IF($H193&lt;&gt;"",_xlfn.XLOOKUP(H193,Naturezas!B:B,Naturezas!E:E,"",0,1),"")</f>
        <v/>
      </c>
      <c r="U193" s="4" t="str">
        <f>IF($H193&lt;&gt;"",_xlfn.XLOOKUP($H193,Naturezas!B:B,Naturezas!D:D,"",0,1),"")</f>
        <v/>
      </c>
      <c r="V193" s="5" t="str">
        <f>IF(H193&lt;&gt;"",IF(OR(H193=Naturezas!$B$3,H193=Naturezas!$B$4,H193=Naturezas!$B$5,H193=Naturezas!$B$17,H193=Naturezas!$B$18,H193=Naturezas!$B$19),G193,-G193),"")</f>
        <v/>
      </c>
      <c r="W193" s="4" t="str">
        <f t="shared" si="16"/>
        <v/>
      </c>
      <c r="X193" s="4"/>
      <c r="Y193" s="4" t="str">
        <f t="shared" si="17"/>
        <v/>
      </c>
      <c r="Z193" s="6" t="str">
        <f>IF(H193&lt;&gt;"",Tabela1[[#This Row],[Iniciais]],"")</f>
        <v/>
      </c>
      <c r="AB193" s="6" t="str">
        <f>IF($H193&lt;&gt;"",RIGHT(Tabela1[[#This Row],[Ref.]],2),"")</f>
        <v/>
      </c>
      <c r="AC193" s="37" t="str">
        <f>IF($H193&lt;&gt;"",DATE(LEFT(Tabela1[[#This Row],[Ref.]],4),RIGHT(Tabela1[[#This Row],[Ref.]],2),1),"")</f>
        <v/>
      </c>
      <c r="AD193" s="4" t="str">
        <f t="shared" si="13"/>
        <v/>
      </c>
      <c r="AE193" s="5" t="str">
        <f t="shared" si="14"/>
        <v/>
      </c>
      <c r="AF193" s="4"/>
      <c r="AG193" s="6" t="str">
        <f t="shared" si="15"/>
        <v/>
      </c>
    </row>
    <row r="194" spans="1:33" ht="15.75" customHeight="1" x14ac:dyDescent="0.2">
      <c r="A194" s="35"/>
      <c r="B194" s="44"/>
      <c r="C194" s="35"/>
      <c r="D194" s="35"/>
      <c r="E194" s="48"/>
      <c r="F194" s="45"/>
      <c r="G194" s="38"/>
      <c r="H194" s="45"/>
      <c r="I194" s="45"/>
      <c r="L194" s="19"/>
      <c r="M194" s="2"/>
      <c r="N194" s="25"/>
      <c r="O194" s="25"/>
      <c r="P194" s="29"/>
      <c r="Q194" s="3"/>
      <c r="R194" s="6" t="str">
        <f>IF($H194&lt;&gt;"",RIGHT(Tabela1[[#This Row],[Ref.]],2),"")</f>
        <v/>
      </c>
      <c r="S194" s="6" t="str">
        <f t="shared" si="12"/>
        <v/>
      </c>
      <c r="T194" s="4" t="str">
        <f>IF($H194&lt;&gt;"",_xlfn.XLOOKUP(H194,Naturezas!B:B,Naturezas!E:E,"",0,1),"")</f>
        <v/>
      </c>
      <c r="U194" s="4" t="str">
        <f>IF($H194&lt;&gt;"",_xlfn.XLOOKUP($H194,Naturezas!B:B,Naturezas!D:D,"",0,1),"")</f>
        <v/>
      </c>
      <c r="V194" s="5" t="str">
        <f>IF(H194&lt;&gt;"",IF(OR(H194=Naturezas!$B$3,H194=Naturezas!$B$4,H194=Naturezas!$B$5,H194=Naturezas!$B$17,H194=Naturezas!$B$18,H194=Naturezas!$B$19),G194,-G194),"")</f>
        <v/>
      </c>
      <c r="W194" s="4" t="str">
        <f t="shared" si="16"/>
        <v/>
      </c>
      <c r="X194" s="4"/>
      <c r="Y194" s="4" t="str">
        <f t="shared" si="17"/>
        <v/>
      </c>
      <c r="Z194" s="6" t="str">
        <f>IF(H194&lt;&gt;"",Tabela1[[#This Row],[Iniciais]],"")</f>
        <v/>
      </c>
      <c r="AB194" s="6" t="str">
        <f>IF($H194&lt;&gt;"",RIGHT(Tabela1[[#This Row],[Ref.]],2),"")</f>
        <v/>
      </c>
      <c r="AC194" s="37" t="str">
        <f>IF($H194&lt;&gt;"",DATE(LEFT(Tabela1[[#This Row],[Ref.]],4),RIGHT(Tabela1[[#This Row],[Ref.]],2),1),"")</f>
        <v/>
      </c>
      <c r="AD194" s="4" t="str">
        <f t="shared" si="13"/>
        <v/>
      </c>
      <c r="AE194" s="5" t="str">
        <f t="shared" si="14"/>
        <v/>
      </c>
      <c r="AF194" s="4"/>
      <c r="AG194" s="6" t="str">
        <f t="shared" si="15"/>
        <v/>
      </c>
    </row>
    <row r="195" spans="1:33" ht="15.75" customHeight="1" x14ac:dyDescent="0.2">
      <c r="A195" s="35"/>
      <c r="B195" s="44"/>
      <c r="C195" s="35"/>
      <c r="D195" s="35"/>
      <c r="E195" s="48"/>
      <c r="F195" s="45"/>
      <c r="G195" s="38"/>
      <c r="H195" s="45"/>
      <c r="I195" s="45"/>
      <c r="L195" s="19"/>
      <c r="M195" s="2"/>
      <c r="N195" s="25"/>
      <c r="O195" s="25"/>
      <c r="P195" s="29"/>
      <c r="Q195" s="3"/>
      <c r="R195" s="6" t="str">
        <f>IF($H195&lt;&gt;"",RIGHT(Tabela1[[#This Row],[Ref.]],2),"")</f>
        <v/>
      </c>
      <c r="S195" s="6" t="str">
        <f t="shared" si="12"/>
        <v/>
      </c>
      <c r="T195" s="4" t="str">
        <f>IF($H195&lt;&gt;"",_xlfn.XLOOKUP(H195,Naturezas!B:B,Naturezas!E:E,"",0,1),"")</f>
        <v/>
      </c>
      <c r="U195" s="4" t="str">
        <f>IF($H195&lt;&gt;"",_xlfn.XLOOKUP($H195,Naturezas!B:B,Naturezas!D:D,"",0,1),"")</f>
        <v/>
      </c>
      <c r="V195" s="5" t="str">
        <f>IF(H195&lt;&gt;"",IF(OR(H195=Naturezas!$B$3,H195=Naturezas!$B$4,H195=Naturezas!$B$5,H195=Naturezas!$B$17,H195=Naturezas!$B$18,H195=Naturezas!$B$19),G195,-G195),"")</f>
        <v/>
      </c>
      <c r="W195" s="4" t="str">
        <f t="shared" si="16"/>
        <v/>
      </c>
      <c r="X195" s="4"/>
      <c r="Y195" s="4" t="str">
        <f t="shared" si="17"/>
        <v/>
      </c>
      <c r="Z195" s="6" t="str">
        <f>IF(H195&lt;&gt;"",Tabela1[[#This Row],[Iniciais]],"")</f>
        <v/>
      </c>
      <c r="AB195" s="6" t="str">
        <f>IF($H195&lt;&gt;"",RIGHT(Tabela1[[#This Row],[Ref.]],2),"")</f>
        <v/>
      </c>
      <c r="AC195" s="37" t="str">
        <f>IF($H195&lt;&gt;"",DATE(LEFT(Tabela1[[#This Row],[Ref.]],4),RIGHT(Tabela1[[#This Row],[Ref.]],2),1),"")</f>
        <v/>
      </c>
      <c r="AD195" s="4" t="str">
        <f t="shared" si="13"/>
        <v/>
      </c>
      <c r="AE195" s="5" t="str">
        <f t="shared" si="14"/>
        <v/>
      </c>
      <c r="AF195" s="4"/>
      <c r="AG195" s="6" t="str">
        <f t="shared" si="15"/>
        <v/>
      </c>
    </row>
    <row r="196" spans="1:33" ht="15.75" customHeight="1" x14ac:dyDescent="0.2">
      <c r="A196" s="35"/>
      <c r="B196" s="44"/>
      <c r="C196" s="35"/>
      <c r="D196" s="35"/>
      <c r="E196" s="48"/>
      <c r="F196" s="45"/>
      <c r="G196" s="38"/>
      <c r="H196" s="45"/>
      <c r="I196" s="45"/>
      <c r="L196" s="19"/>
      <c r="M196" s="2"/>
      <c r="N196" s="25"/>
      <c r="O196" s="25"/>
      <c r="P196" s="29"/>
      <c r="Q196" s="3"/>
      <c r="R196" s="6" t="str">
        <f>IF($H196&lt;&gt;"",RIGHT(Tabela1[[#This Row],[Ref.]],2),"")</f>
        <v/>
      </c>
      <c r="S196" s="6" t="str">
        <f t="shared" si="12"/>
        <v/>
      </c>
      <c r="T196" s="4" t="str">
        <f>IF($H196&lt;&gt;"",_xlfn.XLOOKUP(H196,Naturezas!B:B,Naturezas!E:E,"",0,1),"")</f>
        <v/>
      </c>
      <c r="U196" s="4" t="str">
        <f>IF($H196&lt;&gt;"",_xlfn.XLOOKUP($H196,Naturezas!B:B,Naturezas!D:D,"",0,1),"")</f>
        <v/>
      </c>
      <c r="V196" s="5" t="str">
        <f>IF(H196&lt;&gt;"",IF(OR(H196=Naturezas!$B$3,H196=Naturezas!$B$4,H196=Naturezas!$B$5,H196=Naturezas!$B$17,H196=Naturezas!$B$18,H196=Naturezas!$B$19),G196,-G196),"")</f>
        <v/>
      </c>
      <c r="W196" s="4" t="str">
        <f t="shared" si="16"/>
        <v/>
      </c>
      <c r="X196" s="4"/>
      <c r="Y196" s="4" t="str">
        <f t="shared" si="17"/>
        <v/>
      </c>
      <c r="Z196" s="6" t="str">
        <f>IF(H196&lt;&gt;"",Tabela1[[#This Row],[Iniciais]],"")</f>
        <v/>
      </c>
      <c r="AB196" s="6" t="str">
        <f>IF($H196&lt;&gt;"",RIGHT(Tabela1[[#This Row],[Ref.]],2),"")</f>
        <v/>
      </c>
      <c r="AC196" s="37" t="str">
        <f>IF($H196&lt;&gt;"",DATE(LEFT(Tabela1[[#This Row],[Ref.]],4),RIGHT(Tabela1[[#This Row],[Ref.]],2),1),"")</f>
        <v/>
      </c>
      <c r="AD196" s="4" t="str">
        <f t="shared" si="13"/>
        <v/>
      </c>
      <c r="AE196" s="5" t="str">
        <f t="shared" si="14"/>
        <v/>
      </c>
      <c r="AF196" s="4"/>
      <c r="AG196" s="6" t="str">
        <f t="shared" si="15"/>
        <v/>
      </c>
    </row>
    <row r="197" spans="1:33" ht="15.75" customHeight="1" x14ac:dyDescent="0.2">
      <c r="A197" s="35"/>
      <c r="B197" s="44"/>
      <c r="C197" s="35"/>
      <c r="D197" s="35"/>
      <c r="E197" s="48"/>
      <c r="F197" s="45"/>
      <c r="G197" s="38"/>
      <c r="H197" s="45"/>
      <c r="I197" s="45"/>
      <c r="L197" s="19"/>
      <c r="M197" s="2"/>
      <c r="N197" s="25"/>
      <c r="O197" s="25"/>
      <c r="P197" s="29"/>
      <c r="Q197" s="3"/>
      <c r="R197" s="6" t="str">
        <f>IF($H197&lt;&gt;"",RIGHT(Tabela1[[#This Row],[Ref.]],2),"")</f>
        <v/>
      </c>
      <c r="S197" s="6" t="str">
        <f t="shared" si="12"/>
        <v/>
      </c>
      <c r="T197" s="4" t="str">
        <f>IF($H197&lt;&gt;"",_xlfn.XLOOKUP(H197,Naturezas!B:B,Naturezas!E:E,"",0,1),"")</f>
        <v/>
      </c>
      <c r="U197" s="4" t="str">
        <f>IF($H197&lt;&gt;"",_xlfn.XLOOKUP($H197,Naturezas!B:B,Naturezas!D:D,"",0,1),"")</f>
        <v/>
      </c>
      <c r="V197" s="5" t="str">
        <f>IF(H197&lt;&gt;"",IF(OR(H197=Naturezas!$B$3,H197=Naturezas!$B$4,H197=Naturezas!$B$5,H197=Naturezas!$B$17,H197=Naturezas!$B$18,H197=Naturezas!$B$19),G197,-G197),"")</f>
        <v/>
      </c>
      <c r="W197" s="4" t="str">
        <f t="shared" si="16"/>
        <v/>
      </c>
      <c r="X197" s="4"/>
      <c r="Y197" s="4" t="str">
        <f t="shared" si="17"/>
        <v/>
      </c>
      <c r="Z197" s="6" t="str">
        <f>IF(H197&lt;&gt;"",Tabela1[[#This Row],[Iniciais]],"")</f>
        <v/>
      </c>
      <c r="AB197" s="6" t="str">
        <f>IF($H197&lt;&gt;"",RIGHT(Tabela1[[#This Row],[Ref.]],2),"")</f>
        <v/>
      </c>
      <c r="AC197" s="37" t="str">
        <f>IF($H197&lt;&gt;"",DATE(LEFT(Tabela1[[#This Row],[Ref.]],4),RIGHT(Tabela1[[#This Row],[Ref.]],2),1),"")</f>
        <v/>
      </c>
      <c r="AD197" s="4" t="str">
        <f t="shared" si="13"/>
        <v/>
      </c>
      <c r="AE197" s="5" t="str">
        <f t="shared" si="14"/>
        <v/>
      </c>
      <c r="AF197" s="4"/>
      <c r="AG197" s="6" t="str">
        <f t="shared" si="15"/>
        <v/>
      </c>
    </row>
    <row r="198" spans="1:33" ht="15.75" customHeight="1" x14ac:dyDescent="0.2">
      <c r="A198" s="35"/>
      <c r="B198" s="44"/>
      <c r="C198" s="35"/>
      <c r="D198" s="35"/>
      <c r="E198" s="48"/>
      <c r="F198" s="45"/>
      <c r="G198" s="38"/>
      <c r="H198" s="45"/>
      <c r="I198" s="45"/>
      <c r="L198" s="19"/>
      <c r="M198" s="2"/>
      <c r="N198" s="25"/>
      <c r="O198" s="25"/>
      <c r="P198" s="29"/>
      <c r="Q198" s="3"/>
      <c r="R198" s="6" t="str">
        <f>IF($H198&lt;&gt;"",RIGHT(Tabela1[[#This Row],[Ref.]],2),"")</f>
        <v/>
      </c>
      <c r="S198" s="6" t="str">
        <f t="shared" si="12"/>
        <v/>
      </c>
      <c r="T198" s="4" t="str">
        <f>IF($H198&lt;&gt;"",_xlfn.XLOOKUP(H198,Naturezas!B:B,Naturezas!E:E,"",0,1),"")</f>
        <v/>
      </c>
      <c r="U198" s="4" t="str">
        <f>IF($H198&lt;&gt;"",_xlfn.XLOOKUP($H198,Naturezas!B:B,Naturezas!D:D,"",0,1),"")</f>
        <v/>
      </c>
      <c r="V198" s="5" t="str">
        <f>IF(H198&lt;&gt;"",IF(OR(H198=Naturezas!$B$3,H198=Naturezas!$B$4,H198=Naturezas!$B$5,H198=Naturezas!$B$17,H198=Naturezas!$B$18,H198=Naturezas!$B$19),G198,-G198),"")</f>
        <v/>
      </c>
      <c r="W198" s="4" t="str">
        <f t="shared" si="16"/>
        <v/>
      </c>
      <c r="X198" s="4"/>
      <c r="Y198" s="4" t="str">
        <f t="shared" si="17"/>
        <v/>
      </c>
      <c r="Z198" s="6" t="str">
        <f>IF(H198&lt;&gt;"",Tabela1[[#This Row],[Iniciais]],"")</f>
        <v/>
      </c>
      <c r="AB198" s="6" t="str">
        <f>IF($H198&lt;&gt;"",RIGHT(Tabela1[[#This Row],[Ref.]],2),"")</f>
        <v/>
      </c>
      <c r="AC198" s="37" t="str">
        <f>IF($H198&lt;&gt;"",DATE(LEFT(Tabela1[[#This Row],[Ref.]],4),RIGHT(Tabela1[[#This Row],[Ref.]],2),1),"")</f>
        <v/>
      </c>
      <c r="AD198" s="4" t="str">
        <f t="shared" si="13"/>
        <v/>
      </c>
      <c r="AE198" s="5" t="str">
        <f t="shared" si="14"/>
        <v/>
      </c>
      <c r="AF198" s="4"/>
      <c r="AG198" s="6" t="str">
        <f t="shared" si="15"/>
        <v/>
      </c>
    </row>
    <row r="199" spans="1:33" ht="15.75" customHeight="1" x14ac:dyDescent="0.2">
      <c r="A199" s="35"/>
      <c r="B199" s="44"/>
      <c r="C199" s="35"/>
      <c r="D199" s="35"/>
      <c r="E199" s="48"/>
      <c r="F199" s="45"/>
      <c r="G199" s="38"/>
      <c r="H199" s="45"/>
      <c r="I199" s="45"/>
      <c r="L199" s="19"/>
      <c r="M199" s="2"/>
      <c r="N199" s="25"/>
      <c r="O199" s="25"/>
      <c r="P199" s="29"/>
      <c r="Q199" s="3"/>
      <c r="R199" s="6" t="str">
        <f>IF($H199&lt;&gt;"",RIGHT(Tabela1[[#This Row],[Ref.]],2),"")</f>
        <v/>
      </c>
      <c r="S199" s="6" t="str">
        <f t="shared" si="12"/>
        <v/>
      </c>
      <c r="T199" s="4" t="str">
        <f>IF($H199&lt;&gt;"",_xlfn.XLOOKUP(H199,Naturezas!B:B,Naturezas!E:E,"",0,1),"")</f>
        <v/>
      </c>
      <c r="U199" s="4" t="str">
        <f>IF($H199&lt;&gt;"",_xlfn.XLOOKUP($H199,Naturezas!B:B,Naturezas!D:D,"",0,1),"")</f>
        <v/>
      </c>
      <c r="V199" s="5" t="str">
        <f>IF(H199&lt;&gt;"",IF(OR(H199=Naturezas!$B$3,H199=Naturezas!$B$4,H199=Naturezas!$B$5,H199=Naturezas!$B$17,H199=Naturezas!$B$18,H199=Naturezas!$B$19),G199,-G199),"")</f>
        <v/>
      </c>
      <c r="W199" s="4" t="str">
        <f t="shared" si="16"/>
        <v/>
      </c>
      <c r="X199" s="4"/>
      <c r="Y199" s="4" t="str">
        <f t="shared" si="17"/>
        <v/>
      </c>
      <c r="Z199" s="6" t="str">
        <f>IF(H199&lt;&gt;"",Tabela1[[#This Row],[Iniciais]],"")</f>
        <v/>
      </c>
      <c r="AB199" s="6" t="str">
        <f>IF($H199&lt;&gt;"",RIGHT(Tabela1[[#This Row],[Ref.]],2),"")</f>
        <v/>
      </c>
      <c r="AC199" s="37" t="str">
        <f>IF($H199&lt;&gt;"",DATE(LEFT(Tabela1[[#This Row],[Ref.]],4),RIGHT(Tabela1[[#This Row],[Ref.]],2),1),"")</f>
        <v/>
      </c>
      <c r="AD199" s="4" t="str">
        <f t="shared" si="13"/>
        <v/>
      </c>
      <c r="AE199" s="5" t="str">
        <f t="shared" si="14"/>
        <v/>
      </c>
      <c r="AF199" s="4"/>
      <c r="AG199" s="6" t="str">
        <f t="shared" si="15"/>
        <v/>
      </c>
    </row>
    <row r="200" spans="1:33" ht="15.75" customHeight="1" x14ac:dyDescent="0.2">
      <c r="A200" s="35"/>
      <c r="B200" s="44"/>
      <c r="C200" s="35"/>
      <c r="D200" s="35"/>
      <c r="E200" s="48"/>
      <c r="F200" s="45"/>
      <c r="G200" s="38"/>
      <c r="H200" s="45"/>
      <c r="I200" s="45"/>
      <c r="L200" s="19"/>
      <c r="M200" s="2"/>
      <c r="N200" s="25"/>
      <c r="O200" s="25"/>
      <c r="P200" s="29"/>
      <c r="Q200" s="3"/>
      <c r="R200" s="6" t="str">
        <f>IF($H200&lt;&gt;"",RIGHT(Tabela1[[#This Row],[Ref.]],2),"")</f>
        <v/>
      </c>
      <c r="S200" s="6" t="str">
        <f t="shared" si="12"/>
        <v/>
      </c>
      <c r="T200" s="4" t="str">
        <f>IF($H200&lt;&gt;"",_xlfn.XLOOKUP(H200,Naturezas!B:B,Naturezas!E:E,"",0,1),"")</f>
        <v/>
      </c>
      <c r="U200" s="4" t="str">
        <f>IF($H200&lt;&gt;"",_xlfn.XLOOKUP($H200,Naturezas!B:B,Naturezas!D:D,"",0,1),"")</f>
        <v/>
      </c>
      <c r="V200" s="5" t="str">
        <f>IF(H200&lt;&gt;"",IF(OR(H200=Naturezas!$B$3,H200=Naturezas!$B$4,H200=Naturezas!$B$5,H200=Naturezas!$B$17,H200=Naturezas!$B$18,H200=Naturezas!$B$19),G200,-G200),"")</f>
        <v/>
      </c>
      <c r="W200" s="4" t="str">
        <f t="shared" si="16"/>
        <v/>
      </c>
      <c r="X200" s="4"/>
      <c r="Y200" s="4" t="str">
        <f t="shared" si="17"/>
        <v/>
      </c>
      <c r="Z200" s="6" t="str">
        <f>IF(H200&lt;&gt;"",Tabela1[[#This Row],[Iniciais]],"")</f>
        <v/>
      </c>
      <c r="AB200" s="6" t="str">
        <f>IF($H200&lt;&gt;"",RIGHT(Tabela1[[#This Row],[Ref.]],2),"")</f>
        <v/>
      </c>
      <c r="AC200" s="37" t="str">
        <f>IF($H200&lt;&gt;"",DATE(LEFT(Tabela1[[#This Row],[Ref.]],4),RIGHT(Tabela1[[#This Row],[Ref.]],2),1),"")</f>
        <v/>
      </c>
      <c r="AD200" s="4" t="str">
        <f t="shared" si="13"/>
        <v/>
      </c>
      <c r="AE200" s="5" t="str">
        <f t="shared" si="14"/>
        <v/>
      </c>
      <c r="AF200" s="4"/>
      <c r="AG200" s="6" t="str">
        <f t="shared" si="15"/>
        <v/>
      </c>
    </row>
    <row r="201" spans="1:33" ht="15.75" customHeight="1" x14ac:dyDescent="0.2">
      <c r="A201" s="35"/>
      <c r="B201" s="44"/>
      <c r="C201" s="35"/>
      <c r="D201" s="35"/>
      <c r="E201" s="48"/>
      <c r="F201" s="45"/>
      <c r="G201" s="38"/>
      <c r="H201" s="45"/>
      <c r="I201" s="45"/>
      <c r="L201" s="19"/>
      <c r="M201" s="2"/>
      <c r="N201" s="25"/>
      <c r="O201" s="25"/>
      <c r="P201" s="29"/>
      <c r="Q201" s="3"/>
      <c r="R201" s="6" t="str">
        <f>IF($H201&lt;&gt;"",RIGHT(Tabela1[[#This Row],[Ref.]],2),"")</f>
        <v/>
      </c>
      <c r="S201" s="6" t="str">
        <f t="shared" ref="S201:S264" si="18">IF($H201&lt;&gt;"",1,"")</f>
        <v/>
      </c>
      <c r="T201" s="4" t="str">
        <f>IF($H201&lt;&gt;"",_xlfn.XLOOKUP(H201,Naturezas!B:B,Naturezas!E:E,"",0,1),"")</f>
        <v/>
      </c>
      <c r="U201" s="4" t="str">
        <f>IF($H201&lt;&gt;"",_xlfn.XLOOKUP($H201,Naturezas!B:B,Naturezas!D:D,"",0,1),"")</f>
        <v/>
      </c>
      <c r="V201" s="5" t="str">
        <f>IF(H201&lt;&gt;"",IF(OR(H201=Naturezas!$B$3,H201=Naturezas!$B$4,H201=Naturezas!$B$5,H201=Naturezas!$B$17,H201=Naturezas!$B$18,H201=Naturezas!$B$19),G201,-G201),"")</f>
        <v/>
      </c>
      <c r="W201" s="4" t="str">
        <f t="shared" si="16"/>
        <v/>
      </c>
      <c r="X201" s="4"/>
      <c r="Y201" s="4" t="str">
        <f t="shared" si="17"/>
        <v/>
      </c>
      <c r="Z201" s="6" t="str">
        <f>IF(H201&lt;&gt;"",Tabela1[[#This Row],[Iniciais]],"")</f>
        <v/>
      </c>
      <c r="AB201" s="6" t="str">
        <f>IF($H201&lt;&gt;"",RIGHT(Tabela1[[#This Row],[Ref.]],2),"")</f>
        <v/>
      </c>
      <c r="AC201" s="37" t="str">
        <f>IF($H201&lt;&gt;"",DATE(LEFT(Tabela1[[#This Row],[Ref.]],4),RIGHT(Tabela1[[#This Row],[Ref.]],2),1),"")</f>
        <v/>
      </c>
      <c r="AD201" s="4" t="str">
        <f t="shared" ref="AD201:AD264" si="19">IF($H201&lt;&gt;"",$F201,"")</f>
        <v/>
      </c>
      <c r="AE201" s="5" t="str">
        <f t="shared" ref="AE201:AE264" si="20">IF($H201&lt;&gt;"",$G201,"")</f>
        <v/>
      </c>
      <c r="AF201" s="4"/>
      <c r="AG201" s="6" t="str">
        <f t="shared" ref="AG201:AG264" si="21">IF($H201&lt;&gt;"",$B$2,"")</f>
        <v/>
      </c>
    </row>
    <row r="202" spans="1:33" ht="15.75" customHeight="1" x14ac:dyDescent="0.2">
      <c r="A202" s="35"/>
      <c r="B202" s="44"/>
      <c r="C202" s="35"/>
      <c r="D202" s="35"/>
      <c r="E202" s="48"/>
      <c r="F202" s="45"/>
      <c r="G202" s="38"/>
      <c r="H202" s="45"/>
      <c r="I202" s="45"/>
      <c r="L202" s="19"/>
      <c r="M202" s="2"/>
      <c r="N202" s="25"/>
      <c r="O202" s="25"/>
      <c r="P202" s="29"/>
      <c r="Q202" s="3"/>
      <c r="R202" s="6" t="str">
        <f>IF($H202&lt;&gt;"",RIGHT(Tabela1[[#This Row],[Ref.]],2),"")</f>
        <v/>
      </c>
      <c r="S202" s="6" t="str">
        <f t="shared" si="18"/>
        <v/>
      </c>
      <c r="T202" s="4" t="str">
        <f>IF($H202&lt;&gt;"",_xlfn.XLOOKUP(H202,Naturezas!B:B,Naturezas!E:E,"",0,1),"")</f>
        <v/>
      </c>
      <c r="U202" s="4" t="str">
        <f>IF($H202&lt;&gt;"",_xlfn.XLOOKUP($H202,Naturezas!B:B,Naturezas!D:D,"",0,1),"")</f>
        <v/>
      </c>
      <c r="V202" s="5" t="str">
        <f>IF(H202&lt;&gt;"",IF(OR(H202=Naturezas!$B$3,H202=Naturezas!$B$4,H202=Naturezas!$B$5,H202=Naturezas!$B$17,H202=Naturezas!$B$18,H202=Naturezas!$B$19),G202,-G202),"")</f>
        <v/>
      </c>
      <c r="W202" s="4" t="str">
        <f t="shared" ref="W202:W265" si="22">IF(H202&lt;&gt;"",H202,"")</f>
        <v/>
      </c>
      <c r="X202" s="4"/>
      <c r="Y202" s="4" t="str">
        <f t="shared" ref="Y202:Y265" si="23">IF(H202&lt;&gt;"",F202,"")</f>
        <v/>
      </c>
      <c r="Z202" s="6" t="str">
        <f>IF(H202&lt;&gt;"",Tabela1[[#This Row],[Iniciais]],"")</f>
        <v/>
      </c>
      <c r="AB202" s="6" t="str">
        <f>IF($H202&lt;&gt;"",RIGHT(Tabela1[[#This Row],[Ref.]],2),"")</f>
        <v/>
      </c>
      <c r="AC202" s="37" t="str">
        <f>IF($H202&lt;&gt;"",DATE(LEFT(Tabela1[[#This Row],[Ref.]],4),RIGHT(Tabela1[[#This Row],[Ref.]],2),1),"")</f>
        <v/>
      </c>
      <c r="AD202" s="4" t="str">
        <f t="shared" si="19"/>
        <v/>
      </c>
      <c r="AE202" s="5" t="str">
        <f t="shared" si="20"/>
        <v/>
      </c>
      <c r="AF202" s="4"/>
      <c r="AG202" s="6" t="str">
        <f t="shared" si="21"/>
        <v/>
      </c>
    </row>
    <row r="203" spans="1:33" ht="15.75" customHeight="1" x14ac:dyDescent="0.2">
      <c r="A203" s="35"/>
      <c r="B203" s="44"/>
      <c r="C203" s="35"/>
      <c r="D203" s="35"/>
      <c r="E203" s="48"/>
      <c r="F203" s="45"/>
      <c r="G203" s="38"/>
      <c r="H203" s="45"/>
      <c r="I203" s="45"/>
      <c r="L203" s="19"/>
      <c r="M203" s="2"/>
      <c r="N203" s="25"/>
      <c r="O203" s="25"/>
      <c r="P203" s="29"/>
      <c r="Q203" s="3"/>
      <c r="R203" s="6" t="str">
        <f>IF($H203&lt;&gt;"",RIGHT(Tabela1[[#This Row],[Ref.]],2),"")</f>
        <v/>
      </c>
      <c r="S203" s="6" t="str">
        <f t="shared" si="18"/>
        <v/>
      </c>
      <c r="T203" s="4" t="str">
        <f>IF($H203&lt;&gt;"",_xlfn.XLOOKUP(H203,Naturezas!B:B,Naturezas!E:E,"",0,1),"")</f>
        <v/>
      </c>
      <c r="U203" s="4" t="str">
        <f>IF($H203&lt;&gt;"",_xlfn.XLOOKUP($H203,Naturezas!B:B,Naturezas!D:D,"",0,1),"")</f>
        <v/>
      </c>
      <c r="V203" s="5" t="str">
        <f>IF(H203&lt;&gt;"",IF(OR(H203=Naturezas!$B$3,H203=Naturezas!$B$4,H203=Naturezas!$B$5,H203=Naturezas!$B$17,H203=Naturezas!$B$18,H203=Naturezas!$B$19),G203,-G203),"")</f>
        <v/>
      </c>
      <c r="W203" s="4" t="str">
        <f t="shared" si="22"/>
        <v/>
      </c>
      <c r="X203" s="4"/>
      <c r="Y203" s="4" t="str">
        <f t="shared" si="23"/>
        <v/>
      </c>
      <c r="Z203" s="6" t="str">
        <f>IF(H203&lt;&gt;"",Tabela1[[#This Row],[Iniciais]],"")</f>
        <v/>
      </c>
      <c r="AB203" s="6" t="str">
        <f>IF($H203&lt;&gt;"",RIGHT(Tabela1[[#This Row],[Ref.]],2),"")</f>
        <v/>
      </c>
      <c r="AC203" s="37" t="str">
        <f>IF($H203&lt;&gt;"",DATE(LEFT(Tabela1[[#This Row],[Ref.]],4),RIGHT(Tabela1[[#This Row],[Ref.]],2),1),"")</f>
        <v/>
      </c>
      <c r="AD203" s="4" t="str">
        <f t="shared" si="19"/>
        <v/>
      </c>
      <c r="AE203" s="5" t="str">
        <f t="shared" si="20"/>
        <v/>
      </c>
      <c r="AF203" s="4"/>
      <c r="AG203" s="6" t="str">
        <f t="shared" si="21"/>
        <v/>
      </c>
    </row>
    <row r="204" spans="1:33" ht="15.75" customHeight="1" x14ac:dyDescent="0.2">
      <c r="A204" s="35"/>
      <c r="B204" s="44"/>
      <c r="C204" s="35"/>
      <c r="D204" s="35"/>
      <c r="E204" s="48"/>
      <c r="F204" s="45"/>
      <c r="G204" s="38"/>
      <c r="H204" s="45"/>
      <c r="I204" s="45"/>
      <c r="L204" s="19"/>
      <c r="M204" s="2"/>
      <c r="N204" s="25"/>
      <c r="O204" s="25"/>
      <c r="P204" s="29"/>
      <c r="Q204" s="3"/>
      <c r="R204" s="6" t="str">
        <f>IF($H204&lt;&gt;"",RIGHT(Tabela1[[#This Row],[Ref.]],2),"")</f>
        <v/>
      </c>
      <c r="S204" s="6" t="str">
        <f t="shared" si="18"/>
        <v/>
      </c>
      <c r="T204" s="4" t="str">
        <f>IF($H204&lt;&gt;"",_xlfn.XLOOKUP(H204,Naturezas!B:B,Naturezas!E:E,"",0,1),"")</f>
        <v/>
      </c>
      <c r="U204" s="4" t="str">
        <f>IF($H204&lt;&gt;"",_xlfn.XLOOKUP($H204,Naturezas!B:B,Naturezas!D:D,"",0,1),"")</f>
        <v/>
      </c>
      <c r="V204" s="5" t="str">
        <f>IF(H204&lt;&gt;"",IF(OR(H204=Naturezas!$B$3,H204=Naturezas!$B$4,H204=Naturezas!$B$5,H204=Naturezas!$B$17,H204=Naturezas!$B$18,H204=Naturezas!$B$19),G204,-G204),"")</f>
        <v/>
      </c>
      <c r="W204" s="4" t="str">
        <f t="shared" si="22"/>
        <v/>
      </c>
      <c r="X204" s="4"/>
      <c r="Y204" s="4" t="str">
        <f t="shared" si="23"/>
        <v/>
      </c>
      <c r="Z204" s="6" t="str">
        <f>IF(H204&lt;&gt;"",Tabela1[[#This Row],[Iniciais]],"")</f>
        <v/>
      </c>
      <c r="AB204" s="6" t="str">
        <f>IF($H204&lt;&gt;"",RIGHT(Tabela1[[#This Row],[Ref.]],2),"")</f>
        <v/>
      </c>
      <c r="AC204" s="37" t="str">
        <f>IF($H204&lt;&gt;"",DATE(LEFT(Tabela1[[#This Row],[Ref.]],4),RIGHT(Tabela1[[#This Row],[Ref.]],2),1),"")</f>
        <v/>
      </c>
      <c r="AD204" s="4" t="str">
        <f t="shared" si="19"/>
        <v/>
      </c>
      <c r="AE204" s="5" t="str">
        <f t="shared" si="20"/>
        <v/>
      </c>
      <c r="AF204" s="4"/>
      <c r="AG204" s="6" t="str">
        <f t="shared" si="21"/>
        <v/>
      </c>
    </row>
    <row r="205" spans="1:33" ht="15.75" customHeight="1" x14ac:dyDescent="0.2">
      <c r="A205" s="35"/>
      <c r="B205" s="44"/>
      <c r="C205" s="35"/>
      <c r="D205" s="35"/>
      <c r="E205" s="48"/>
      <c r="F205" s="45"/>
      <c r="G205" s="38"/>
      <c r="H205" s="45"/>
      <c r="I205" s="45"/>
      <c r="L205" s="19"/>
      <c r="M205" s="2"/>
      <c r="N205" s="25"/>
      <c r="O205" s="25"/>
      <c r="P205" s="29"/>
      <c r="Q205" s="3"/>
      <c r="R205" s="6" t="str">
        <f>IF($H205&lt;&gt;"",RIGHT(Tabela1[[#This Row],[Ref.]],2),"")</f>
        <v/>
      </c>
      <c r="S205" s="6" t="str">
        <f t="shared" si="18"/>
        <v/>
      </c>
      <c r="T205" s="4" t="str">
        <f>IF($H205&lt;&gt;"",_xlfn.XLOOKUP(H205,Naturezas!B:B,Naturezas!E:E,"",0,1),"")</f>
        <v/>
      </c>
      <c r="U205" s="4" t="str">
        <f>IF($H205&lt;&gt;"",_xlfn.XLOOKUP($H205,Naturezas!B:B,Naturezas!D:D,"",0,1),"")</f>
        <v/>
      </c>
      <c r="V205" s="5" t="str">
        <f>IF(H205&lt;&gt;"",IF(OR(H205=Naturezas!$B$3,H205=Naturezas!$B$4,H205=Naturezas!$B$5,H205=Naturezas!$B$17,H205=Naturezas!$B$18,H205=Naturezas!$B$19),G205,-G205),"")</f>
        <v/>
      </c>
      <c r="W205" s="4" t="str">
        <f t="shared" si="22"/>
        <v/>
      </c>
      <c r="X205" s="4"/>
      <c r="Y205" s="4" t="str">
        <f t="shared" si="23"/>
        <v/>
      </c>
      <c r="Z205" s="6" t="str">
        <f>IF(H205&lt;&gt;"",Tabela1[[#This Row],[Iniciais]],"")</f>
        <v/>
      </c>
      <c r="AB205" s="6" t="str">
        <f>IF($H205&lt;&gt;"",RIGHT(Tabela1[[#This Row],[Ref.]],2),"")</f>
        <v/>
      </c>
      <c r="AC205" s="37" t="str">
        <f>IF($H205&lt;&gt;"",DATE(LEFT(Tabela1[[#This Row],[Ref.]],4),RIGHT(Tabela1[[#This Row],[Ref.]],2),1),"")</f>
        <v/>
      </c>
      <c r="AD205" s="4" t="str">
        <f t="shared" si="19"/>
        <v/>
      </c>
      <c r="AE205" s="5" t="str">
        <f t="shared" si="20"/>
        <v/>
      </c>
      <c r="AF205" s="4"/>
      <c r="AG205" s="6" t="str">
        <f t="shared" si="21"/>
        <v/>
      </c>
    </row>
    <row r="206" spans="1:33" ht="15.75" customHeight="1" x14ac:dyDescent="0.2">
      <c r="A206" s="35"/>
      <c r="B206" s="44"/>
      <c r="C206" s="35"/>
      <c r="D206" s="35"/>
      <c r="E206" s="48"/>
      <c r="F206" s="45"/>
      <c r="G206" s="38"/>
      <c r="H206" s="45"/>
      <c r="I206" s="45"/>
      <c r="L206" s="19"/>
      <c r="M206" s="2"/>
      <c r="N206" s="25"/>
      <c r="O206" s="25"/>
      <c r="P206" s="29"/>
      <c r="Q206" s="3"/>
      <c r="R206" s="6" t="str">
        <f>IF($H206&lt;&gt;"",RIGHT(Tabela1[[#This Row],[Ref.]],2),"")</f>
        <v/>
      </c>
      <c r="S206" s="6" t="str">
        <f t="shared" si="18"/>
        <v/>
      </c>
      <c r="T206" s="4" t="str">
        <f>IF($H206&lt;&gt;"",_xlfn.XLOOKUP(H206,Naturezas!B:B,Naturezas!E:E,"",0,1),"")</f>
        <v/>
      </c>
      <c r="U206" s="4" t="str">
        <f>IF($H206&lt;&gt;"",_xlfn.XLOOKUP($H206,Naturezas!B:B,Naturezas!D:D,"",0,1),"")</f>
        <v/>
      </c>
      <c r="V206" s="5" t="str">
        <f>IF(H206&lt;&gt;"",IF(OR(H206=Naturezas!$B$3,H206=Naturezas!$B$4,H206=Naturezas!$B$5,H206=Naturezas!$B$17,H206=Naturezas!$B$18,H206=Naturezas!$B$19),G206,-G206),"")</f>
        <v/>
      </c>
      <c r="W206" s="4" t="str">
        <f t="shared" si="22"/>
        <v/>
      </c>
      <c r="X206" s="4"/>
      <c r="Y206" s="4" t="str">
        <f t="shared" si="23"/>
        <v/>
      </c>
      <c r="Z206" s="6" t="str">
        <f>IF(H206&lt;&gt;"",Tabela1[[#This Row],[Iniciais]],"")</f>
        <v/>
      </c>
      <c r="AB206" s="6" t="str">
        <f>IF($H206&lt;&gt;"",RIGHT(Tabela1[[#This Row],[Ref.]],2),"")</f>
        <v/>
      </c>
      <c r="AC206" s="37" t="str">
        <f>IF($H206&lt;&gt;"",DATE(LEFT(Tabela1[[#This Row],[Ref.]],4),RIGHT(Tabela1[[#This Row],[Ref.]],2),1),"")</f>
        <v/>
      </c>
      <c r="AD206" s="4" t="str">
        <f t="shared" si="19"/>
        <v/>
      </c>
      <c r="AE206" s="5" t="str">
        <f t="shared" si="20"/>
        <v/>
      </c>
      <c r="AF206" s="4"/>
      <c r="AG206" s="6" t="str">
        <f t="shared" si="21"/>
        <v/>
      </c>
    </row>
    <row r="207" spans="1:33" ht="15.75" customHeight="1" x14ac:dyDescent="0.2">
      <c r="A207" s="35"/>
      <c r="B207" s="44"/>
      <c r="C207" s="35"/>
      <c r="D207" s="35"/>
      <c r="E207" s="48"/>
      <c r="F207" s="45"/>
      <c r="G207" s="38"/>
      <c r="H207" s="45"/>
      <c r="I207" s="45"/>
      <c r="L207" s="19"/>
      <c r="M207" s="2"/>
      <c r="N207" s="25"/>
      <c r="O207" s="25"/>
      <c r="P207" s="29"/>
      <c r="Q207" s="3"/>
      <c r="R207" s="6" t="str">
        <f>IF($H207&lt;&gt;"",RIGHT(Tabela1[[#This Row],[Ref.]],2),"")</f>
        <v/>
      </c>
      <c r="S207" s="6" t="str">
        <f t="shared" si="18"/>
        <v/>
      </c>
      <c r="T207" s="4" t="str">
        <f>IF($H207&lt;&gt;"",_xlfn.XLOOKUP(H207,Naturezas!B:B,Naturezas!E:E,"",0,1),"")</f>
        <v/>
      </c>
      <c r="U207" s="4" t="str">
        <f>IF($H207&lt;&gt;"",_xlfn.XLOOKUP($H207,Naturezas!B:B,Naturezas!D:D,"",0,1),"")</f>
        <v/>
      </c>
      <c r="V207" s="5" t="str">
        <f>IF(H207&lt;&gt;"",IF(OR(H207=Naturezas!$B$3,H207=Naturezas!$B$4,H207=Naturezas!$B$5,H207=Naturezas!$B$17,H207=Naturezas!$B$18,H207=Naturezas!$B$19),G207,-G207),"")</f>
        <v/>
      </c>
      <c r="W207" s="4" t="str">
        <f t="shared" si="22"/>
        <v/>
      </c>
      <c r="X207" s="4"/>
      <c r="Y207" s="4" t="str">
        <f t="shared" si="23"/>
        <v/>
      </c>
      <c r="Z207" s="6" t="str">
        <f>IF(H207&lt;&gt;"",Tabela1[[#This Row],[Iniciais]],"")</f>
        <v/>
      </c>
      <c r="AB207" s="6" t="str">
        <f>IF($H207&lt;&gt;"",RIGHT(Tabela1[[#This Row],[Ref.]],2),"")</f>
        <v/>
      </c>
      <c r="AC207" s="37" t="str">
        <f>IF($H207&lt;&gt;"",DATE(LEFT(Tabela1[[#This Row],[Ref.]],4),RIGHT(Tabela1[[#This Row],[Ref.]],2),1),"")</f>
        <v/>
      </c>
      <c r="AD207" s="4" t="str">
        <f t="shared" si="19"/>
        <v/>
      </c>
      <c r="AE207" s="5" t="str">
        <f t="shared" si="20"/>
        <v/>
      </c>
      <c r="AF207" s="4"/>
      <c r="AG207" s="6" t="str">
        <f t="shared" si="21"/>
        <v/>
      </c>
    </row>
    <row r="208" spans="1:33" ht="15.75" customHeight="1" x14ac:dyDescent="0.2">
      <c r="A208" s="35"/>
      <c r="B208" s="44"/>
      <c r="C208" s="35"/>
      <c r="D208" s="35"/>
      <c r="E208" s="48"/>
      <c r="F208" s="45"/>
      <c r="G208" s="38"/>
      <c r="H208" s="45"/>
      <c r="I208" s="45"/>
      <c r="L208" s="19"/>
      <c r="M208" s="2"/>
      <c r="N208" s="25"/>
      <c r="O208" s="25"/>
      <c r="P208" s="29"/>
      <c r="Q208" s="3"/>
      <c r="R208" s="6" t="str">
        <f>IF($H208&lt;&gt;"",RIGHT(Tabela1[[#This Row],[Ref.]],2),"")</f>
        <v/>
      </c>
      <c r="S208" s="6" t="str">
        <f t="shared" si="18"/>
        <v/>
      </c>
      <c r="T208" s="4" t="str">
        <f>IF($H208&lt;&gt;"",_xlfn.XLOOKUP(H208,Naturezas!B:B,Naturezas!E:E,"",0,1),"")</f>
        <v/>
      </c>
      <c r="U208" s="4" t="str">
        <f>IF($H208&lt;&gt;"",_xlfn.XLOOKUP($H208,Naturezas!B:B,Naturezas!D:D,"",0,1),"")</f>
        <v/>
      </c>
      <c r="V208" s="5" t="str">
        <f>IF(H208&lt;&gt;"",IF(OR(H208=Naturezas!$B$3,H208=Naturezas!$B$4,H208=Naturezas!$B$5,H208=Naturezas!$B$17,H208=Naturezas!$B$18,H208=Naturezas!$B$19),G208,-G208),"")</f>
        <v/>
      </c>
      <c r="W208" s="4" t="str">
        <f t="shared" si="22"/>
        <v/>
      </c>
      <c r="X208" s="4"/>
      <c r="Y208" s="4" t="str">
        <f t="shared" si="23"/>
        <v/>
      </c>
      <c r="Z208" s="6" t="str">
        <f>IF(H208&lt;&gt;"",Tabela1[[#This Row],[Iniciais]],"")</f>
        <v/>
      </c>
      <c r="AB208" s="6" t="str">
        <f>IF($H208&lt;&gt;"",RIGHT(Tabela1[[#This Row],[Ref.]],2),"")</f>
        <v/>
      </c>
      <c r="AC208" s="37" t="str">
        <f>IF($H208&lt;&gt;"",DATE(LEFT(Tabela1[[#This Row],[Ref.]],4),RIGHT(Tabela1[[#This Row],[Ref.]],2),1),"")</f>
        <v/>
      </c>
      <c r="AD208" s="4" t="str">
        <f t="shared" si="19"/>
        <v/>
      </c>
      <c r="AE208" s="5" t="str">
        <f t="shared" si="20"/>
        <v/>
      </c>
      <c r="AF208" s="4"/>
      <c r="AG208" s="6" t="str">
        <f t="shared" si="21"/>
        <v/>
      </c>
    </row>
    <row r="209" spans="1:33" ht="15.75" customHeight="1" x14ac:dyDescent="0.2">
      <c r="A209" s="35"/>
      <c r="B209" s="44"/>
      <c r="C209" s="35"/>
      <c r="D209" s="35"/>
      <c r="E209" s="48"/>
      <c r="F209" s="45"/>
      <c r="G209" s="38"/>
      <c r="H209" s="45"/>
      <c r="I209" s="45"/>
      <c r="L209" s="19"/>
      <c r="M209" s="2"/>
      <c r="N209" s="25"/>
      <c r="O209" s="25"/>
      <c r="P209" s="29"/>
      <c r="Q209" s="3"/>
      <c r="R209" s="6" t="str">
        <f>IF($H209&lt;&gt;"",RIGHT(Tabela1[[#This Row],[Ref.]],2),"")</f>
        <v/>
      </c>
      <c r="S209" s="6" t="str">
        <f t="shared" si="18"/>
        <v/>
      </c>
      <c r="T209" s="4" t="str">
        <f>IF($H209&lt;&gt;"",_xlfn.XLOOKUP(H209,Naturezas!B:B,Naturezas!E:E,"",0,1),"")</f>
        <v/>
      </c>
      <c r="U209" s="4" t="str">
        <f>IF($H209&lt;&gt;"",_xlfn.XLOOKUP($H209,Naturezas!B:B,Naturezas!D:D,"",0,1),"")</f>
        <v/>
      </c>
      <c r="V209" s="5" t="str">
        <f>IF(H209&lt;&gt;"",IF(OR(H209=Naturezas!$B$3,H209=Naturezas!$B$4,H209=Naturezas!$B$5,H209=Naturezas!$B$17,H209=Naturezas!$B$18,H209=Naturezas!$B$19),G209,-G209),"")</f>
        <v/>
      </c>
      <c r="W209" s="4" t="str">
        <f t="shared" si="22"/>
        <v/>
      </c>
      <c r="X209" s="4"/>
      <c r="Y209" s="4" t="str">
        <f t="shared" si="23"/>
        <v/>
      </c>
      <c r="Z209" s="6" t="str">
        <f>IF(H209&lt;&gt;"",Tabela1[[#This Row],[Iniciais]],"")</f>
        <v/>
      </c>
      <c r="AB209" s="6" t="str">
        <f>IF($H209&lt;&gt;"",RIGHT(Tabela1[[#This Row],[Ref.]],2),"")</f>
        <v/>
      </c>
      <c r="AC209" s="37" t="str">
        <f>IF($H209&lt;&gt;"",DATE(LEFT(Tabela1[[#This Row],[Ref.]],4),RIGHT(Tabela1[[#This Row],[Ref.]],2),1),"")</f>
        <v/>
      </c>
      <c r="AD209" s="4" t="str">
        <f t="shared" si="19"/>
        <v/>
      </c>
      <c r="AE209" s="5" t="str">
        <f t="shared" si="20"/>
        <v/>
      </c>
      <c r="AF209" s="4"/>
      <c r="AG209" s="6" t="str">
        <f t="shared" si="21"/>
        <v/>
      </c>
    </row>
    <row r="210" spans="1:33" ht="15.75" customHeight="1" x14ac:dyDescent="0.2">
      <c r="A210" s="35"/>
      <c r="B210" s="44"/>
      <c r="C210" s="35"/>
      <c r="D210" s="35"/>
      <c r="E210" s="48"/>
      <c r="F210" s="45"/>
      <c r="G210" s="38"/>
      <c r="H210" s="45"/>
      <c r="I210" s="45"/>
      <c r="L210" s="19"/>
      <c r="M210" s="2"/>
      <c r="N210" s="25"/>
      <c r="O210" s="25"/>
      <c r="P210" s="29"/>
      <c r="Q210" s="3"/>
      <c r="R210" s="6" t="str">
        <f>IF($H210&lt;&gt;"",RIGHT(Tabela1[[#This Row],[Ref.]],2),"")</f>
        <v/>
      </c>
      <c r="S210" s="6" t="str">
        <f t="shared" si="18"/>
        <v/>
      </c>
      <c r="T210" s="4" t="str">
        <f>IF($H210&lt;&gt;"",_xlfn.XLOOKUP(H210,Naturezas!B:B,Naturezas!E:E,"",0,1),"")</f>
        <v/>
      </c>
      <c r="U210" s="4" t="str">
        <f>IF($H210&lt;&gt;"",_xlfn.XLOOKUP($H210,Naturezas!B:B,Naturezas!D:D,"",0,1),"")</f>
        <v/>
      </c>
      <c r="V210" s="5" t="str">
        <f>IF(H210&lt;&gt;"",IF(OR(H210=Naturezas!$B$3,H210=Naturezas!$B$4,H210=Naturezas!$B$5,H210=Naturezas!$B$17,H210=Naturezas!$B$18,H210=Naturezas!$B$19),G210,-G210),"")</f>
        <v/>
      </c>
      <c r="W210" s="4" t="str">
        <f t="shared" si="22"/>
        <v/>
      </c>
      <c r="X210" s="4"/>
      <c r="Y210" s="4" t="str">
        <f t="shared" si="23"/>
        <v/>
      </c>
      <c r="Z210" s="6" t="str">
        <f>IF(H210&lt;&gt;"",Tabela1[[#This Row],[Iniciais]],"")</f>
        <v/>
      </c>
      <c r="AB210" s="6" t="str">
        <f>IF($H210&lt;&gt;"",RIGHT(Tabela1[[#This Row],[Ref.]],2),"")</f>
        <v/>
      </c>
      <c r="AC210" s="37" t="str">
        <f>IF($H210&lt;&gt;"",DATE(LEFT(Tabela1[[#This Row],[Ref.]],4),RIGHT(Tabela1[[#This Row],[Ref.]],2),1),"")</f>
        <v/>
      </c>
      <c r="AD210" s="4" t="str">
        <f t="shared" si="19"/>
        <v/>
      </c>
      <c r="AE210" s="5" t="str">
        <f t="shared" si="20"/>
        <v/>
      </c>
      <c r="AF210" s="4"/>
      <c r="AG210" s="6" t="str">
        <f t="shared" si="21"/>
        <v/>
      </c>
    </row>
    <row r="211" spans="1:33" ht="15.75" customHeight="1" x14ac:dyDescent="0.2">
      <c r="A211" s="35"/>
      <c r="B211" s="44"/>
      <c r="C211" s="35"/>
      <c r="D211" s="35"/>
      <c r="E211" s="48"/>
      <c r="F211" s="45"/>
      <c r="G211" s="38"/>
      <c r="H211" s="45"/>
      <c r="I211" s="45"/>
      <c r="L211" s="19"/>
      <c r="M211" s="2"/>
      <c r="N211" s="25"/>
      <c r="O211" s="25"/>
      <c r="P211" s="29"/>
      <c r="Q211" s="3"/>
      <c r="R211" s="6" t="str">
        <f>IF($H211&lt;&gt;"",RIGHT(Tabela1[[#This Row],[Ref.]],2),"")</f>
        <v/>
      </c>
      <c r="S211" s="6" t="str">
        <f t="shared" si="18"/>
        <v/>
      </c>
      <c r="T211" s="4" t="str">
        <f>IF($H211&lt;&gt;"",_xlfn.XLOOKUP(H211,Naturezas!B:B,Naturezas!E:E,"",0,1),"")</f>
        <v/>
      </c>
      <c r="U211" s="4" t="str">
        <f>IF($H211&lt;&gt;"",_xlfn.XLOOKUP($H211,Naturezas!B:B,Naturezas!D:D,"",0,1),"")</f>
        <v/>
      </c>
      <c r="V211" s="5" t="str">
        <f>IF(H211&lt;&gt;"",IF(OR(H211=Naturezas!$B$3,H211=Naturezas!$B$4,H211=Naturezas!$B$5,H211=Naturezas!$B$17,H211=Naturezas!$B$18,H211=Naturezas!$B$19),G211,-G211),"")</f>
        <v/>
      </c>
      <c r="W211" s="4" t="str">
        <f t="shared" si="22"/>
        <v/>
      </c>
      <c r="X211" s="4"/>
      <c r="Y211" s="4" t="str">
        <f t="shared" si="23"/>
        <v/>
      </c>
      <c r="Z211" s="6" t="str">
        <f>IF(H211&lt;&gt;"",Tabela1[[#This Row],[Iniciais]],"")</f>
        <v/>
      </c>
      <c r="AB211" s="6" t="str">
        <f>IF($H211&lt;&gt;"",RIGHT(Tabela1[[#This Row],[Ref.]],2),"")</f>
        <v/>
      </c>
      <c r="AC211" s="37" t="str">
        <f>IF($H211&lt;&gt;"",DATE(LEFT(Tabela1[[#This Row],[Ref.]],4),RIGHT(Tabela1[[#This Row],[Ref.]],2),1),"")</f>
        <v/>
      </c>
      <c r="AD211" s="4" t="str">
        <f t="shared" si="19"/>
        <v/>
      </c>
      <c r="AE211" s="5" t="str">
        <f t="shared" si="20"/>
        <v/>
      </c>
      <c r="AF211" s="4"/>
      <c r="AG211" s="6" t="str">
        <f t="shared" si="21"/>
        <v/>
      </c>
    </row>
    <row r="212" spans="1:33" ht="15.75" customHeight="1" x14ac:dyDescent="0.2">
      <c r="A212" s="35"/>
      <c r="B212" s="44"/>
      <c r="C212" s="35"/>
      <c r="D212" s="35"/>
      <c r="E212" s="48"/>
      <c r="F212" s="45"/>
      <c r="G212" s="38"/>
      <c r="H212" s="45"/>
      <c r="I212" s="45"/>
      <c r="L212" s="19"/>
      <c r="M212" s="2"/>
      <c r="N212" s="25"/>
      <c r="O212" s="25"/>
      <c r="P212" s="29"/>
      <c r="Q212" s="3"/>
      <c r="R212" s="6" t="str">
        <f>IF($H212&lt;&gt;"",RIGHT(Tabela1[[#This Row],[Ref.]],2),"")</f>
        <v/>
      </c>
      <c r="S212" s="6" t="str">
        <f t="shared" si="18"/>
        <v/>
      </c>
      <c r="T212" s="4" t="str">
        <f>IF($H212&lt;&gt;"",_xlfn.XLOOKUP(H212,Naturezas!B:B,Naturezas!E:E,"",0,1),"")</f>
        <v/>
      </c>
      <c r="U212" s="4" t="str">
        <f>IF($H212&lt;&gt;"",_xlfn.XLOOKUP($H212,Naturezas!B:B,Naturezas!D:D,"",0,1),"")</f>
        <v/>
      </c>
      <c r="V212" s="5" t="str">
        <f>IF(H212&lt;&gt;"",IF(OR(H212=Naturezas!$B$3,H212=Naturezas!$B$4,H212=Naturezas!$B$5,H212=Naturezas!$B$17,H212=Naturezas!$B$18,H212=Naturezas!$B$19),G212,-G212),"")</f>
        <v/>
      </c>
      <c r="W212" s="4" t="str">
        <f t="shared" si="22"/>
        <v/>
      </c>
      <c r="X212" s="4"/>
      <c r="Y212" s="4" t="str">
        <f t="shared" si="23"/>
        <v/>
      </c>
      <c r="Z212" s="6" t="str">
        <f>IF(H212&lt;&gt;"",Tabela1[[#This Row],[Iniciais]],"")</f>
        <v/>
      </c>
      <c r="AB212" s="6" t="str">
        <f>IF($H212&lt;&gt;"",RIGHT(Tabela1[[#This Row],[Ref.]],2),"")</f>
        <v/>
      </c>
      <c r="AC212" s="37" t="str">
        <f>IF($H212&lt;&gt;"",DATE(LEFT(Tabela1[[#This Row],[Ref.]],4),RIGHT(Tabela1[[#This Row],[Ref.]],2),1),"")</f>
        <v/>
      </c>
      <c r="AD212" s="4" t="str">
        <f t="shared" si="19"/>
        <v/>
      </c>
      <c r="AE212" s="5" t="str">
        <f t="shared" si="20"/>
        <v/>
      </c>
      <c r="AF212" s="4"/>
      <c r="AG212" s="6" t="str">
        <f t="shared" si="21"/>
        <v/>
      </c>
    </row>
    <row r="213" spans="1:33" ht="15.75" customHeight="1" x14ac:dyDescent="0.2">
      <c r="A213" s="35"/>
      <c r="B213" s="44"/>
      <c r="C213" s="35"/>
      <c r="D213" s="35"/>
      <c r="E213" s="48"/>
      <c r="F213" s="45"/>
      <c r="G213" s="38"/>
      <c r="H213" s="45"/>
      <c r="I213" s="45"/>
      <c r="L213" s="19"/>
      <c r="M213" s="2"/>
      <c r="N213" s="25"/>
      <c r="O213" s="25"/>
      <c r="P213" s="29"/>
      <c r="Q213" s="3"/>
      <c r="R213" s="6" t="str">
        <f>IF($H213&lt;&gt;"",RIGHT(Tabela1[[#This Row],[Ref.]],2),"")</f>
        <v/>
      </c>
      <c r="S213" s="6" t="str">
        <f t="shared" si="18"/>
        <v/>
      </c>
      <c r="T213" s="4" t="str">
        <f>IF($H213&lt;&gt;"",_xlfn.XLOOKUP(H213,Naturezas!B:B,Naturezas!E:E,"",0,1),"")</f>
        <v/>
      </c>
      <c r="U213" s="4" t="str">
        <f>IF($H213&lt;&gt;"",_xlfn.XLOOKUP($H213,Naturezas!B:B,Naturezas!D:D,"",0,1),"")</f>
        <v/>
      </c>
      <c r="V213" s="5" t="str">
        <f>IF(H213&lt;&gt;"",IF(OR(H213=Naturezas!$B$3,H213=Naturezas!$B$4,H213=Naturezas!$B$5,H213=Naturezas!$B$17,H213=Naturezas!$B$18,H213=Naturezas!$B$19),G213,-G213),"")</f>
        <v/>
      </c>
      <c r="W213" s="4" t="str">
        <f t="shared" si="22"/>
        <v/>
      </c>
      <c r="X213" s="4"/>
      <c r="Y213" s="4" t="str">
        <f t="shared" si="23"/>
        <v/>
      </c>
      <c r="Z213" s="6" t="str">
        <f>IF(H213&lt;&gt;"",Tabela1[[#This Row],[Iniciais]],"")</f>
        <v/>
      </c>
      <c r="AB213" s="6" t="str">
        <f>IF($H213&lt;&gt;"",RIGHT(Tabela1[[#This Row],[Ref.]],2),"")</f>
        <v/>
      </c>
      <c r="AC213" s="37" t="str">
        <f>IF($H213&lt;&gt;"",DATE(LEFT(Tabela1[[#This Row],[Ref.]],4),RIGHT(Tabela1[[#This Row],[Ref.]],2),1),"")</f>
        <v/>
      </c>
      <c r="AD213" s="4" t="str">
        <f t="shared" si="19"/>
        <v/>
      </c>
      <c r="AE213" s="5" t="str">
        <f t="shared" si="20"/>
        <v/>
      </c>
      <c r="AF213" s="4"/>
      <c r="AG213" s="6" t="str">
        <f t="shared" si="21"/>
        <v/>
      </c>
    </row>
    <row r="214" spans="1:33" ht="15.75" customHeight="1" x14ac:dyDescent="0.2">
      <c r="A214" s="35"/>
      <c r="B214" s="44"/>
      <c r="C214" s="35"/>
      <c r="D214" s="35"/>
      <c r="E214" s="48"/>
      <c r="F214" s="45"/>
      <c r="G214" s="38"/>
      <c r="H214" s="45"/>
      <c r="I214" s="45"/>
      <c r="L214" s="19"/>
      <c r="M214" s="2"/>
      <c r="N214" s="25"/>
      <c r="O214" s="25"/>
      <c r="P214" s="29"/>
      <c r="Q214" s="3"/>
      <c r="R214" s="6" t="str">
        <f>IF($H214&lt;&gt;"",RIGHT(Tabela1[[#This Row],[Ref.]],2),"")</f>
        <v/>
      </c>
      <c r="S214" s="6" t="str">
        <f t="shared" si="18"/>
        <v/>
      </c>
      <c r="T214" s="4" t="str">
        <f>IF($H214&lt;&gt;"",_xlfn.XLOOKUP(H214,Naturezas!B:B,Naturezas!E:E,"",0,1),"")</f>
        <v/>
      </c>
      <c r="U214" s="4" t="str">
        <f>IF($H214&lt;&gt;"",_xlfn.XLOOKUP($H214,Naturezas!B:B,Naturezas!D:D,"",0,1),"")</f>
        <v/>
      </c>
      <c r="V214" s="5" t="str">
        <f>IF(H214&lt;&gt;"",IF(OR(H214=Naturezas!$B$3,H214=Naturezas!$B$4,H214=Naturezas!$B$5,H214=Naturezas!$B$17,H214=Naturezas!$B$18,H214=Naturezas!$B$19),G214,-G214),"")</f>
        <v/>
      </c>
      <c r="W214" s="4" t="str">
        <f t="shared" si="22"/>
        <v/>
      </c>
      <c r="X214" s="4"/>
      <c r="Y214" s="4" t="str">
        <f t="shared" si="23"/>
        <v/>
      </c>
      <c r="Z214" s="6" t="str">
        <f>IF(H214&lt;&gt;"",Tabela1[[#This Row],[Iniciais]],"")</f>
        <v/>
      </c>
      <c r="AB214" s="6" t="str">
        <f>IF($H214&lt;&gt;"",RIGHT(Tabela1[[#This Row],[Ref.]],2),"")</f>
        <v/>
      </c>
      <c r="AC214" s="37" t="str">
        <f>IF($H214&lt;&gt;"",DATE(LEFT(Tabela1[[#This Row],[Ref.]],4),RIGHT(Tabela1[[#This Row],[Ref.]],2),1),"")</f>
        <v/>
      </c>
      <c r="AD214" s="4" t="str">
        <f t="shared" si="19"/>
        <v/>
      </c>
      <c r="AE214" s="5" t="str">
        <f t="shared" si="20"/>
        <v/>
      </c>
      <c r="AF214" s="4"/>
      <c r="AG214" s="6" t="str">
        <f t="shared" si="21"/>
        <v/>
      </c>
    </row>
    <row r="215" spans="1:33" ht="15.75" customHeight="1" x14ac:dyDescent="0.2">
      <c r="A215" s="35"/>
      <c r="B215" s="44"/>
      <c r="C215" s="35"/>
      <c r="D215" s="35"/>
      <c r="E215" s="48"/>
      <c r="F215" s="45"/>
      <c r="G215" s="38"/>
      <c r="H215" s="45"/>
      <c r="I215" s="45"/>
      <c r="L215" s="19"/>
      <c r="M215" s="2"/>
      <c r="N215" s="25"/>
      <c r="O215" s="25"/>
      <c r="P215" s="29"/>
      <c r="Q215" s="3"/>
      <c r="R215" s="6" t="str">
        <f>IF($H215&lt;&gt;"",RIGHT(Tabela1[[#This Row],[Ref.]],2),"")</f>
        <v/>
      </c>
      <c r="S215" s="6" t="str">
        <f t="shared" si="18"/>
        <v/>
      </c>
      <c r="T215" s="4" t="str">
        <f>IF($H215&lt;&gt;"",_xlfn.XLOOKUP(H215,Naturezas!B:B,Naturezas!E:E,"",0,1),"")</f>
        <v/>
      </c>
      <c r="U215" s="4" t="str">
        <f>IF($H215&lt;&gt;"",_xlfn.XLOOKUP($H215,Naturezas!B:B,Naturezas!D:D,"",0,1),"")</f>
        <v/>
      </c>
      <c r="V215" s="5" t="str">
        <f>IF(H215&lt;&gt;"",IF(OR(H215=Naturezas!$B$3,H215=Naturezas!$B$4,H215=Naturezas!$B$5,H215=Naturezas!$B$17,H215=Naturezas!$B$18,H215=Naturezas!$B$19),G215,-G215),"")</f>
        <v/>
      </c>
      <c r="W215" s="4" t="str">
        <f t="shared" si="22"/>
        <v/>
      </c>
      <c r="X215" s="4"/>
      <c r="Y215" s="4" t="str">
        <f t="shared" si="23"/>
        <v/>
      </c>
      <c r="Z215" s="6" t="str">
        <f>IF(H215&lt;&gt;"",Tabela1[[#This Row],[Iniciais]],"")</f>
        <v/>
      </c>
      <c r="AB215" s="6" t="str">
        <f>IF($H215&lt;&gt;"",RIGHT(Tabela1[[#This Row],[Ref.]],2),"")</f>
        <v/>
      </c>
      <c r="AC215" s="37" t="str">
        <f>IF($H215&lt;&gt;"",DATE(LEFT(Tabela1[[#This Row],[Ref.]],4),RIGHT(Tabela1[[#This Row],[Ref.]],2),1),"")</f>
        <v/>
      </c>
      <c r="AD215" s="4" t="str">
        <f t="shared" si="19"/>
        <v/>
      </c>
      <c r="AE215" s="5" t="str">
        <f t="shared" si="20"/>
        <v/>
      </c>
      <c r="AF215" s="4"/>
      <c r="AG215" s="6" t="str">
        <f t="shared" si="21"/>
        <v/>
      </c>
    </row>
    <row r="216" spans="1:33" ht="15.75" customHeight="1" x14ac:dyDescent="0.2">
      <c r="A216" s="35"/>
      <c r="B216" s="44"/>
      <c r="C216" s="35"/>
      <c r="D216" s="35"/>
      <c r="E216" s="48"/>
      <c r="F216" s="45"/>
      <c r="G216" s="38"/>
      <c r="H216" s="45"/>
      <c r="I216" s="45"/>
      <c r="L216" s="19"/>
      <c r="M216" s="2"/>
      <c r="N216" s="25"/>
      <c r="O216" s="25"/>
      <c r="P216" s="29"/>
      <c r="Q216" s="3"/>
      <c r="R216" s="6" t="str">
        <f>IF($H216&lt;&gt;"",RIGHT(Tabela1[[#This Row],[Ref.]],2),"")</f>
        <v/>
      </c>
      <c r="S216" s="6" t="str">
        <f t="shared" si="18"/>
        <v/>
      </c>
      <c r="T216" s="4" t="str">
        <f>IF($H216&lt;&gt;"",_xlfn.XLOOKUP(H216,Naturezas!B:B,Naturezas!E:E,"",0,1),"")</f>
        <v/>
      </c>
      <c r="U216" s="4" t="str">
        <f>IF($H216&lt;&gt;"",_xlfn.XLOOKUP($H216,Naturezas!B:B,Naturezas!D:D,"",0,1),"")</f>
        <v/>
      </c>
      <c r="V216" s="5" t="str">
        <f>IF(H216&lt;&gt;"",IF(OR(H216=Naturezas!$B$3,H216=Naturezas!$B$4,H216=Naturezas!$B$5,H216=Naturezas!$B$17,H216=Naturezas!$B$18,H216=Naturezas!$B$19),G216,-G216),"")</f>
        <v/>
      </c>
      <c r="W216" s="4" t="str">
        <f t="shared" si="22"/>
        <v/>
      </c>
      <c r="X216" s="4"/>
      <c r="Y216" s="4" t="str">
        <f t="shared" si="23"/>
        <v/>
      </c>
      <c r="Z216" s="6" t="str">
        <f>IF(H216&lt;&gt;"",Tabela1[[#This Row],[Iniciais]],"")</f>
        <v/>
      </c>
      <c r="AB216" s="6" t="str">
        <f>IF($H216&lt;&gt;"",RIGHT(Tabela1[[#This Row],[Ref.]],2),"")</f>
        <v/>
      </c>
      <c r="AC216" s="37" t="str">
        <f>IF($H216&lt;&gt;"",DATE(LEFT(Tabela1[[#This Row],[Ref.]],4),RIGHT(Tabela1[[#This Row],[Ref.]],2),1),"")</f>
        <v/>
      </c>
      <c r="AD216" s="4" t="str">
        <f t="shared" si="19"/>
        <v/>
      </c>
      <c r="AE216" s="5" t="str">
        <f t="shared" si="20"/>
        <v/>
      </c>
      <c r="AF216" s="4"/>
      <c r="AG216" s="6" t="str">
        <f t="shared" si="21"/>
        <v/>
      </c>
    </row>
    <row r="217" spans="1:33" ht="15.75" customHeight="1" x14ac:dyDescent="0.2">
      <c r="A217" s="35"/>
      <c r="B217" s="44"/>
      <c r="C217" s="35"/>
      <c r="D217" s="35"/>
      <c r="E217" s="48"/>
      <c r="F217" s="45"/>
      <c r="G217" s="38"/>
      <c r="H217" s="45"/>
      <c r="I217" s="45"/>
      <c r="L217" s="19"/>
      <c r="M217" s="2"/>
      <c r="N217" s="25"/>
      <c r="O217" s="25"/>
      <c r="P217" s="29"/>
      <c r="Q217" s="3"/>
      <c r="R217" s="6" t="str">
        <f>IF($H217&lt;&gt;"",RIGHT(Tabela1[[#This Row],[Ref.]],2),"")</f>
        <v/>
      </c>
      <c r="S217" s="6" t="str">
        <f t="shared" si="18"/>
        <v/>
      </c>
      <c r="T217" s="4" t="str">
        <f>IF($H217&lt;&gt;"",_xlfn.XLOOKUP(H217,Naturezas!B:B,Naturezas!E:E,"",0,1),"")</f>
        <v/>
      </c>
      <c r="U217" s="4" t="str">
        <f>IF($H217&lt;&gt;"",_xlfn.XLOOKUP($H217,Naturezas!B:B,Naturezas!D:D,"",0,1),"")</f>
        <v/>
      </c>
      <c r="V217" s="5" t="str">
        <f>IF(H217&lt;&gt;"",IF(OR(H217=Naturezas!$B$3,H217=Naturezas!$B$4,H217=Naturezas!$B$5,H217=Naturezas!$B$17,H217=Naturezas!$B$18,H217=Naturezas!$B$19),G217,-G217),"")</f>
        <v/>
      </c>
      <c r="W217" s="4" t="str">
        <f t="shared" si="22"/>
        <v/>
      </c>
      <c r="X217" s="4"/>
      <c r="Y217" s="4" t="str">
        <f t="shared" si="23"/>
        <v/>
      </c>
      <c r="Z217" s="6" t="str">
        <f>IF(H217&lt;&gt;"",Tabela1[[#This Row],[Iniciais]],"")</f>
        <v/>
      </c>
      <c r="AB217" s="6" t="str">
        <f>IF($H217&lt;&gt;"",RIGHT(Tabela1[[#This Row],[Ref.]],2),"")</f>
        <v/>
      </c>
      <c r="AC217" s="37" t="str">
        <f>IF($H217&lt;&gt;"",DATE(LEFT(Tabela1[[#This Row],[Ref.]],4),RIGHT(Tabela1[[#This Row],[Ref.]],2),1),"")</f>
        <v/>
      </c>
      <c r="AD217" s="4" t="str">
        <f t="shared" si="19"/>
        <v/>
      </c>
      <c r="AE217" s="5" t="str">
        <f t="shared" si="20"/>
        <v/>
      </c>
      <c r="AF217" s="4"/>
      <c r="AG217" s="6" t="str">
        <f t="shared" si="21"/>
        <v/>
      </c>
    </row>
    <row r="218" spans="1:33" ht="15.75" customHeight="1" x14ac:dyDescent="0.2">
      <c r="A218" s="35"/>
      <c r="B218" s="44"/>
      <c r="C218" s="35"/>
      <c r="D218" s="35"/>
      <c r="E218" s="48"/>
      <c r="F218" s="45"/>
      <c r="G218" s="38"/>
      <c r="H218" s="45"/>
      <c r="I218" s="45"/>
      <c r="L218" s="19"/>
      <c r="M218" s="2"/>
      <c r="N218" s="25"/>
      <c r="O218" s="25"/>
      <c r="P218" s="29"/>
      <c r="Q218" s="3"/>
      <c r="R218" s="6" t="str">
        <f>IF($H218&lt;&gt;"",RIGHT(Tabela1[[#This Row],[Ref.]],2),"")</f>
        <v/>
      </c>
      <c r="S218" s="6" t="str">
        <f t="shared" si="18"/>
        <v/>
      </c>
      <c r="T218" s="4" t="str">
        <f>IF($H218&lt;&gt;"",_xlfn.XLOOKUP(H218,Naturezas!B:B,Naturezas!E:E,"",0,1),"")</f>
        <v/>
      </c>
      <c r="U218" s="4" t="str">
        <f>IF($H218&lt;&gt;"",_xlfn.XLOOKUP($H218,Naturezas!B:B,Naturezas!D:D,"",0,1),"")</f>
        <v/>
      </c>
      <c r="V218" s="5" t="str">
        <f>IF(H218&lt;&gt;"",IF(OR(H218=Naturezas!$B$3,H218=Naturezas!$B$4,H218=Naturezas!$B$5,H218=Naturezas!$B$17,H218=Naturezas!$B$18,H218=Naturezas!$B$19),G218,-G218),"")</f>
        <v/>
      </c>
      <c r="W218" s="4" t="str">
        <f t="shared" si="22"/>
        <v/>
      </c>
      <c r="X218" s="4"/>
      <c r="Y218" s="4" t="str">
        <f t="shared" si="23"/>
        <v/>
      </c>
      <c r="Z218" s="6" t="str">
        <f>IF(H218&lt;&gt;"",Tabela1[[#This Row],[Iniciais]],"")</f>
        <v/>
      </c>
      <c r="AB218" s="6" t="str">
        <f>IF($H218&lt;&gt;"",RIGHT(Tabela1[[#This Row],[Ref.]],2),"")</f>
        <v/>
      </c>
      <c r="AC218" s="37" t="str">
        <f>IF($H218&lt;&gt;"",DATE(LEFT(Tabela1[[#This Row],[Ref.]],4),RIGHT(Tabela1[[#This Row],[Ref.]],2),1),"")</f>
        <v/>
      </c>
      <c r="AD218" s="4" t="str">
        <f t="shared" si="19"/>
        <v/>
      </c>
      <c r="AE218" s="5" t="str">
        <f t="shared" si="20"/>
        <v/>
      </c>
      <c r="AF218" s="4"/>
      <c r="AG218" s="6" t="str">
        <f t="shared" si="21"/>
        <v/>
      </c>
    </row>
    <row r="219" spans="1:33" ht="15.75" customHeight="1" x14ac:dyDescent="0.2">
      <c r="A219" s="35"/>
      <c r="B219" s="44"/>
      <c r="C219" s="35"/>
      <c r="D219" s="35"/>
      <c r="E219" s="48"/>
      <c r="F219" s="45"/>
      <c r="G219" s="38"/>
      <c r="H219" s="45"/>
      <c r="I219" s="45"/>
      <c r="L219" s="19"/>
      <c r="N219" s="25"/>
      <c r="O219" s="25"/>
      <c r="P219" s="27"/>
      <c r="R219" s="6" t="str">
        <f>IF($H219&lt;&gt;"",RIGHT(Tabela1[[#This Row],[Ref.]],2),"")</f>
        <v/>
      </c>
      <c r="S219" s="6" t="str">
        <f t="shared" si="18"/>
        <v/>
      </c>
      <c r="T219" s="4" t="str">
        <f>IF($H219&lt;&gt;"",_xlfn.XLOOKUP(H219,Naturezas!B:B,Naturezas!E:E,"",0,1),"")</f>
        <v/>
      </c>
      <c r="U219" s="4" t="str">
        <f>IF($H219&lt;&gt;"",_xlfn.XLOOKUP($H219,Naturezas!B:B,Naturezas!D:D,"",0,1),"")</f>
        <v/>
      </c>
      <c r="V219" s="5" t="str">
        <f>IF(H219&lt;&gt;"",IF(OR(H219=Naturezas!$B$3,H219=Naturezas!$B$4,H219=Naturezas!$B$5,H219=Naturezas!$B$17,H219=Naturezas!$B$18,H219=Naturezas!$B$19),G219,-G219),"")</f>
        <v/>
      </c>
      <c r="W219" s="4" t="str">
        <f t="shared" si="22"/>
        <v/>
      </c>
      <c r="X219" s="4"/>
      <c r="Y219" s="4" t="str">
        <f t="shared" si="23"/>
        <v/>
      </c>
      <c r="Z219" s="6" t="str">
        <f>IF(H219&lt;&gt;"",Tabela1[[#This Row],[Iniciais]],"")</f>
        <v/>
      </c>
      <c r="AB219" s="6" t="str">
        <f>IF($H219&lt;&gt;"",RIGHT(Tabela1[[#This Row],[Ref.]],2),"")</f>
        <v/>
      </c>
      <c r="AC219" s="37" t="str">
        <f>IF($H219&lt;&gt;"",DATE(LEFT(Tabela1[[#This Row],[Ref.]],4),RIGHT(Tabela1[[#This Row],[Ref.]],2),1),"")</f>
        <v/>
      </c>
      <c r="AD219" s="4" t="str">
        <f t="shared" si="19"/>
        <v/>
      </c>
      <c r="AE219" s="5" t="str">
        <f t="shared" si="20"/>
        <v/>
      </c>
      <c r="AF219" s="4"/>
      <c r="AG219" s="6" t="str">
        <f t="shared" si="21"/>
        <v/>
      </c>
    </row>
    <row r="220" spans="1:33" ht="15.75" customHeight="1" x14ac:dyDescent="0.2">
      <c r="A220" s="35"/>
      <c r="B220" s="44"/>
      <c r="C220" s="35"/>
      <c r="D220" s="35"/>
      <c r="E220" s="48"/>
      <c r="F220" s="45"/>
      <c r="G220" s="38"/>
      <c r="H220" s="45"/>
      <c r="I220" s="45"/>
      <c r="L220" s="19"/>
      <c r="N220" s="25"/>
      <c r="O220" s="25"/>
      <c r="P220" s="27"/>
      <c r="R220" s="6" t="str">
        <f>IF($H220&lt;&gt;"",RIGHT(Tabela1[[#This Row],[Ref.]],2),"")</f>
        <v/>
      </c>
      <c r="S220" s="6" t="str">
        <f t="shared" si="18"/>
        <v/>
      </c>
      <c r="T220" s="4" t="str">
        <f>IF($H220&lt;&gt;"",_xlfn.XLOOKUP(H220,Naturezas!B:B,Naturezas!E:E,"",0,1),"")</f>
        <v/>
      </c>
      <c r="U220" s="4" t="str">
        <f>IF($H220&lt;&gt;"",_xlfn.XLOOKUP($H220,Naturezas!B:B,Naturezas!D:D,"",0,1),"")</f>
        <v/>
      </c>
      <c r="V220" s="5" t="str">
        <f>IF(H220&lt;&gt;"",IF(OR(H220=Naturezas!$B$3,H220=Naturezas!$B$4,H220=Naturezas!$B$5,H220=Naturezas!$B$17,H220=Naturezas!$B$18,H220=Naturezas!$B$19),G220,-G220),"")</f>
        <v/>
      </c>
      <c r="W220" s="4" t="str">
        <f t="shared" si="22"/>
        <v/>
      </c>
      <c r="X220" s="4"/>
      <c r="Y220" s="4" t="str">
        <f t="shared" si="23"/>
        <v/>
      </c>
      <c r="Z220" s="6" t="str">
        <f>IF(H220&lt;&gt;"",Tabela1[[#This Row],[Iniciais]],"")</f>
        <v/>
      </c>
      <c r="AB220" s="6" t="str">
        <f>IF($H220&lt;&gt;"",RIGHT(Tabela1[[#This Row],[Ref.]],2),"")</f>
        <v/>
      </c>
      <c r="AC220" s="37" t="str">
        <f>IF($H220&lt;&gt;"",DATE(LEFT(Tabela1[[#This Row],[Ref.]],4),RIGHT(Tabela1[[#This Row],[Ref.]],2),1),"")</f>
        <v/>
      </c>
      <c r="AD220" s="4" t="str">
        <f t="shared" si="19"/>
        <v/>
      </c>
      <c r="AE220" s="5" t="str">
        <f t="shared" si="20"/>
        <v/>
      </c>
      <c r="AF220" s="4"/>
      <c r="AG220" s="6" t="str">
        <f t="shared" si="21"/>
        <v/>
      </c>
    </row>
    <row r="221" spans="1:33" ht="15.75" customHeight="1" x14ac:dyDescent="0.2">
      <c r="A221" s="35"/>
      <c r="B221" s="44"/>
      <c r="C221" s="35"/>
      <c r="D221" s="35"/>
      <c r="E221" s="48"/>
      <c r="F221" s="45"/>
      <c r="G221" s="38"/>
      <c r="H221" s="45"/>
      <c r="I221" s="45"/>
      <c r="L221" s="19"/>
      <c r="N221" s="25"/>
      <c r="O221" s="25"/>
      <c r="P221" s="27"/>
      <c r="R221" s="6" t="str">
        <f>IF($H221&lt;&gt;"",RIGHT(Tabela1[[#This Row],[Ref.]],2),"")</f>
        <v/>
      </c>
      <c r="S221" s="6" t="str">
        <f t="shared" si="18"/>
        <v/>
      </c>
      <c r="T221" s="4" t="str">
        <f>IF($H221&lt;&gt;"",_xlfn.XLOOKUP(H221,Naturezas!B:B,Naturezas!E:E,"",0,1),"")</f>
        <v/>
      </c>
      <c r="U221" s="4" t="str">
        <f>IF($H221&lt;&gt;"",_xlfn.XLOOKUP($H221,Naturezas!B:B,Naturezas!D:D,"",0,1),"")</f>
        <v/>
      </c>
      <c r="V221" s="5" t="str">
        <f>IF(H221&lt;&gt;"",IF(OR(H221=Naturezas!$B$3,H221=Naturezas!$B$4,H221=Naturezas!$B$5,H221=Naturezas!$B$17,H221=Naturezas!$B$18,H221=Naturezas!$B$19),G221,-G221),"")</f>
        <v/>
      </c>
      <c r="W221" s="4" t="str">
        <f t="shared" si="22"/>
        <v/>
      </c>
      <c r="X221" s="4"/>
      <c r="Y221" s="4" t="str">
        <f t="shared" si="23"/>
        <v/>
      </c>
      <c r="Z221" s="6" t="str">
        <f>IF(H221&lt;&gt;"",Tabela1[[#This Row],[Iniciais]],"")</f>
        <v/>
      </c>
      <c r="AB221" s="6" t="str">
        <f>IF($H221&lt;&gt;"",RIGHT(Tabela1[[#This Row],[Ref.]],2),"")</f>
        <v/>
      </c>
      <c r="AC221" s="37" t="str">
        <f>IF($H221&lt;&gt;"",DATE(LEFT(Tabela1[[#This Row],[Ref.]],4),RIGHT(Tabela1[[#This Row],[Ref.]],2),1),"")</f>
        <v/>
      </c>
      <c r="AD221" s="4" t="str">
        <f t="shared" si="19"/>
        <v/>
      </c>
      <c r="AE221" s="5" t="str">
        <f t="shared" si="20"/>
        <v/>
      </c>
      <c r="AF221" s="4"/>
      <c r="AG221" s="6" t="str">
        <f t="shared" si="21"/>
        <v/>
      </c>
    </row>
    <row r="222" spans="1:33" ht="15.75" customHeight="1" x14ac:dyDescent="0.2">
      <c r="A222" s="35"/>
      <c r="B222" s="44"/>
      <c r="C222" s="35"/>
      <c r="D222" s="35"/>
      <c r="E222" s="48"/>
      <c r="F222" s="45"/>
      <c r="G222" s="38"/>
      <c r="H222" s="45"/>
      <c r="I222" s="45"/>
      <c r="L222" s="19"/>
      <c r="N222" s="25"/>
      <c r="O222" s="25"/>
      <c r="P222" s="27"/>
      <c r="R222" s="6" t="str">
        <f>IF($H222&lt;&gt;"",RIGHT(Tabela1[[#This Row],[Ref.]],2),"")</f>
        <v/>
      </c>
      <c r="S222" s="6" t="str">
        <f t="shared" si="18"/>
        <v/>
      </c>
      <c r="T222" s="4" t="str">
        <f>IF($H222&lt;&gt;"",_xlfn.XLOOKUP(H222,Naturezas!B:B,Naturezas!E:E,"",0,1),"")</f>
        <v/>
      </c>
      <c r="U222" s="4" t="str">
        <f>IF($H222&lt;&gt;"",_xlfn.XLOOKUP($H222,Naturezas!B:B,Naturezas!D:D,"",0,1),"")</f>
        <v/>
      </c>
      <c r="V222" s="5" t="str">
        <f>IF(H222&lt;&gt;"",IF(OR(H222=Naturezas!$B$3,H222=Naturezas!$B$4,H222=Naturezas!$B$5,H222=Naturezas!$B$17,H222=Naturezas!$B$18,H222=Naturezas!$B$19),G222,-G222),"")</f>
        <v/>
      </c>
      <c r="W222" s="4" t="str">
        <f t="shared" si="22"/>
        <v/>
      </c>
      <c r="X222" s="4"/>
      <c r="Y222" s="4" t="str">
        <f t="shared" si="23"/>
        <v/>
      </c>
      <c r="Z222" s="6" t="str">
        <f>IF(H222&lt;&gt;"",Tabela1[[#This Row],[Iniciais]],"")</f>
        <v/>
      </c>
      <c r="AB222" s="6" t="str">
        <f>IF($H222&lt;&gt;"",RIGHT(Tabela1[[#This Row],[Ref.]],2),"")</f>
        <v/>
      </c>
      <c r="AC222" s="37" t="str">
        <f>IF($H222&lt;&gt;"",DATE(LEFT(Tabela1[[#This Row],[Ref.]],4),RIGHT(Tabela1[[#This Row],[Ref.]],2),1),"")</f>
        <v/>
      </c>
      <c r="AD222" s="4" t="str">
        <f t="shared" si="19"/>
        <v/>
      </c>
      <c r="AE222" s="5" t="str">
        <f t="shared" si="20"/>
        <v/>
      </c>
      <c r="AF222" s="4"/>
      <c r="AG222" s="6" t="str">
        <f t="shared" si="21"/>
        <v/>
      </c>
    </row>
    <row r="223" spans="1:33" ht="15.75" customHeight="1" x14ac:dyDescent="0.2">
      <c r="A223" s="35"/>
      <c r="B223" s="44"/>
      <c r="C223" s="35"/>
      <c r="D223" s="35"/>
      <c r="E223" s="48"/>
      <c r="F223" s="45"/>
      <c r="G223" s="38"/>
      <c r="H223" s="45"/>
      <c r="I223" s="45"/>
      <c r="L223" s="19"/>
      <c r="N223" s="25"/>
      <c r="O223" s="25"/>
      <c r="P223" s="27"/>
      <c r="R223" s="6" t="str">
        <f>IF($H223&lt;&gt;"",RIGHT(Tabela1[[#This Row],[Ref.]],2),"")</f>
        <v/>
      </c>
      <c r="S223" s="6" t="str">
        <f t="shared" si="18"/>
        <v/>
      </c>
      <c r="T223" s="4" t="str">
        <f>IF($H223&lt;&gt;"",_xlfn.XLOOKUP(H223,Naturezas!B:B,Naturezas!E:E,"",0,1),"")</f>
        <v/>
      </c>
      <c r="U223" s="4" t="str">
        <f>IF($H223&lt;&gt;"",_xlfn.XLOOKUP($H223,Naturezas!B:B,Naturezas!D:D,"",0,1),"")</f>
        <v/>
      </c>
      <c r="V223" s="5" t="str">
        <f>IF(H223&lt;&gt;"",IF(OR(H223=Naturezas!$B$3,H223=Naturezas!$B$4,H223=Naturezas!$B$5,H223=Naturezas!$B$17,H223=Naturezas!$B$18,H223=Naturezas!$B$19),G223,-G223),"")</f>
        <v/>
      </c>
      <c r="W223" s="4" t="str">
        <f t="shared" si="22"/>
        <v/>
      </c>
      <c r="X223" s="4"/>
      <c r="Y223" s="4" t="str">
        <f t="shared" si="23"/>
        <v/>
      </c>
      <c r="Z223" s="6" t="str">
        <f>IF(H223&lt;&gt;"",Tabela1[[#This Row],[Iniciais]],"")</f>
        <v/>
      </c>
      <c r="AB223" s="6" t="str">
        <f>IF($H223&lt;&gt;"",RIGHT(Tabela1[[#This Row],[Ref.]],2),"")</f>
        <v/>
      </c>
      <c r="AC223" s="37" t="str">
        <f>IF($H223&lt;&gt;"",DATE(LEFT(Tabela1[[#This Row],[Ref.]],4),RIGHT(Tabela1[[#This Row],[Ref.]],2),1),"")</f>
        <v/>
      </c>
      <c r="AD223" s="4" t="str">
        <f t="shared" si="19"/>
        <v/>
      </c>
      <c r="AE223" s="5" t="str">
        <f t="shared" si="20"/>
        <v/>
      </c>
      <c r="AF223" s="4"/>
      <c r="AG223" s="6" t="str">
        <f t="shared" si="21"/>
        <v/>
      </c>
    </row>
    <row r="224" spans="1:33" ht="15.75" customHeight="1" x14ac:dyDescent="0.2">
      <c r="A224" s="35"/>
      <c r="B224" s="44"/>
      <c r="C224" s="35"/>
      <c r="D224" s="35"/>
      <c r="E224" s="48"/>
      <c r="F224" s="45"/>
      <c r="G224" s="38"/>
      <c r="H224" s="45"/>
      <c r="I224" s="45"/>
      <c r="L224" s="19"/>
      <c r="N224" s="25"/>
      <c r="O224" s="25"/>
      <c r="P224" s="27"/>
      <c r="R224" s="6" t="str">
        <f>IF($H224&lt;&gt;"",RIGHT(Tabela1[[#This Row],[Ref.]],2),"")</f>
        <v/>
      </c>
      <c r="S224" s="6" t="str">
        <f t="shared" si="18"/>
        <v/>
      </c>
      <c r="T224" s="4" t="str">
        <f>IF($H224&lt;&gt;"",_xlfn.XLOOKUP(H224,Naturezas!B:B,Naturezas!E:E,"",0,1),"")</f>
        <v/>
      </c>
      <c r="U224" s="4" t="str">
        <f>IF($H224&lt;&gt;"",_xlfn.XLOOKUP($H224,Naturezas!B:B,Naturezas!D:D,"",0,1),"")</f>
        <v/>
      </c>
      <c r="V224" s="5" t="str">
        <f>IF(H224&lt;&gt;"",IF(OR(H224=Naturezas!$B$3,H224=Naturezas!$B$4,H224=Naturezas!$B$5,H224=Naturezas!$B$17,H224=Naturezas!$B$18,H224=Naturezas!$B$19),G224,-G224),"")</f>
        <v/>
      </c>
      <c r="W224" s="4" t="str">
        <f t="shared" si="22"/>
        <v/>
      </c>
      <c r="X224" s="4"/>
      <c r="Y224" s="4" t="str">
        <f t="shared" si="23"/>
        <v/>
      </c>
      <c r="Z224" s="6" t="str">
        <f>IF(H224&lt;&gt;"",Tabela1[[#This Row],[Iniciais]],"")</f>
        <v/>
      </c>
      <c r="AB224" s="6" t="str">
        <f>IF($H224&lt;&gt;"",RIGHT(Tabela1[[#This Row],[Ref.]],2),"")</f>
        <v/>
      </c>
      <c r="AC224" s="37" t="str">
        <f>IF($H224&lt;&gt;"",DATE(LEFT(Tabela1[[#This Row],[Ref.]],4),RIGHT(Tabela1[[#This Row],[Ref.]],2),1),"")</f>
        <v/>
      </c>
      <c r="AD224" s="4" t="str">
        <f t="shared" si="19"/>
        <v/>
      </c>
      <c r="AE224" s="5" t="str">
        <f t="shared" si="20"/>
        <v/>
      </c>
      <c r="AF224" s="4"/>
      <c r="AG224" s="6" t="str">
        <f t="shared" si="21"/>
        <v/>
      </c>
    </row>
    <row r="225" spans="1:33" ht="15.75" customHeight="1" x14ac:dyDescent="0.2">
      <c r="A225" s="35"/>
      <c r="B225" s="44"/>
      <c r="C225" s="35"/>
      <c r="D225" s="35"/>
      <c r="E225" s="48"/>
      <c r="F225" s="45"/>
      <c r="G225" s="38"/>
      <c r="H225" s="45"/>
      <c r="I225" s="45"/>
      <c r="L225" s="19"/>
      <c r="N225" s="25"/>
      <c r="O225" s="25"/>
      <c r="P225" s="27"/>
      <c r="R225" s="6" t="str">
        <f>IF($H225&lt;&gt;"",RIGHT(Tabela1[[#This Row],[Ref.]],2),"")</f>
        <v/>
      </c>
      <c r="S225" s="6" t="str">
        <f t="shared" si="18"/>
        <v/>
      </c>
      <c r="T225" s="4" t="str">
        <f>IF($H225&lt;&gt;"",_xlfn.XLOOKUP(H225,Naturezas!B:B,Naturezas!E:E,"",0,1),"")</f>
        <v/>
      </c>
      <c r="U225" s="4" t="str">
        <f>IF($H225&lt;&gt;"",_xlfn.XLOOKUP($H225,Naturezas!B:B,Naturezas!D:D,"",0,1),"")</f>
        <v/>
      </c>
      <c r="V225" s="5" t="str">
        <f>IF(H225&lt;&gt;"",IF(OR(H225=Naturezas!$B$3,H225=Naturezas!$B$4,H225=Naturezas!$B$5,H225=Naturezas!$B$17,H225=Naturezas!$B$18,H225=Naturezas!$B$19),G225,-G225),"")</f>
        <v/>
      </c>
      <c r="W225" s="4" t="str">
        <f t="shared" si="22"/>
        <v/>
      </c>
      <c r="X225" s="4"/>
      <c r="Y225" s="4" t="str">
        <f t="shared" si="23"/>
        <v/>
      </c>
      <c r="Z225" s="6" t="str">
        <f>IF(H225&lt;&gt;"",Tabela1[[#This Row],[Iniciais]],"")</f>
        <v/>
      </c>
      <c r="AB225" s="6" t="str">
        <f>IF($H225&lt;&gt;"",RIGHT(Tabela1[[#This Row],[Ref.]],2),"")</f>
        <v/>
      </c>
      <c r="AC225" s="37" t="str">
        <f>IF($H225&lt;&gt;"",DATE(LEFT(Tabela1[[#This Row],[Ref.]],4),RIGHT(Tabela1[[#This Row],[Ref.]],2),1),"")</f>
        <v/>
      </c>
      <c r="AD225" s="4" t="str">
        <f t="shared" si="19"/>
        <v/>
      </c>
      <c r="AE225" s="5" t="str">
        <f t="shared" si="20"/>
        <v/>
      </c>
      <c r="AF225" s="4"/>
      <c r="AG225" s="6" t="str">
        <f t="shared" si="21"/>
        <v/>
      </c>
    </row>
    <row r="226" spans="1:33" ht="15.75" customHeight="1" x14ac:dyDescent="0.2">
      <c r="A226" s="35"/>
      <c r="B226" s="44"/>
      <c r="C226" s="35"/>
      <c r="D226" s="35"/>
      <c r="E226" s="48"/>
      <c r="F226" s="45"/>
      <c r="G226" s="38"/>
      <c r="H226" s="45"/>
      <c r="I226" s="45"/>
      <c r="L226" s="19"/>
      <c r="N226" s="25"/>
      <c r="O226" s="25"/>
      <c r="P226" s="27"/>
      <c r="R226" s="6" t="str">
        <f>IF($H226&lt;&gt;"",RIGHT(Tabela1[[#This Row],[Ref.]],2),"")</f>
        <v/>
      </c>
      <c r="S226" s="6" t="str">
        <f t="shared" si="18"/>
        <v/>
      </c>
      <c r="T226" s="4" t="str">
        <f>IF($H226&lt;&gt;"",_xlfn.XLOOKUP(H226,Naturezas!B:B,Naturezas!E:E,"",0,1),"")</f>
        <v/>
      </c>
      <c r="U226" s="4" t="str">
        <f>IF($H226&lt;&gt;"",_xlfn.XLOOKUP($H226,Naturezas!B:B,Naturezas!D:D,"",0,1),"")</f>
        <v/>
      </c>
      <c r="V226" s="5" t="str">
        <f>IF(H226&lt;&gt;"",IF(OR(H226=Naturezas!$B$3,H226=Naturezas!$B$4,H226=Naturezas!$B$5,H226=Naturezas!$B$17,H226=Naturezas!$B$18,H226=Naturezas!$B$19),G226,-G226),"")</f>
        <v/>
      </c>
      <c r="W226" s="4" t="str">
        <f t="shared" si="22"/>
        <v/>
      </c>
      <c r="X226" s="4"/>
      <c r="Y226" s="4" t="str">
        <f t="shared" si="23"/>
        <v/>
      </c>
      <c r="Z226" s="6" t="str">
        <f>IF(H226&lt;&gt;"",Tabela1[[#This Row],[Iniciais]],"")</f>
        <v/>
      </c>
      <c r="AB226" s="6" t="str">
        <f>IF($H226&lt;&gt;"",RIGHT(Tabela1[[#This Row],[Ref.]],2),"")</f>
        <v/>
      </c>
      <c r="AC226" s="37" t="str">
        <f>IF($H226&lt;&gt;"",DATE(LEFT(Tabela1[[#This Row],[Ref.]],4),RIGHT(Tabela1[[#This Row],[Ref.]],2),1),"")</f>
        <v/>
      </c>
      <c r="AD226" s="4" t="str">
        <f t="shared" si="19"/>
        <v/>
      </c>
      <c r="AE226" s="5" t="str">
        <f t="shared" si="20"/>
        <v/>
      </c>
      <c r="AF226" s="4"/>
      <c r="AG226" s="6" t="str">
        <f t="shared" si="21"/>
        <v/>
      </c>
    </row>
    <row r="227" spans="1:33" ht="15.75" customHeight="1" x14ac:dyDescent="0.2">
      <c r="A227" s="35"/>
      <c r="B227" s="44"/>
      <c r="C227" s="35"/>
      <c r="D227" s="35"/>
      <c r="E227" s="48"/>
      <c r="F227" s="45"/>
      <c r="G227" s="38"/>
      <c r="H227" s="45"/>
      <c r="I227" s="45"/>
      <c r="L227" s="19"/>
      <c r="N227" s="25"/>
      <c r="O227" s="25"/>
      <c r="P227" s="27"/>
      <c r="R227" s="6" t="str">
        <f>IF($H227&lt;&gt;"",RIGHT(Tabela1[[#This Row],[Ref.]],2),"")</f>
        <v/>
      </c>
      <c r="S227" s="6" t="str">
        <f t="shared" si="18"/>
        <v/>
      </c>
      <c r="T227" s="4" t="str">
        <f>IF($H227&lt;&gt;"",_xlfn.XLOOKUP(H227,Naturezas!B:B,Naturezas!E:E,"",0,1),"")</f>
        <v/>
      </c>
      <c r="U227" s="4" t="str">
        <f>IF($H227&lt;&gt;"",_xlfn.XLOOKUP($H227,Naturezas!B:B,Naturezas!D:D,"",0,1),"")</f>
        <v/>
      </c>
      <c r="V227" s="5" t="str">
        <f>IF(H227&lt;&gt;"",IF(OR(H227=Naturezas!$B$3,H227=Naturezas!$B$4,H227=Naturezas!$B$5,H227=Naturezas!$B$17,H227=Naturezas!$B$18,H227=Naturezas!$B$19),G227,-G227),"")</f>
        <v/>
      </c>
      <c r="W227" s="4" t="str">
        <f t="shared" si="22"/>
        <v/>
      </c>
      <c r="X227" s="4"/>
      <c r="Y227" s="4" t="str">
        <f t="shared" si="23"/>
        <v/>
      </c>
      <c r="Z227" s="6" t="str">
        <f>IF(H227&lt;&gt;"",Tabela1[[#This Row],[Iniciais]],"")</f>
        <v/>
      </c>
      <c r="AB227" s="6" t="str">
        <f>IF($H227&lt;&gt;"",RIGHT(Tabela1[[#This Row],[Ref.]],2),"")</f>
        <v/>
      </c>
      <c r="AC227" s="37" t="str">
        <f>IF($H227&lt;&gt;"",DATE(LEFT(Tabela1[[#This Row],[Ref.]],4),RIGHT(Tabela1[[#This Row],[Ref.]],2),1),"")</f>
        <v/>
      </c>
      <c r="AD227" s="4" t="str">
        <f t="shared" si="19"/>
        <v/>
      </c>
      <c r="AE227" s="5" t="str">
        <f t="shared" si="20"/>
        <v/>
      </c>
      <c r="AF227" s="4"/>
      <c r="AG227" s="6" t="str">
        <f t="shared" si="21"/>
        <v/>
      </c>
    </row>
    <row r="228" spans="1:33" ht="15.75" customHeight="1" x14ac:dyDescent="0.2">
      <c r="A228" s="35"/>
      <c r="B228" s="44"/>
      <c r="C228" s="35"/>
      <c r="D228" s="35"/>
      <c r="E228" s="48"/>
      <c r="F228" s="45"/>
      <c r="G228" s="38"/>
      <c r="H228" s="45"/>
      <c r="I228" s="45"/>
      <c r="L228" s="19"/>
      <c r="N228" s="25"/>
      <c r="O228" s="25"/>
      <c r="P228" s="27"/>
      <c r="R228" s="6" t="str">
        <f>IF($H228&lt;&gt;"",RIGHT(Tabela1[[#This Row],[Ref.]],2),"")</f>
        <v/>
      </c>
      <c r="S228" s="6" t="str">
        <f t="shared" si="18"/>
        <v/>
      </c>
      <c r="T228" s="4" t="str">
        <f>IF($H228&lt;&gt;"",_xlfn.XLOOKUP(H228,Naturezas!B:B,Naturezas!E:E,"",0,1),"")</f>
        <v/>
      </c>
      <c r="U228" s="4" t="str">
        <f>IF($H228&lt;&gt;"",_xlfn.XLOOKUP($H228,Naturezas!B:B,Naturezas!D:D,"",0,1),"")</f>
        <v/>
      </c>
      <c r="V228" s="5" t="str">
        <f>IF(H228&lt;&gt;"",IF(OR(H228=Naturezas!$B$3,H228=Naturezas!$B$4,H228=Naturezas!$B$5,H228=Naturezas!$B$17,H228=Naturezas!$B$18,H228=Naturezas!$B$19),G228,-G228),"")</f>
        <v/>
      </c>
      <c r="W228" s="4" t="str">
        <f t="shared" si="22"/>
        <v/>
      </c>
      <c r="X228" s="4"/>
      <c r="Y228" s="4" t="str">
        <f t="shared" si="23"/>
        <v/>
      </c>
      <c r="Z228" s="6" t="str">
        <f>IF(H228&lt;&gt;"",Tabela1[[#This Row],[Iniciais]],"")</f>
        <v/>
      </c>
      <c r="AB228" s="6" t="str">
        <f>IF($H228&lt;&gt;"",RIGHT(Tabela1[[#This Row],[Ref.]],2),"")</f>
        <v/>
      </c>
      <c r="AC228" s="37" t="str">
        <f>IF($H228&lt;&gt;"",DATE(LEFT(Tabela1[[#This Row],[Ref.]],4),RIGHT(Tabela1[[#This Row],[Ref.]],2),1),"")</f>
        <v/>
      </c>
      <c r="AD228" s="4" t="str">
        <f t="shared" si="19"/>
        <v/>
      </c>
      <c r="AE228" s="5" t="str">
        <f t="shared" si="20"/>
        <v/>
      </c>
      <c r="AF228" s="4"/>
      <c r="AG228" s="6" t="str">
        <f t="shared" si="21"/>
        <v/>
      </c>
    </row>
    <row r="229" spans="1:33" ht="15.75" customHeight="1" x14ac:dyDescent="0.2">
      <c r="A229" s="35"/>
      <c r="B229" s="44"/>
      <c r="C229" s="35"/>
      <c r="D229" s="35"/>
      <c r="E229" s="48"/>
      <c r="F229" s="45"/>
      <c r="G229" s="38"/>
      <c r="H229" s="45"/>
      <c r="I229" s="45"/>
      <c r="L229" s="19"/>
      <c r="N229" s="25"/>
      <c r="O229" s="25"/>
      <c r="P229" s="27"/>
      <c r="R229" s="6" t="str">
        <f>IF($H229&lt;&gt;"",RIGHT(Tabela1[[#This Row],[Ref.]],2),"")</f>
        <v/>
      </c>
      <c r="S229" s="6" t="str">
        <f t="shared" si="18"/>
        <v/>
      </c>
      <c r="T229" s="4" t="str">
        <f>IF($H229&lt;&gt;"",_xlfn.XLOOKUP(H229,Naturezas!B:B,Naturezas!E:E,"",0,1),"")</f>
        <v/>
      </c>
      <c r="U229" s="4" t="str">
        <f>IF($H229&lt;&gt;"",_xlfn.XLOOKUP($H229,Naturezas!B:B,Naturezas!D:D,"",0,1),"")</f>
        <v/>
      </c>
      <c r="V229" s="5" t="str">
        <f>IF(H229&lt;&gt;"",IF(OR(H229=Naturezas!$B$3,H229=Naturezas!$B$4,H229=Naturezas!$B$5,H229=Naturezas!$B$17,H229=Naturezas!$B$18,H229=Naturezas!$B$19),G229,-G229),"")</f>
        <v/>
      </c>
      <c r="W229" s="4" t="str">
        <f t="shared" si="22"/>
        <v/>
      </c>
      <c r="X229" s="4"/>
      <c r="Y229" s="4" t="str">
        <f t="shared" si="23"/>
        <v/>
      </c>
      <c r="Z229" s="6" t="str">
        <f>IF(H229&lt;&gt;"",Tabela1[[#This Row],[Iniciais]],"")</f>
        <v/>
      </c>
      <c r="AB229" s="6" t="str">
        <f>IF($H229&lt;&gt;"",RIGHT(Tabela1[[#This Row],[Ref.]],2),"")</f>
        <v/>
      </c>
      <c r="AC229" s="37" t="str">
        <f>IF($H229&lt;&gt;"",DATE(LEFT(Tabela1[[#This Row],[Ref.]],4),RIGHT(Tabela1[[#This Row],[Ref.]],2),1),"")</f>
        <v/>
      </c>
      <c r="AD229" s="4" t="str">
        <f t="shared" si="19"/>
        <v/>
      </c>
      <c r="AE229" s="5" t="str">
        <f t="shared" si="20"/>
        <v/>
      </c>
      <c r="AF229" s="4"/>
      <c r="AG229" s="6" t="str">
        <f t="shared" si="21"/>
        <v/>
      </c>
    </row>
    <row r="230" spans="1:33" ht="15.75" customHeight="1" x14ac:dyDescent="0.2">
      <c r="A230" s="35"/>
      <c r="B230" s="44"/>
      <c r="C230" s="35"/>
      <c r="D230" s="35"/>
      <c r="E230" s="48"/>
      <c r="F230" s="45"/>
      <c r="G230" s="38"/>
      <c r="H230" s="45"/>
      <c r="I230" s="45"/>
      <c r="L230" s="19"/>
      <c r="N230" s="25"/>
      <c r="O230" s="25"/>
      <c r="P230" s="27"/>
      <c r="R230" s="6" t="str">
        <f>IF($H230&lt;&gt;"",RIGHT(Tabela1[[#This Row],[Ref.]],2),"")</f>
        <v/>
      </c>
      <c r="S230" s="6" t="str">
        <f t="shared" si="18"/>
        <v/>
      </c>
      <c r="T230" s="4" t="str">
        <f>IF($H230&lt;&gt;"",_xlfn.XLOOKUP(H230,Naturezas!B:B,Naturezas!E:E,"",0,1),"")</f>
        <v/>
      </c>
      <c r="U230" s="4" t="str">
        <f>IF($H230&lt;&gt;"",_xlfn.XLOOKUP($H230,Naturezas!B:B,Naturezas!D:D,"",0,1),"")</f>
        <v/>
      </c>
      <c r="V230" s="5" t="str">
        <f>IF(H230&lt;&gt;"",IF(OR(H230=Naturezas!$B$3,H230=Naturezas!$B$4,H230=Naturezas!$B$5,H230=Naturezas!$B$17,H230=Naturezas!$B$18,H230=Naturezas!$B$19),G230,-G230),"")</f>
        <v/>
      </c>
      <c r="W230" s="4" t="str">
        <f t="shared" si="22"/>
        <v/>
      </c>
      <c r="X230" s="4"/>
      <c r="Y230" s="4" t="str">
        <f t="shared" si="23"/>
        <v/>
      </c>
      <c r="Z230" s="6" t="str">
        <f>IF(H230&lt;&gt;"",Tabela1[[#This Row],[Iniciais]],"")</f>
        <v/>
      </c>
      <c r="AB230" s="6" t="str">
        <f>IF($H230&lt;&gt;"",RIGHT(Tabela1[[#This Row],[Ref.]],2),"")</f>
        <v/>
      </c>
      <c r="AC230" s="37" t="str">
        <f>IF($H230&lt;&gt;"",DATE(LEFT(Tabela1[[#This Row],[Ref.]],4),RIGHT(Tabela1[[#This Row],[Ref.]],2),1),"")</f>
        <v/>
      </c>
      <c r="AD230" s="4" t="str">
        <f t="shared" si="19"/>
        <v/>
      </c>
      <c r="AE230" s="5" t="str">
        <f t="shared" si="20"/>
        <v/>
      </c>
      <c r="AF230" s="4"/>
      <c r="AG230" s="6" t="str">
        <f t="shared" si="21"/>
        <v/>
      </c>
    </row>
    <row r="231" spans="1:33" ht="15.75" customHeight="1" x14ac:dyDescent="0.2">
      <c r="A231" s="35"/>
      <c r="B231" s="44"/>
      <c r="C231" s="35"/>
      <c r="D231" s="35"/>
      <c r="E231" s="48"/>
      <c r="F231" s="45"/>
      <c r="G231" s="38"/>
      <c r="H231" s="45"/>
      <c r="I231" s="45"/>
      <c r="L231" s="19"/>
      <c r="N231" s="25"/>
      <c r="O231" s="25"/>
      <c r="P231" s="27"/>
      <c r="R231" s="6" t="str">
        <f>IF($H231&lt;&gt;"",RIGHT(Tabela1[[#This Row],[Ref.]],2),"")</f>
        <v/>
      </c>
      <c r="S231" s="6" t="str">
        <f t="shared" si="18"/>
        <v/>
      </c>
      <c r="T231" s="4" t="str">
        <f>IF($H231&lt;&gt;"",_xlfn.XLOOKUP(H231,Naturezas!B:B,Naturezas!E:E,"",0,1),"")</f>
        <v/>
      </c>
      <c r="U231" s="4" t="str">
        <f>IF($H231&lt;&gt;"",_xlfn.XLOOKUP($H231,Naturezas!B:B,Naturezas!D:D,"",0,1),"")</f>
        <v/>
      </c>
      <c r="V231" s="5" t="str">
        <f>IF(H231&lt;&gt;"",IF(OR(H231=Naturezas!$B$3,H231=Naturezas!$B$4,H231=Naturezas!$B$5,H231=Naturezas!$B$17,H231=Naturezas!$B$18,H231=Naturezas!$B$19),G231,-G231),"")</f>
        <v/>
      </c>
      <c r="W231" s="4" t="str">
        <f t="shared" si="22"/>
        <v/>
      </c>
      <c r="X231" s="4"/>
      <c r="Y231" s="4" t="str">
        <f t="shared" si="23"/>
        <v/>
      </c>
      <c r="Z231" s="6" t="str">
        <f>IF(H231&lt;&gt;"",Tabela1[[#This Row],[Iniciais]],"")</f>
        <v/>
      </c>
      <c r="AB231" s="6" t="str">
        <f>IF($H231&lt;&gt;"",RIGHT(Tabela1[[#This Row],[Ref.]],2),"")</f>
        <v/>
      </c>
      <c r="AC231" s="37" t="str">
        <f>IF($H231&lt;&gt;"",DATE(LEFT(Tabela1[[#This Row],[Ref.]],4),RIGHT(Tabela1[[#This Row],[Ref.]],2),1),"")</f>
        <v/>
      </c>
      <c r="AD231" s="4" t="str">
        <f t="shared" si="19"/>
        <v/>
      </c>
      <c r="AE231" s="5" t="str">
        <f t="shared" si="20"/>
        <v/>
      </c>
      <c r="AF231" s="4"/>
      <c r="AG231" s="6" t="str">
        <f t="shared" si="21"/>
        <v/>
      </c>
    </row>
    <row r="232" spans="1:33" ht="15.75" customHeight="1" x14ac:dyDescent="0.2">
      <c r="A232" s="35"/>
      <c r="B232" s="44"/>
      <c r="C232" s="35"/>
      <c r="D232" s="35"/>
      <c r="E232" s="48"/>
      <c r="F232" s="45"/>
      <c r="G232" s="38"/>
      <c r="H232" s="45"/>
      <c r="I232" s="45"/>
      <c r="L232" s="19"/>
      <c r="N232" s="25"/>
      <c r="O232" s="25"/>
      <c r="P232" s="27"/>
      <c r="R232" s="6" t="str">
        <f>IF($H232&lt;&gt;"",RIGHT(Tabela1[[#This Row],[Ref.]],2),"")</f>
        <v/>
      </c>
      <c r="S232" s="6" t="str">
        <f t="shared" si="18"/>
        <v/>
      </c>
      <c r="T232" s="4" t="str">
        <f>IF($H232&lt;&gt;"",_xlfn.XLOOKUP(H232,Naturezas!B:B,Naturezas!E:E,"",0,1),"")</f>
        <v/>
      </c>
      <c r="U232" s="4" t="str">
        <f>IF($H232&lt;&gt;"",_xlfn.XLOOKUP($H232,Naturezas!B:B,Naturezas!D:D,"",0,1),"")</f>
        <v/>
      </c>
      <c r="V232" s="5" t="str">
        <f>IF(H232&lt;&gt;"",IF(OR(H232=Naturezas!$B$3,H232=Naturezas!$B$4,H232=Naturezas!$B$5,H232=Naturezas!$B$17,H232=Naturezas!$B$18,H232=Naturezas!$B$19),G232,-G232),"")</f>
        <v/>
      </c>
      <c r="W232" s="4" t="str">
        <f t="shared" si="22"/>
        <v/>
      </c>
      <c r="X232" s="4"/>
      <c r="Y232" s="4" t="str">
        <f t="shared" si="23"/>
        <v/>
      </c>
      <c r="Z232" s="6" t="str">
        <f>IF(H232&lt;&gt;"",Tabela1[[#This Row],[Iniciais]],"")</f>
        <v/>
      </c>
      <c r="AB232" s="6" t="str">
        <f>IF($H232&lt;&gt;"",RIGHT(Tabela1[[#This Row],[Ref.]],2),"")</f>
        <v/>
      </c>
      <c r="AC232" s="37" t="str">
        <f>IF($H232&lt;&gt;"",DATE(LEFT(Tabela1[[#This Row],[Ref.]],4),RIGHT(Tabela1[[#This Row],[Ref.]],2),1),"")</f>
        <v/>
      </c>
      <c r="AD232" s="4" t="str">
        <f t="shared" si="19"/>
        <v/>
      </c>
      <c r="AE232" s="5" t="str">
        <f t="shared" si="20"/>
        <v/>
      </c>
      <c r="AF232" s="4"/>
      <c r="AG232" s="6" t="str">
        <f t="shared" si="21"/>
        <v/>
      </c>
    </row>
    <row r="233" spans="1:33" ht="15.75" customHeight="1" x14ac:dyDescent="0.2">
      <c r="A233" s="35"/>
      <c r="B233" s="44"/>
      <c r="C233" s="35"/>
      <c r="D233" s="35"/>
      <c r="E233" s="48"/>
      <c r="F233" s="45"/>
      <c r="G233" s="38"/>
      <c r="H233" s="45"/>
      <c r="I233" s="45"/>
      <c r="L233" s="19"/>
      <c r="N233" s="25"/>
      <c r="O233" s="25"/>
      <c r="P233" s="27"/>
      <c r="R233" s="6" t="str">
        <f>IF($H233&lt;&gt;"",RIGHT(Tabela1[[#This Row],[Ref.]],2),"")</f>
        <v/>
      </c>
      <c r="S233" s="6" t="str">
        <f t="shared" si="18"/>
        <v/>
      </c>
      <c r="T233" s="4" t="str">
        <f>IF($H233&lt;&gt;"",_xlfn.XLOOKUP(H233,Naturezas!B:B,Naturezas!E:E,"",0,1),"")</f>
        <v/>
      </c>
      <c r="U233" s="4" t="str">
        <f>IF($H233&lt;&gt;"",_xlfn.XLOOKUP($H233,Naturezas!B:B,Naturezas!D:D,"",0,1),"")</f>
        <v/>
      </c>
      <c r="V233" s="5" t="str">
        <f>IF(H233&lt;&gt;"",IF(OR(H233=Naturezas!$B$3,H233=Naturezas!$B$4,H233=Naturezas!$B$5,H233=Naturezas!$B$17,H233=Naturezas!$B$18,H233=Naturezas!$B$19),G233,-G233),"")</f>
        <v/>
      </c>
      <c r="W233" s="4" t="str">
        <f t="shared" si="22"/>
        <v/>
      </c>
      <c r="X233" s="4"/>
      <c r="Y233" s="4" t="str">
        <f t="shared" si="23"/>
        <v/>
      </c>
      <c r="Z233" s="6" t="str">
        <f>IF(H233&lt;&gt;"",Tabela1[[#This Row],[Iniciais]],"")</f>
        <v/>
      </c>
      <c r="AB233" s="6" t="str">
        <f>IF($H233&lt;&gt;"",RIGHT(Tabela1[[#This Row],[Ref.]],2),"")</f>
        <v/>
      </c>
      <c r="AC233" s="37" t="str">
        <f>IF($H233&lt;&gt;"",DATE(LEFT(Tabela1[[#This Row],[Ref.]],4),RIGHT(Tabela1[[#This Row],[Ref.]],2),1),"")</f>
        <v/>
      </c>
      <c r="AD233" s="4" t="str">
        <f t="shared" si="19"/>
        <v/>
      </c>
      <c r="AE233" s="5" t="str">
        <f t="shared" si="20"/>
        <v/>
      </c>
      <c r="AF233" s="4"/>
      <c r="AG233" s="6" t="str">
        <f t="shared" si="21"/>
        <v/>
      </c>
    </row>
    <row r="234" spans="1:33" ht="15.75" customHeight="1" x14ac:dyDescent="0.2">
      <c r="A234" s="35"/>
      <c r="B234" s="44"/>
      <c r="C234" s="35"/>
      <c r="D234" s="35"/>
      <c r="E234" s="48"/>
      <c r="F234" s="45"/>
      <c r="G234" s="38"/>
      <c r="H234" s="45"/>
      <c r="I234" s="45"/>
      <c r="L234" s="19"/>
      <c r="N234" s="25"/>
      <c r="O234" s="25"/>
      <c r="P234" s="27"/>
      <c r="R234" s="6" t="str">
        <f>IF($H234&lt;&gt;"",RIGHT(Tabela1[[#This Row],[Ref.]],2),"")</f>
        <v/>
      </c>
      <c r="S234" s="6" t="str">
        <f t="shared" si="18"/>
        <v/>
      </c>
      <c r="T234" s="4" t="str">
        <f>IF($H234&lt;&gt;"",_xlfn.XLOOKUP(H234,Naturezas!B:B,Naturezas!E:E,"",0,1),"")</f>
        <v/>
      </c>
      <c r="U234" s="4" t="str">
        <f>IF($H234&lt;&gt;"",_xlfn.XLOOKUP($H234,Naturezas!B:B,Naturezas!D:D,"",0,1),"")</f>
        <v/>
      </c>
      <c r="V234" s="5" t="str">
        <f>IF(H234&lt;&gt;"",IF(OR(H234=Naturezas!$B$3,H234=Naturezas!$B$4,H234=Naturezas!$B$5,H234=Naturezas!$B$17,H234=Naturezas!$B$18,H234=Naturezas!$B$19),G234,-G234),"")</f>
        <v/>
      </c>
      <c r="W234" s="4" t="str">
        <f t="shared" si="22"/>
        <v/>
      </c>
      <c r="X234" s="4"/>
      <c r="Y234" s="4" t="str">
        <f t="shared" si="23"/>
        <v/>
      </c>
      <c r="Z234" s="6" t="str">
        <f>IF(H234&lt;&gt;"",Tabela1[[#This Row],[Iniciais]],"")</f>
        <v/>
      </c>
      <c r="AB234" s="6" t="str">
        <f>IF($H234&lt;&gt;"",RIGHT(Tabela1[[#This Row],[Ref.]],2),"")</f>
        <v/>
      </c>
      <c r="AC234" s="37" t="str">
        <f>IF($H234&lt;&gt;"",DATE(LEFT(Tabela1[[#This Row],[Ref.]],4),RIGHT(Tabela1[[#This Row],[Ref.]],2),1),"")</f>
        <v/>
      </c>
      <c r="AD234" s="4" t="str">
        <f t="shared" si="19"/>
        <v/>
      </c>
      <c r="AE234" s="5" t="str">
        <f t="shared" si="20"/>
        <v/>
      </c>
      <c r="AF234" s="4"/>
      <c r="AG234" s="6" t="str">
        <f t="shared" si="21"/>
        <v/>
      </c>
    </row>
    <row r="235" spans="1:33" ht="15.75" customHeight="1" x14ac:dyDescent="0.2">
      <c r="A235" s="35"/>
      <c r="B235" s="44"/>
      <c r="C235" s="35"/>
      <c r="D235" s="35"/>
      <c r="E235" s="48"/>
      <c r="F235" s="45"/>
      <c r="G235" s="38"/>
      <c r="H235" s="45"/>
      <c r="I235" s="45"/>
      <c r="L235" s="19"/>
      <c r="N235" s="25"/>
      <c r="O235" s="25"/>
      <c r="P235" s="27"/>
      <c r="R235" s="6" t="str">
        <f>IF($H235&lt;&gt;"",RIGHT(Tabela1[[#This Row],[Ref.]],2),"")</f>
        <v/>
      </c>
      <c r="S235" s="6" t="str">
        <f t="shared" si="18"/>
        <v/>
      </c>
      <c r="T235" s="4" t="str">
        <f>IF($H235&lt;&gt;"",_xlfn.XLOOKUP(H235,Naturezas!B:B,Naturezas!E:E,"",0,1),"")</f>
        <v/>
      </c>
      <c r="U235" s="4" t="str">
        <f>IF($H235&lt;&gt;"",_xlfn.XLOOKUP($H235,Naturezas!B:B,Naturezas!D:D,"",0,1),"")</f>
        <v/>
      </c>
      <c r="V235" s="5" t="str">
        <f>IF(H235&lt;&gt;"",IF(OR(H235=Naturezas!$B$3,H235=Naturezas!$B$4,H235=Naturezas!$B$5,H235=Naturezas!$B$17,H235=Naturezas!$B$18,H235=Naturezas!$B$19),G235,-G235),"")</f>
        <v/>
      </c>
      <c r="W235" s="4" t="str">
        <f t="shared" si="22"/>
        <v/>
      </c>
      <c r="X235" s="4"/>
      <c r="Y235" s="4" t="str">
        <f t="shared" si="23"/>
        <v/>
      </c>
      <c r="Z235" s="6" t="str">
        <f>IF(H235&lt;&gt;"",Tabela1[[#This Row],[Iniciais]],"")</f>
        <v/>
      </c>
      <c r="AB235" s="6" t="str">
        <f>IF($H235&lt;&gt;"",RIGHT(Tabela1[[#This Row],[Ref.]],2),"")</f>
        <v/>
      </c>
      <c r="AC235" s="37" t="str">
        <f>IF($H235&lt;&gt;"",DATE(LEFT(Tabela1[[#This Row],[Ref.]],4),RIGHT(Tabela1[[#This Row],[Ref.]],2),1),"")</f>
        <v/>
      </c>
      <c r="AD235" s="4" t="str">
        <f t="shared" si="19"/>
        <v/>
      </c>
      <c r="AE235" s="5" t="str">
        <f t="shared" si="20"/>
        <v/>
      </c>
      <c r="AF235" s="4"/>
      <c r="AG235" s="6" t="str">
        <f t="shared" si="21"/>
        <v/>
      </c>
    </row>
    <row r="236" spans="1:33" ht="15.75" customHeight="1" x14ac:dyDescent="0.2">
      <c r="A236" s="35"/>
      <c r="B236" s="44"/>
      <c r="C236" s="35"/>
      <c r="D236" s="35"/>
      <c r="E236" s="48"/>
      <c r="F236" s="45"/>
      <c r="G236" s="38"/>
      <c r="H236" s="45"/>
      <c r="I236" s="45"/>
      <c r="L236" s="19"/>
      <c r="N236" s="25"/>
      <c r="O236" s="25"/>
      <c r="P236" s="27"/>
      <c r="R236" s="6" t="str">
        <f>IF($H236&lt;&gt;"",RIGHT(Tabela1[[#This Row],[Ref.]],2),"")</f>
        <v/>
      </c>
      <c r="S236" s="6" t="str">
        <f t="shared" si="18"/>
        <v/>
      </c>
      <c r="T236" s="4" t="str">
        <f>IF($H236&lt;&gt;"",_xlfn.XLOOKUP(H236,Naturezas!B:B,Naturezas!E:E,"",0,1),"")</f>
        <v/>
      </c>
      <c r="U236" s="4" t="str">
        <f>IF($H236&lt;&gt;"",_xlfn.XLOOKUP($H236,Naturezas!B:B,Naturezas!D:D,"",0,1),"")</f>
        <v/>
      </c>
      <c r="V236" s="5" t="str">
        <f>IF(H236&lt;&gt;"",IF(OR(H236=Naturezas!$B$3,H236=Naturezas!$B$4,H236=Naturezas!$B$5,H236=Naturezas!$B$17,H236=Naturezas!$B$18,H236=Naturezas!$B$19),G236,-G236),"")</f>
        <v/>
      </c>
      <c r="W236" s="4" t="str">
        <f t="shared" si="22"/>
        <v/>
      </c>
      <c r="X236" s="4"/>
      <c r="Y236" s="4" t="str">
        <f t="shared" si="23"/>
        <v/>
      </c>
      <c r="Z236" s="6" t="str">
        <f>IF(H236&lt;&gt;"",Tabela1[[#This Row],[Iniciais]],"")</f>
        <v/>
      </c>
      <c r="AB236" s="6" t="str">
        <f>IF($H236&lt;&gt;"",RIGHT(Tabela1[[#This Row],[Ref.]],2),"")</f>
        <v/>
      </c>
      <c r="AC236" s="37" t="str">
        <f>IF($H236&lt;&gt;"",DATE(LEFT(Tabela1[[#This Row],[Ref.]],4),RIGHT(Tabela1[[#This Row],[Ref.]],2),1),"")</f>
        <v/>
      </c>
      <c r="AD236" s="4" t="str">
        <f t="shared" si="19"/>
        <v/>
      </c>
      <c r="AE236" s="5" t="str">
        <f t="shared" si="20"/>
        <v/>
      </c>
      <c r="AF236" s="4"/>
      <c r="AG236" s="6" t="str">
        <f t="shared" si="21"/>
        <v/>
      </c>
    </row>
    <row r="237" spans="1:33" ht="15.75" customHeight="1" x14ac:dyDescent="0.2">
      <c r="A237" s="35"/>
      <c r="B237" s="44"/>
      <c r="C237" s="35"/>
      <c r="D237" s="35"/>
      <c r="E237" s="48"/>
      <c r="F237" s="45"/>
      <c r="G237" s="38"/>
      <c r="H237" s="45"/>
      <c r="I237" s="45"/>
      <c r="L237" s="19"/>
      <c r="N237" s="25"/>
      <c r="O237" s="25"/>
      <c r="P237" s="27"/>
      <c r="R237" s="6" t="str">
        <f>IF($H237&lt;&gt;"",RIGHT(Tabela1[[#This Row],[Ref.]],2),"")</f>
        <v/>
      </c>
      <c r="S237" s="6" t="str">
        <f t="shared" si="18"/>
        <v/>
      </c>
      <c r="T237" s="4" t="str">
        <f>IF($H237&lt;&gt;"",_xlfn.XLOOKUP(H237,Naturezas!B:B,Naturezas!E:E,"",0,1),"")</f>
        <v/>
      </c>
      <c r="U237" s="4" t="str">
        <f>IF($H237&lt;&gt;"",_xlfn.XLOOKUP($H237,Naturezas!B:B,Naturezas!D:D,"",0,1),"")</f>
        <v/>
      </c>
      <c r="V237" s="5" t="str">
        <f>IF(H237&lt;&gt;"",IF(OR(H237=Naturezas!$B$3,H237=Naturezas!$B$4,H237=Naturezas!$B$5,H237=Naturezas!$B$17,H237=Naturezas!$B$18,H237=Naturezas!$B$19),G237,-G237),"")</f>
        <v/>
      </c>
      <c r="W237" s="4" t="str">
        <f t="shared" si="22"/>
        <v/>
      </c>
      <c r="X237" s="4"/>
      <c r="Y237" s="4" t="str">
        <f t="shared" si="23"/>
        <v/>
      </c>
      <c r="Z237" s="6" t="str">
        <f>IF(H237&lt;&gt;"",Tabela1[[#This Row],[Iniciais]],"")</f>
        <v/>
      </c>
      <c r="AB237" s="6" t="str">
        <f>IF($H237&lt;&gt;"",RIGHT(Tabela1[[#This Row],[Ref.]],2),"")</f>
        <v/>
      </c>
      <c r="AC237" s="37" t="str">
        <f>IF($H237&lt;&gt;"",DATE(LEFT(Tabela1[[#This Row],[Ref.]],4),RIGHT(Tabela1[[#This Row],[Ref.]],2),1),"")</f>
        <v/>
      </c>
      <c r="AD237" s="4" t="str">
        <f t="shared" si="19"/>
        <v/>
      </c>
      <c r="AE237" s="5" t="str">
        <f t="shared" si="20"/>
        <v/>
      </c>
      <c r="AF237" s="4"/>
      <c r="AG237" s="6" t="str">
        <f t="shared" si="21"/>
        <v/>
      </c>
    </row>
    <row r="238" spans="1:33" ht="15.75" customHeight="1" x14ac:dyDescent="0.2">
      <c r="A238" s="35"/>
      <c r="B238" s="44"/>
      <c r="C238" s="35"/>
      <c r="D238" s="35"/>
      <c r="E238" s="48"/>
      <c r="F238" s="45"/>
      <c r="G238" s="38"/>
      <c r="H238" s="45"/>
      <c r="I238" s="45"/>
      <c r="L238" s="19"/>
      <c r="N238" s="25"/>
      <c r="O238" s="25"/>
      <c r="P238" s="27"/>
      <c r="R238" s="6" t="str">
        <f>IF($H238&lt;&gt;"",RIGHT(Tabela1[[#This Row],[Ref.]],2),"")</f>
        <v/>
      </c>
      <c r="S238" s="6" t="str">
        <f t="shared" si="18"/>
        <v/>
      </c>
      <c r="T238" s="4" t="str">
        <f>IF($H238&lt;&gt;"",_xlfn.XLOOKUP(H238,Naturezas!B:B,Naturezas!E:E,"",0,1),"")</f>
        <v/>
      </c>
      <c r="U238" s="4" t="str">
        <f>IF($H238&lt;&gt;"",_xlfn.XLOOKUP($H238,Naturezas!B:B,Naturezas!D:D,"",0,1),"")</f>
        <v/>
      </c>
      <c r="V238" s="5" t="str">
        <f>IF(H238&lt;&gt;"",IF(OR(H238=Naturezas!$B$3,H238=Naturezas!$B$4,H238=Naturezas!$B$5,H238=Naturezas!$B$17,H238=Naturezas!$B$18,H238=Naturezas!$B$19),G238,-G238),"")</f>
        <v/>
      </c>
      <c r="W238" s="4" t="str">
        <f t="shared" si="22"/>
        <v/>
      </c>
      <c r="X238" s="4"/>
      <c r="Y238" s="4" t="str">
        <f t="shared" si="23"/>
        <v/>
      </c>
      <c r="Z238" s="6" t="str">
        <f>IF(H238&lt;&gt;"",Tabela1[[#This Row],[Iniciais]],"")</f>
        <v/>
      </c>
      <c r="AB238" s="6" t="str">
        <f>IF($H238&lt;&gt;"",RIGHT(Tabela1[[#This Row],[Ref.]],2),"")</f>
        <v/>
      </c>
      <c r="AC238" s="37" t="str">
        <f>IF($H238&lt;&gt;"",DATE(LEFT(Tabela1[[#This Row],[Ref.]],4),RIGHT(Tabela1[[#This Row],[Ref.]],2),1),"")</f>
        <v/>
      </c>
      <c r="AD238" s="4" t="str">
        <f t="shared" si="19"/>
        <v/>
      </c>
      <c r="AE238" s="5" t="str">
        <f t="shared" si="20"/>
        <v/>
      </c>
      <c r="AF238" s="4"/>
      <c r="AG238" s="6" t="str">
        <f t="shared" si="21"/>
        <v/>
      </c>
    </row>
    <row r="239" spans="1:33" ht="15.75" customHeight="1" x14ac:dyDescent="0.2">
      <c r="A239" s="35"/>
      <c r="B239" s="44"/>
      <c r="C239" s="35"/>
      <c r="D239" s="35"/>
      <c r="E239" s="48"/>
      <c r="F239" s="45"/>
      <c r="G239" s="38"/>
      <c r="H239" s="45"/>
      <c r="I239" s="45"/>
      <c r="L239" s="19"/>
      <c r="N239" s="25"/>
      <c r="O239" s="25"/>
      <c r="P239" s="27"/>
      <c r="R239" s="6" t="str">
        <f>IF($H239&lt;&gt;"",RIGHT(Tabela1[[#This Row],[Ref.]],2),"")</f>
        <v/>
      </c>
      <c r="S239" s="6" t="str">
        <f t="shared" si="18"/>
        <v/>
      </c>
      <c r="T239" s="4" t="str">
        <f>IF($H239&lt;&gt;"",_xlfn.XLOOKUP(H239,Naturezas!B:B,Naturezas!E:E,"",0,1),"")</f>
        <v/>
      </c>
      <c r="U239" s="4" t="str">
        <f>IF($H239&lt;&gt;"",_xlfn.XLOOKUP($H239,Naturezas!B:B,Naturezas!D:D,"",0,1),"")</f>
        <v/>
      </c>
      <c r="V239" s="5" t="str">
        <f>IF(H239&lt;&gt;"",IF(OR(H239=Naturezas!$B$3,H239=Naturezas!$B$4,H239=Naturezas!$B$5,H239=Naturezas!$B$17,H239=Naturezas!$B$18,H239=Naturezas!$B$19),G239,-G239),"")</f>
        <v/>
      </c>
      <c r="W239" s="4" t="str">
        <f t="shared" si="22"/>
        <v/>
      </c>
      <c r="X239" s="4"/>
      <c r="Y239" s="4" t="str">
        <f t="shared" si="23"/>
        <v/>
      </c>
      <c r="Z239" s="6" t="str">
        <f>IF(H239&lt;&gt;"",Tabela1[[#This Row],[Iniciais]],"")</f>
        <v/>
      </c>
      <c r="AB239" s="6" t="str">
        <f>IF($H239&lt;&gt;"",RIGHT(Tabela1[[#This Row],[Ref.]],2),"")</f>
        <v/>
      </c>
      <c r="AC239" s="37" t="str">
        <f>IF($H239&lt;&gt;"",DATE(LEFT(Tabela1[[#This Row],[Ref.]],4),RIGHT(Tabela1[[#This Row],[Ref.]],2),1),"")</f>
        <v/>
      </c>
      <c r="AD239" s="4" t="str">
        <f t="shared" si="19"/>
        <v/>
      </c>
      <c r="AE239" s="5" t="str">
        <f t="shared" si="20"/>
        <v/>
      </c>
      <c r="AF239" s="4"/>
      <c r="AG239" s="6" t="str">
        <f t="shared" si="21"/>
        <v/>
      </c>
    </row>
    <row r="240" spans="1:33" ht="15.75" customHeight="1" x14ac:dyDescent="0.2">
      <c r="A240" s="35"/>
      <c r="B240" s="44"/>
      <c r="C240" s="35"/>
      <c r="D240" s="35"/>
      <c r="E240" s="48"/>
      <c r="F240" s="45"/>
      <c r="G240" s="38"/>
      <c r="H240" s="45"/>
      <c r="I240" s="45"/>
      <c r="L240" s="19"/>
      <c r="N240" s="25"/>
      <c r="O240" s="25"/>
      <c r="P240" s="27"/>
      <c r="R240" s="6" t="str">
        <f>IF($H240&lt;&gt;"",RIGHT(Tabela1[[#This Row],[Ref.]],2),"")</f>
        <v/>
      </c>
      <c r="S240" s="6" t="str">
        <f t="shared" si="18"/>
        <v/>
      </c>
      <c r="T240" s="4" t="str">
        <f>IF($H240&lt;&gt;"",_xlfn.XLOOKUP(H240,Naturezas!B:B,Naturezas!E:E,"",0,1),"")</f>
        <v/>
      </c>
      <c r="U240" s="4" t="str">
        <f>IF($H240&lt;&gt;"",_xlfn.XLOOKUP($H240,Naturezas!B:B,Naturezas!D:D,"",0,1),"")</f>
        <v/>
      </c>
      <c r="V240" s="5" t="str">
        <f>IF(H240&lt;&gt;"",IF(OR(H240=Naturezas!$B$3,H240=Naturezas!$B$4,H240=Naturezas!$B$5,H240=Naturezas!$B$17,H240=Naturezas!$B$18,H240=Naturezas!$B$19),G240,-G240),"")</f>
        <v/>
      </c>
      <c r="W240" s="4" t="str">
        <f t="shared" si="22"/>
        <v/>
      </c>
      <c r="X240" s="4"/>
      <c r="Y240" s="4" t="str">
        <f t="shared" si="23"/>
        <v/>
      </c>
      <c r="Z240" s="6" t="str">
        <f>IF(H240&lt;&gt;"",Tabela1[[#This Row],[Iniciais]],"")</f>
        <v/>
      </c>
      <c r="AB240" s="6" t="str">
        <f>IF($H240&lt;&gt;"",RIGHT(Tabela1[[#This Row],[Ref.]],2),"")</f>
        <v/>
      </c>
      <c r="AC240" s="37" t="str">
        <f>IF($H240&lt;&gt;"",DATE(LEFT(Tabela1[[#This Row],[Ref.]],4),RIGHT(Tabela1[[#This Row],[Ref.]],2),1),"")</f>
        <v/>
      </c>
      <c r="AD240" s="4" t="str">
        <f t="shared" si="19"/>
        <v/>
      </c>
      <c r="AE240" s="5" t="str">
        <f t="shared" si="20"/>
        <v/>
      </c>
      <c r="AF240" s="4"/>
      <c r="AG240" s="6" t="str">
        <f t="shared" si="21"/>
        <v/>
      </c>
    </row>
    <row r="241" spans="1:33" ht="15.75" customHeight="1" x14ac:dyDescent="0.2">
      <c r="A241" s="35"/>
      <c r="B241" s="44"/>
      <c r="C241" s="35"/>
      <c r="D241" s="35"/>
      <c r="E241" s="48"/>
      <c r="F241" s="45"/>
      <c r="G241" s="38"/>
      <c r="H241" s="45"/>
      <c r="I241" s="45"/>
      <c r="L241" s="19"/>
      <c r="N241" s="25"/>
      <c r="O241" s="25"/>
      <c r="P241" s="27"/>
      <c r="R241" s="6" t="str">
        <f>IF($H241&lt;&gt;"",RIGHT(Tabela1[[#This Row],[Ref.]],2),"")</f>
        <v/>
      </c>
      <c r="S241" s="6" t="str">
        <f t="shared" si="18"/>
        <v/>
      </c>
      <c r="T241" s="4" t="str">
        <f>IF($H241&lt;&gt;"",_xlfn.XLOOKUP(H241,Naturezas!B:B,Naturezas!E:E,"",0,1),"")</f>
        <v/>
      </c>
      <c r="U241" s="4" t="str">
        <f>IF($H241&lt;&gt;"",_xlfn.XLOOKUP($H241,Naturezas!B:B,Naturezas!D:D,"",0,1),"")</f>
        <v/>
      </c>
      <c r="V241" s="5" t="str">
        <f>IF(H241&lt;&gt;"",IF(OR(H241=Naturezas!$B$3,H241=Naturezas!$B$4,H241=Naturezas!$B$5,H241=Naturezas!$B$17,H241=Naturezas!$B$18,H241=Naturezas!$B$19),G241,-G241),"")</f>
        <v/>
      </c>
      <c r="W241" s="4" t="str">
        <f t="shared" si="22"/>
        <v/>
      </c>
      <c r="X241" s="4"/>
      <c r="Y241" s="4" t="str">
        <f t="shared" si="23"/>
        <v/>
      </c>
      <c r="Z241" s="6" t="str">
        <f>IF(H241&lt;&gt;"",Tabela1[[#This Row],[Iniciais]],"")</f>
        <v/>
      </c>
      <c r="AB241" s="6" t="str">
        <f>IF($H241&lt;&gt;"",RIGHT(Tabela1[[#This Row],[Ref.]],2),"")</f>
        <v/>
      </c>
      <c r="AC241" s="37" t="str">
        <f>IF($H241&lt;&gt;"",DATE(LEFT(Tabela1[[#This Row],[Ref.]],4),RIGHT(Tabela1[[#This Row],[Ref.]],2),1),"")</f>
        <v/>
      </c>
      <c r="AD241" s="4" t="str">
        <f t="shared" si="19"/>
        <v/>
      </c>
      <c r="AE241" s="5" t="str">
        <f t="shared" si="20"/>
        <v/>
      </c>
      <c r="AF241" s="4"/>
      <c r="AG241" s="6" t="str">
        <f t="shared" si="21"/>
        <v/>
      </c>
    </row>
    <row r="242" spans="1:33" ht="15.75" customHeight="1" x14ac:dyDescent="0.2">
      <c r="A242" s="35"/>
      <c r="B242" s="44"/>
      <c r="C242" s="35"/>
      <c r="D242" s="35"/>
      <c r="E242" s="48"/>
      <c r="F242" s="45"/>
      <c r="G242" s="38"/>
      <c r="H242" s="45"/>
      <c r="I242" s="45"/>
      <c r="L242" s="19"/>
      <c r="N242" s="25"/>
      <c r="O242" s="25"/>
      <c r="P242" s="27"/>
      <c r="R242" s="6" t="str">
        <f>IF($H242&lt;&gt;"",RIGHT(Tabela1[[#This Row],[Ref.]],2),"")</f>
        <v/>
      </c>
      <c r="S242" s="6" t="str">
        <f t="shared" si="18"/>
        <v/>
      </c>
      <c r="T242" s="4" t="str">
        <f>IF($H242&lt;&gt;"",_xlfn.XLOOKUP(H242,Naturezas!B:B,Naturezas!E:E,"",0,1),"")</f>
        <v/>
      </c>
      <c r="U242" s="4" t="str">
        <f>IF($H242&lt;&gt;"",_xlfn.XLOOKUP($H242,Naturezas!B:B,Naturezas!D:D,"",0,1),"")</f>
        <v/>
      </c>
      <c r="V242" s="5" t="str">
        <f>IF(H242&lt;&gt;"",IF(OR(H242=Naturezas!$B$3,H242=Naturezas!$B$4,H242=Naturezas!$B$5,H242=Naturezas!$B$17,H242=Naturezas!$B$18,H242=Naturezas!$B$19),G242,-G242),"")</f>
        <v/>
      </c>
      <c r="W242" s="4" t="str">
        <f t="shared" si="22"/>
        <v/>
      </c>
      <c r="X242" s="4"/>
      <c r="Y242" s="4" t="str">
        <f t="shared" si="23"/>
        <v/>
      </c>
      <c r="Z242" s="6" t="str">
        <f>IF(H242&lt;&gt;"",Tabela1[[#This Row],[Iniciais]],"")</f>
        <v/>
      </c>
      <c r="AB242" s="6" t="str">
        <f>IF($H242&lt;&gt;"",RIGHT(Tabela1[[#This Row],[Ref.]],2),"")</f>
        <v/>
      </c>
      <c r="AC242" s="37" t="str">
        <f>IF($H242&lt;&gt;"",DATE(LEFT(Tabela1[[#This Row],[Ref.]],4),RIGHT(Tabela1[[#This Row],[Ref.]],2),1),"")</f>
        <v/>
      </c>
      <c r="AD242" s="4" t="str">
        <f t="shared" si="19"/>
        <v/>
      </c>
      <c r="AE242" s="5" t="str">
        <f t="shared" si="20"/>
        <v/>
      </c>
      <c r="AF242" s="4"/>
      <c r="AG242" s="6" t="str">
        <f t="shared" si="21"/>
        <v/>
      </c>
    </row>
    <row r="243" spans="1:33" ht="15.75" customHeight="1" x14ac:dyDescent="0.2">
      <c r="A243" s="35"/>
      <c r="B243" s="44"/>
      <c r="C243" s="35"/>
      <c r="D243" s="35"/>
      <c r="E243" s="48"/>
      <c r="F243" s="45"/>
      <c r="G243" s="38"/>
      <c r="H243" s="45"/>
      <c r="I243" s="45"/>
      <c r="L243" s="19"/>
      <c r="N243" s="25"/>
      <c r="O243" s="25"/>
      <c r="P243" s="27"/>
      <c r="R243" s="6" t="str">
        <f>IF($H243&lt;&gt;"",RIGHT(Tabela1[[#This Row],[Ref.]],2),"")</f>
        <v/>
      </c>
      <c r="S243" s="6" t="str">
        <f t="shared" si="18"/>
        <v/>
      </c>
      <c r="T243" s="4" t="str">
        <f>IF($H243&lt;&gt;"",_xlfn.XLOOKUP(H243,Naturezas!B:B,Naturezas!E:E,"",0,1),"")</f>
        <v/>
      </c>
      <c r="U243" s="4" t="str">
        <f>IF($H243&lt;&gt;"",_xlfn.XLOOKUP($H243,Naturezas!B:B,Naturezas!D:D,"",0,1),"")</f>
        <v/>
      </c>
      <c r="V243" s="5" t="str">
        <f>IF(H243&lt;&gt;"",IF(OR(H243=Naturezas!$B$3,H243=Naturezas!$B$4,H243=Naturezas!$B$5,H243=Naturezas!$B$17,H243=Naturezas!$B$18,H243=Naturezas!$B$19),G243,-G243),"")</f>
        <v/>
      </c>
      <c r="W243" s="4" t="str">
        <f t="shared" si="22"/>
        <v/>
      </c>
      <c r="X243" s="4"/>
      <c r="Y243" s="4" t="str">
        <f t="shared" si="23"/>
        <v/>
      </c>
      <c r="Z243" s="6" t="str">
        <f>IF(H243&lt;&gt;"",Tabela1[[#This Row],[Iniciais]],"")</f>
        <v/>
      </c>
      <c r="AB243" s="6" t="str">
        <f>IF($H243&lt;&gt;"",RIGHT(Tabela1[[#This Row],[Ref.]],2),"")</f>
        <v/>
      </c>
      <c r="AC243" s="37" t="str">
        <f>IF($H243&lt;&gt;"",DATE(LEFT(Tabela1[[#This Row],[Ref.]],4),RIGHT(Tabela1[[#This Row],[Ref.]],2),1),"")</f>
        <v/>
      </c>
      <c r="AD243" s="4" t="str">
        <f t="shared" si="19"/>
        <v/>
      </c>
      <c r="AE243" s="5" t="str">
        <f t="shared" si="20"/>
        <v/>
      </c>
      <c r="AF243" s="4"/>
      <c r="AG243" s="6" t="str">
        <f t="shared" si="21"/>
        <v/>
      </c>
    </row>
    <row r="244" spans="1:33" ht="15.75" customHeight="1" x14ac:dyDescent="0.2">
      <c r="A244" s="35"/>
      <c r="B244" s="44"/>
      <c r="C244" s="35"/>
      <c r="D244" s="35"/>
      <c r="E244" s="48"/>
      <c r="F244" s="45"/>
      <c r="G244" s="38"/>
      <c r="H244" s="45"/>
      <c r="I244" s="45"/>
      <c r="L244" s="19"/>
      <c r="N244" s="25"/>
      <c r="O244" s="25"/>
      <c r="P244" s="27"/>
      <c r="R244" s="6" t="str">
        <f>IF($H244&lt;&gt;"",RIGHT(Tabela1[[#This Row],[Ref.]],2),"")</f>
        <v/>
      </c>
      <c r="S244" s="6" t="str">
        <f t="shared" si="18"/>
        <v/>
      </c>
      <c r="T244" s="4" t="str">
        <f>IF($H244&lt;&gt;"",_xlfn.XLOOKUP(H244,Naturezas!B:B,Naturezas!E:E,"",0,1),"")</f>
        <v/>
      </c>
      <c r="U244" s="4" t="str">
        <f>IF($H244&lt;&gt;"",_xlfn.XLOOKUP($H244,Naturezas!B:B,Naturezas!D:D,"",0,1),"")</f>
        <v/>
      </c>
      <c r="V244" s="5" t="str">
        <f>IF(H244&lt;&gt;"",IF(OR(H244=Naturezas!$B$3,H244=Naturezas!$B$4,H244=Naturezas!$B$5,H244=Naturezas!$B$17,H244=Naturezas!$B$18,H244=Naturezas!$B$19),G244,-G244),"")</f>
        <v/>
      </c>
      <c r="W244" s="4" t="str">
        <f t="shared" si="22"/>
        <v/>
      </c>
      <c r="X244" s="4"/>
      <c r="Y244" s="4" t="str">
        <f t="shared" si="23"/>
        <v/>
      </c>
      <c r="Z244" s="6" t="str">
        <f>IF(H244&lt;&gt;"",Tabela1[[#This Row],[Iniciais]],"")</f>
        <v/>
      </c>
      <c r="AB244" s="6" t="str">
        <f>IF($H244&lt;&gt;"",RIGHT(Tabela1[[#This Row],[Ref.]],2),"")</f>
        <v/>
      </c>
      <c r="AC244" s="37" t="str">
        <f>IF($H244&lt;&gt;"",DATE(LEFT(Tabela1[[#This Row],[Ref.]],4),RIGHT(Tabela1[[#This Row],[Ref.]],2),1),"")</f>
        <v/>
      </c>
      <c r="AD244" s="4" t="str">
        <f t="shared" si="19"/>
        <v/>
      </c>
      <c r="AE244" s="5" t="str">
        <f t="shared" si="20"/>
        <v/>
      </c>
      <c r="AF244" s="4"/>
      <c r="AG244" s="6" t="str">
        <f t="shared" si="21"/>
        <v/>
      </c>
    </row>
    <row r="245" spans="1:33" ht="15.75" customHeight="1" x14ac:dyDescent="0.2">
      <c r="A245" s="35"/>
      <c r="B245" s="44"/>
      <c r="C245" s="35"/>
      <c r="D245" s="35"/>
      <c r="E245" s="48"/>
      <c r="F245" s="45"/>
      <c r="G245" s="38"/>
      <c r="H245" s="45"/>
      <c r="I245" s="45"/>
      <c r="L245" s="19"/>
      <c r="N245" s="25"/>
      <c r="O245" s="25"/>
      <c r="P245" s="27"/>
      <c r="R245" s="6" t="str">
        <f>IF($H245&lt;&gt;"",RIGHT(Tabela1[[#This Row],[Ref.]],2),"")</f>
        <v/>
      </c>
      <c r="S245" s="6" t="str">
        <f t="shared" si="18"/>
        <v/>
      </c>
      <c r="T245" s="4" t="str">
        <f>IF($H245&lt;&gt;"",_xlfn.XLOOKUP(H245,Naturezas!B:B,Naturezas!E:E,"",0,1),"")</f>
        <v/>
      </c>
      <c r="U245" s="4" t="str">
        <f>IF($H245&lt;&gt;"",_xlfn.XLOOKUP($H245,Naturezas!B:B,Naturezas!D:D,"",0,1),"")</f>
        <v/>
      </c>
      <c r="V245" s="5" t="str">
        <f>IF(H245&lt;&gt;"",IF(OR(H245=Naturezas!$B$3,H245=Naturezas!$B$4,H245=Naturezas!$B$5,H245=Naturezas!$B$17,H245=Naturezas!$B$18,H245=Naturezas!$B$19),G245,-G245),"")</f>
        <v/>
      </c>
      <c r="W245" s="4" t="str">
        <f t="shared" si="22"/>
        <v/>
      </c>
      <c r="X245" s="4"/>
      <c r="Y245" s="4" t="str">
        <f t="shared" si="23"/>
        <v/>
      </c>
      <c r="Z245" s="6" t="str">
        <f>IF(H245&lt;&gt;"",Tabela1[[#This Row],[Iniciais]],"")</f>
        <v/>
      </c>
      <c r="AB245" s="6" t="str">
        <f>IF($H245&lt;&gt;"",RIGHT(Tabela1[[#This Row],[Ref.]],2),"")</f>
        <v/>
      </c>
      <c r="AC245" s="37" t="str">
        <f>IF($H245&lt;&gt;"",DATE(LEFT(Tabela1[[#This Row],[Ref.]],4),RIGHT(Tabela1[[#This Row],[Ref.]],2),1),"")</f>
        <v/>
      </c>
      <c r="AD245" s="4" t="str">
        <f t="shared" si="19"/>
        <v/>
      </c>
      <c r="AE245" s="5" t="str">
        <f t="shared" si="20"/>
        <v/>
      </c>
      <c r="AF245" s="4"/>
      <c r="AG245" s="6" t="str">
        <f t="shared" si="21"/>
        <v/>
      </c>
    </row>
    <row r="246" spans="1:33" ht="15.75" customHeight="1" x14ac:dyDescent="0.2">
      <c r="A246" s="35"/>
      <c r="B246" s="44"/>
      <c r="C246" s="35"/>
      <c r="D246" s="35"/>
      <c r="E246" s="48"/>
      <c r="F246" s="45"/>
      <c r="G246" s="38"/>
      <c r="H246" s="45"/>
      <c r="I246" s="45"/>
      <c r="L246" s="19"/>
      <c r="N246" s="25"/>
      <c r="O246" s="25"/>
      <c r="P246" s="27"/>
      <c r="R246" s="6" t="str">
        <f>IF($H246&lt;&gt;"",RIGHT(Tabela1[[#This Row],[Ref.]],2),"")</f>
        <v/>
      </c>
      <c r="S246" s="6" t="str">
        <f t="shared" si="18"/>
        <v/>
      </c>
      <c r="T246" s="4" t="str">
        <f>IF($H246&lt;&gt;"",_xlfn.XLOOKUP(H246,Naturezas!B:B,Naturezas!E:E,"",0,1),"")</f>
        <v/>
      </c>
      <c r="U246" s="4" t="str">
        <f>IF($H246&lt;&gt;"",_xlfn.XLOOKUP($H246,Naturezas!B:B,Naturezas!D:D,"",0,1),"")</f>
        <v/>
      </c>
      <c r="V246" s="5" t="str">
        <f>IF(H246&lt;&gt;"",IF(OR(H246=Naturezas!$B$3,H246=Naturezas!$B$4,H246=Naturezas!$B$5,H246=Naturezas!$B$17,H246=Naturezas!$B$18,H246=Naturezas!$B$19),G246,-G246),"")</f>
        <v/>
      </c>
      <c r="W246" s="4" t="str">
        <f t="shared" si="22"/>
        <v/>
      </c>
      <c r="X246" s="4"/>
      <c r="Y246" s="4" t="str">
        <f t="shared" si="23"/>
        <v/>
      </c>
      <c r="Z246" s="6" t="str">
        <f>IF(H246&lt;&gt;"",Tabela1[[#This Row],[Iniciais]],"")</f>
        <v/>
      </c>
      <c r="AB246" s="6" t="str">
        <f>IF($H246&lt;&gt;"",RIGHT(Tabela1[[#This Row],[Ref.]],2),"")</f>
        <v/>
      </c>
      <c r="AC246" s="37" t="str">
        <f>IF($H246&lt;&gt;"",DATE(LEFT(Tabela1[[#This Row],[Ref.]],4),RIGHT(Tabela1[[#This Row],[Ref.]],2),1),"")</f>
        <v/>
      </c>
      <c r="AD246" s="4" t="str">
        <f t="shared" si="19"/>
        <v/>
      </c>
      <c r="AE246" s="5" t="str">
        <f t="shared" si="20"/>
        <v/>
      </c>
      <c r="AF246" s="4"/>
      <c r="AG246" s="6" t="str">
        <f t="shared" si="21"/>
        <v/>
      </c>
    </row>
    <row r="247" spans="1:33" ht="15.75" customHeight="1" x14ac:dyDescent="0.2">
      <c r="A247" s="35"/>
      <c r="B247" s="44"/>
      <c r="C247" s="35"/>
      <c r="D247" s="35"/>
      <c r="E247" s="48"/>
      <c r="F247" s="45"/>
      <c r="G247" s="38"/>
      <c r="H247" s="45"/>
      <c r="I247" s="45"/>
      <c r="L247" s="19"/>
      <c r="N247" s="25"/>
      <c r="O247" s="25"/>
      <c r="P247" s="27"/>
      <c r="R247" s="6" t="str">
        <f>IF($H247&lt;&gt;"",RIGHT(Tabela1[[#This Row],[Ref.]],2),"")</f>
        <v/>
      </c>
      <c r="S247" s="6" t="str">
        <f t="shared" si="18"/>
        <v/>
      </c>
      <c r="T247" s="4" t="str">
        <f>IF($H247&lt;&gt;"",_xlfn.XLOOKUP(H247,Naturezas!B:B,Naturezas!E:E,"",0,1),"")</f>
        <v/>
      </c>
      <c r="U247" s="4" t="str">
        <f>IF($H247&lt;&gt;"",_xlfn.XLOOKUP($H247,Naturezas!B:B,Naturezas!D:D,"",0,1),"")</f>
        <v/>
      </c>
      <c r="V247" s="5" t="str">
        <f>IF(H247&lt;&gt;"",IF(OR(H247=Naturezas!$B$3,H247=Naturezas!$B$4,H247=Naturezas!$B$5,H247=Naturezas!$B$17,H247=Naturezas!$B$18,H247=Naturezas!$B$19),G247,-G247),"")</f>
        <v/>
      </c>
      <c r="W247" s="4" t="str">
        <f t="shared" si="22"/>
        <v/>
      </c>
      <c r="X247" s="4"/>
      <c r="Y247" s="4" t="str">
        <f t="shared" si="23"/>
        <v/>
      </c>
      <c r="Z247" s="6" t="str">
        <f>IF(H247&lt;&gt;"",Tabela1[[#This Row],[Iniciais]],"")</f>
        <v/>
      </c>
      <c r="AB247" s="6" t="str">
        <f>IF($H247&lt;&gt;"",RIGHT(Tabela1[[#This Row],[Ref.]],2),"")</f>
        <v/>
      </c>
      <c r="AC247" s="37" t="str">
        <f>IF($H247&lt;&gt;"",DATE(LEFT(Tabela1[[#This Row],[Ref.]],4),RIGHT(Tabela1[[#This Row],[Ref.]],2),1),"")</f>
        <v/>
      </c>
      <c r="AD247" s="4" t="str">
        <f t="shared" si="19"/>
        <v/>
      </c>
      <c r="AE247" s="5" t="str">
        <f t="shared" si="20"/>
        <v/>
      </c>
      <c r="AF247" s="4"/>
      <c r="AG247" s="6" t="str">
        <f t="shared" si="21"/>
        <v/>
      </c>
    </row>
    <row r="248" spans="1:33" ht="15.75" customHeight="1" x14ac:dyDescent="0.2">
      <c r="A248" s="35"/>
      <c r="B248" s="44"/>
      <c r="C248" s="35"/>
      <c r="D248" s="35"/>
      <c r="E248" s="48"/>
      <c r="F248" s="45"/>
      <c r="G248" s="38"/>
      <c r="H248" s="45"/>
      <c r="I248" s="45"/>
      <c r="L248" s="19"/>
      <c r="N248" s="25"/>
      <c r="O248" s="25"/>
      <c r="P248" s="27"/>
      <c r="R248" s="6" t="str">
        <f>IF($H248&lt;&gt;"",RIGHT(Tabela1[[#This Row],[Ref.]],2),"")</f>
        <v/>
      </c>
      <c r="S248" s="6" t="str">
        <f t="shared" si="18"/>
        <v/>
      </c>
      <c r="T248" s="4" t="str">
        <f>IF($H248&lt;&gt;"",_xlfn.XLOOKUP(H248,Naturezas!B:B,Naturezas!E:E,"",0,1),"")</f>
        <v/>
      </c>
      <c r="U248" s="4" t="str">
        <f>IF($H248&lt;&gt;"",_xlfn.XLOOKUP($H248,Naturezas!B:B,Naturezas!D:D,"",0,1),"")</f>
        <v/>
      </c>
      <c r="V248" s="5" t="str">
        <f>IF(H248&lt;&gt;"",IF(OR(H248=Naturezas!$B$3,H248=Naturezas!$B$4,H248=Naturezas!$B$5,H248=Naturezas!$B$17,H248=Naturezas!$B$18,H248=Naturezas!$B$19),G248,-G248),"")</f>
        <v/>
      </c>
      <c r="W248" s="4" t="str">
        <f t="shared" si="22"/>
        <v/>
      </c>
      <c r="X248" s="4"/>
      <c r="Y248" s="4" t="str">
        <f t="shared" si="23"/>
        <v/>
      </c>
      <c r="Z248" s="6" t="str">
        <f>IF(H248&lt;&gt;"",Tabela1[[#This Row],[Iniciais]],"")</f>
        <v/>
      </c>
      <c r="AB248" s="6" t="str">
        <f>IF($H248&lt;&gt;"",RIGHT(Tabela1[[#This Row],[Ref.]],2),"")</f>
        <v/>
      </c>
      <c r="AC248" s="37" t="str">
        <f>IF($H248&lt;&gt;"",DATE(LEFT(Tabela1[[#This Row],[Ref.]],4),RIGHT(Tabela1[[#This Row],[Ref.]],2),1),"")</f>
        <v/>
      </c>
      <c r="AD248" s="4" t="str">
        <f t="shared" si="19"/>
        <v/>
      </c>
      <c r="AE248" s="5" t="str">
        <f t="shared" si="20"/>
        <v/>
      </c>
      <c r="AF248" s="4"/>
      <c r="AG248" s="6" t="str">
        <f t="shared" si="21"/>
        <v/>
      </c>
    </row>
    <row r="249" spans="1:33" ht="15.75" customHeight="1" x14ac:dyDescent="0.2">
      <c r="A249" s="35"/>
      <c r="B249" s="44"/>
      <c r="C249" s="35"/>
      <c r="D249" s="35"/>
      <c r="E249" s="48"/>
      <c r="F249" s="45"/>
      <c r="G249" s="38"/>
      <c r="H249" s="45"/>
      <c r="I249" s="45"/>
      <c r="L249" s="19"/>
      <c r="N249" s="25"/>
      <c r="O249" s="25"/>
      <c r="P249" s="27"/>
      <c r="R249" s="6" t="str">
        <f>IF($H249&lt;&gt;"",RIGHT(Tabela1[[#This Row],[Ref.]],2),"")</f>
        <v/>
      </c>
      <c r="S249" s="6" t="str">
        <f t="shared" si="18"/>
        <v/>
      </c>
      <c r="T249" s="4" t="str">
        <f>IF($H249&lt;&gt;"",_xlfn.XLOOKUP(H249,Naturezas!B:B,Naturezas!E:E,"",0,1),"")</f>
        <v/>
      </c>
      <c r="U249" s="4" t="str">
        <f>IF($H249&lt;&gt;"",_xlfn.XLOOKUP($H249,Naturezas!B:B,Naturezas!D:D,"",0,1),"")</f>
        <v/>
      </c>
      <c r="V249" s="5" t="str">
        <f>IF(H249&lt;&gt;"",IF(OR(H249=Naturezas!$B$3,H249=Naturezas!$B$4,H249=Naturezas!$B$5,H249=Naturezas!$B$17,H249=Naturezas!$B$18,H249=Naturezas!$B$19),G249,-G249),"")</f>
        <v/>
      </c>
      <c r="W249" s="4" t="str">
        <f t="shared" si="22"/>
        <v/>
      </c>
      <c r="X249" s="4"/>
      <c r="Y249" s="4" t="str">
        <f t="shared" si="23"/>
        <v/>
      </c>
      <c r="Z249" s="6" t="str">
        <f>IF(H249&lt;&gt;"",Tabela1[[#This Row],[Iniciais]],"")</f>
        <v/>
      </c>
      <c r="AB249" s="6" t="str">
        <f>IF($H249&lt;&gt;"",RIGHT(Tabela1[[#This Row],[Ref.]],2),"")</f>
        <v/>
      </c>
      <c r="AC249" s="37" t="str">
        <f>IF($H249&lt;&gt;"",DATE(LEFT(Tabela1[[#This Row],[Ref.]],4),RIGHT(Tabela1[[#This Row],[Ref.]],2),1),"")</f>
        <v/>
      </c>
      <c r="AD249" s="4" t="str">
        <f t="shared" si="19"/>
        <v/>
      </c>
      <c r="AE249" s="5" t="str">
        <f t="shared" si="20"/>
        <v/>
      </c>
      <c r="AF249" s="4"/>
      <c r="AG249" s="6" t="str">
        <f t="shared" si="21"/>
        <v/>
      </c>
    </row>
    <row r="250" spans="1:33" ht="15.75" customHeight="1" x14ac:dyDescent="0.2">
      <c r="A250" s="35"/>
      <c r="B250" s="44"/>
      <c r="C250" s="35"/>
      <c r="D250" s="35"/>
      <c r="E250" s="48"/>
      <c r="F250" s="45"/>
      <c r="G250" s="38"/>
      <c r="H250" s="45"/>
      <c r="I250" s="45"/>
      <c r="L250" s="19"/>
      <c r="N250" s="25"/>
      <c r="O250" s="25"/>
      <c r="P250" s="27"/>
      <c r="R250" s="6" t="str">
        <f>IF($H250&lt;&gt;"",RIGHT(Tabela1[[#This Row],[Ref.]],2),"")</f>
        <v/>
      </c>
      <c r="S250" s="6" t="str">
        <f t="shared" si="18"/>
        <v/>
      </c>
      <c r="T250" s="4" t="str">
        <f>IF($H250&lt;&gt;"",_xlfn.XLOOKUP(H250,Naturezas!B:B,Naturezas!E:E,"",0,1),"")</f>
        <v/>
      </c>
      <c r="U250" s="4" t="str">
        <f>IF($H250&lt;&gt;"",_xlfn.XLOOKUP($H250,Naturezas!B:B,Naturezas!D:D,"",0,1),"")</f>
        <v/>
      </c>
      <c r="V250" s="5" t="str">
        <f>IF(H250&lt;&gt;"",IF(OR(H250=Naturezas!$B$3,H250=Naturezas!$B$4,H250=Naturezas!$B$5,H250=Naturezas!$B$17,H250=Naturezas!$B$18,H250=Naturezas!$B$19),G250,-G250),"")</f>
        <v/>
      </c>
      <c r="W250" s="4" t="str">
        <f t="shared" si="22"/>
        <v/>
      </c>
      <c r="X250" s="4"/>
      <c r="Y250" s="4" t="str">
        <f t="shared" si="23"/>
        <v/>
      </c>
      <c r="Z250" s="6" t="str">
        <f>IF(H250&lt;&gt;"",Tabela1[[#This Row],[Iniciais]],"")</f>
        <v/>
      </c>
      <c r="AB250" s="6" t="str">
        <f>IF($H250&lt;&gt;"",RIGHT(Tabela1[[#This Row],[Ref.]],2),"")</f>
        <v/>
      </c>
      <c r="AC250" s="37" t="str">
        <f>IF($H250&lt;&gt;"",DATE(LEFT(Tabela1[[#This Row],[Ref.]],4),RIGHT(Tabela1[[#This Row],[Ref.]],2),1),"")</f>
        <v/>
      </c>
      <c r="AD250" s="4" t="str">
        <f t="shared" si="19"/>
        <v/>
      </c>
      <c r="AE250" s="5" t="str">
        <f t="shared" si="20"/>
        <v/>
      </c>
      <c r="AF250" s="4"/>
      <c r="AG250" s="6" t="str">
        <f t="shared" si="21"/>
        <v/>
      </c>
    </row>
    <row r="251" spans="1:33" ht="15.75" customHeight="1" x14ac:dyDescent="0.2">
      <c r="A251" s="35"/>
      <c r="B251" s="44"/>
      <c r="C251" s="35"/>
      <c r="D251" s="35"/>
      <c r="E251" s="48"/>
      <c r="F251" s="45"/>
      <c r="G251" s="38"/>
      <c r="H251" s="45"/>
      <c r="I251" s="45"/>
      <c r="L251" s="19"/>
      <c r="N251" s="25"/>
      <c r="O251" s="25"/>
      <c r="P251" s="27"/>
      <c r="R251" s="6" t="str">
        <f>IF($H251&lt;&gt;"",RIGHT(Tabela1[[#This Row],[Ref.]],2),"")</f>
        <v/>
      </c>
      <c r="S251" s="6" t="str">
        <f t="shared" si="18"/>
        <v/>
      </c>
      <c r="T251" s="4" t="str">
        <f>IF($H251&lt;&gt;"",_xlfn.XLOOKUP(H251,Naturezas!B:B,Naturezas!E:E,"",0,1),"")</f>
        <v/>
      </c>
      <c r="U251" s="4" t="str">
        <f>IF($H251&lt;&gt;"",_xlfn.XLOOKUP($H251,Naturezas!B:B,Naturezas!D:D,"",0,1),"")</f>
        <v/>
      </c>
      <c r="V251" s="5" t="str">
        <f>IF(H251&lt;&gt;"",IF(OR(H251=Naturezas!$B$3,H251=Naturezas!$B$4,H251=Naturezas!$B$5,H251=Naturezas!$B$17,H251=Naturezas!$B$18,H251=Naturezas!$B$19),G251,-G251),"")</f>
        <v/>
      </c>
      <c r="W251" s="4" t="str">
        <f t="shared" si="22"/>
        <v/>
      </c>
      <c r="X251" s="4"/>
      <c r="Y251" s="4" t="str">
        <f t="shared" si="23"/>
        <v/>
      </c>
      <c r="Z251" s="6" t="str">
        <f>IF(H251&lt;&gt;"",Tabela1[[#This Row],[Iniciais]],"")</f>
        <v/>
      </c>
      <c r="AB251" s="6" t="str">
        <f>IF($H251&lt;&gt;"",RIGHT(Tabela1[[#This Row],[Ref.]],2),"")</f>
        <v/>
      </c>
      <c r="AC251" s="37" t="str">
        <f>IF($H251&lt;&gt;"",DATE(LEFT(Tabela1[[#This Row],[Ref.]],4),RIGHT(Tabela1[[#This Row],[Ref.]],2),1),"")</f>
        <v/>
      </c>
      <c r="AD251" s="4" t="str">
        <f t="shared" si="19"/>
        <v/>
      </c>
      <c r="AE251" s="5" t="str">
        <f t="shared" si="20"/>
        <v/>
      </c>
      <c r="AF251" s="4"/>
      <c r="AG251" s="6" t="str">
        <f t="shared" si="21"/>
        <v/>
      </c>
    </row>
    <row r="252" spans="1:33" ht="15.75" customHeight="1" x14ac:dyDescent="0.2">
      <c r="A252" s="35"/>
      <c r="B252" s="44"/>
      <c r="C252" s="35"/>
      <c r="D252" s="35"/>
      <c r="E252" s="48"/>
      <c r="F252" s="45"/>
      <c r="G252" s="38"/>
      <c r="H252" s="45"/>
      <c r="I252" s="45"/>
      <c r="L252" s="19"/>
      <c r="N252" s="25"/>
      <c r="O252" s="25"/>
      <c r="P252" s="27"/>
      <c r="R252" s="6" t="str">
        <f>IF($H252&lt;&gt;"",RIGHT(Tabela1[[#This Row],[Ref.]],2),"")</f>
        <v/>
      </c>
      <c r="S252" s="6" t="str">
        <f t="shared" si="18"/>
        <v/>
      </c>
      <c r="T252" s="4" t="str">
        <f>IF($H252&lt;&gt;"",_xlfn.XLOOKUP(H252,Naturezas!B:B,Naturezas!E:E,"",0,1),"")</f>
        <v/>
      </c>
      <c r="U252" s="4" t="str">
        <f>IF($H252&lt;&gt;"",_xlfn.XLOOKUP($H252,Naturezas!B:B,Naturezas!D:D,"",0,1),"")</f>
        <v/>
      </c>
      <c r="V252" s="5" t="str">
        <f>IF(H252&lt;&gt;"",IF(OR(H252=Naturezas!$B$3,H252=Naturezas!$B$4,H252=Naturezas!$B$5,H252=Naturezas!$B$17,H252=Naturezas!$B$18,H252=Naturezas!$B$19),G252,-G252),"")</f>
        <v/>
      </c>
      <c r="W252" s="4" t="str">
        <f t="shared" si="22"/>
        <v/>
      </c>
      <c r="X252" s="4"/>
      <c r="Y252" s="4" t="str">
        <f t="shared" si="23"/>
        <v/>
      </c>
      <c r="Z252" s="6" t="str">
        <f>IF(H252&lt;&gt;"",Tabela1[[#This Row],[Iniciais]],"")</f>
        <v/>
      </c>
      <c r="AB252" s="6" t="str">
        <f>IF($H252&lt;&gt;"",RIGHT(Tabela1[[#This Row],[Ref.]],2),"")</f>
        <v/>
      </c>
      <c r="AC252" s="37" t="str">
        <f>IF($H252&lt;&gt;"",DATE(LEFT(Tabela1[[#This Row],[Ref.]],4),RIGHT(Tabela1[[#This Row],[Ref.]],2),1),"")</f>
        <v/>
      </c>
      <c r="AD252" s="4" t="str">
        <f t="shared" si="19"/>
        <v/>
      </c>
      <c r="AE252" s="5" t="str">
        <f t="shared" si="20"/>
        <v/>
      </c>
      <c r="AF252" s="4"/>
      <c r="AG252" s="6" t="str">
        <f t="shared" si="21"/>
        <v/>
      </c>
    </row>
    <row r="253" spans="1:33" ht="15.75" customHeight="1" x14ac:dyDescent="0.2">
      <c r="A253" s="35"/>
      <c r="B253" s="44"/>
      <c r="C253" s="35"/>
      <c r="D253" s="35"/>
      <c r="E253" s="48"/>
      <c r="F253" s="45"/>
      <c r="G253" s="38"/>
      <c r="H253" s="45"/>
      <c r="I253" s="45"/>
      <c r="L253" s="19"/>
      <c r="N253" s="25"/>
      <c r="O253" s="25"/>
      <c r="P253" s="27"/>
      <c r="R253" s="6" t="str">
        <f>IF($H253&lt;&gt;"",RIGHT(Tabela1[[#This Row],[Ref.]],2),"")</f>
        <v/>
      </c>
      <c r="S253" s="6" t="str">
        <f t="shared" si="18"/>
        <v/>
      </c>
      <c r="T253" s="4" t="str">
        <f>IF($H253&lt;&gt;"",_xlfn.XLOOKUP(H253,Naturezas!B:B,Naturezas!E:E,"",0,1),"")</f>
        <v/>
      </c>
      <c r="U253" s="4" t="str">
        <f>IF($H253&lt;&gt;"",_xlfn.XLOOKUP($H253,Naturezas!B:B,Naturezas!D:D,"",0,1),"")</f>
        <v/>
      </c>
      <c r="V253" s="5" t="str">
        <f>IF(H253&lt;&gt;"",IF(OR(H253=Naturezas!$B$3,H253=Naturezas!$B$4,H253=Naturezas!$B$5,H253=Naturezas!$B$17,H253=Naturezas!$B$18,H253=Naturezas!$B$19),G253,-G253),"")</f>
        <v/>
      </c>
      <c r="W253" s="4" t="str">
        <f t="shared" si="22"/>
        <v/>
      </c>
      <c r="X253" s="4"/>
      <c r="Y253" s="4" t="str">
        <f t="shared" si="23"/>
        <v/>
      </c>
      <c r="Z253" s="6" t="str">
        <f>IF(H253&lt;&gt;"",Tabela1[[#This Row],[Iniciais]],"")</f>
        <v/>
      </c>
      <c r="AB253" s="6" t="str">
        <f>IF($H253&lt;&gt;"",RIGHT(Tabela1[[#This Row],[Ref.]],2),"")</f>
        <v/>
      </c>
      <c r="AC253" s="37" t="str">
        <f>IF($H253&lt;&gt;"",DATE(LEFT(Tabela1[[#This Row],[Ref.]],4),RIGHT(Tabela1[[#This Row],[Ref.]],2),1),"")</f>
        <v/>
      </c>
      <c r="AD253" s="4" t="str">
        <f t="shared" si="19"/>
        <v/>
      </c>
      <c r="AE253" s="5" t="str">
        <f t="shared" si="20"/>
        <v/>
      </c>
      <c r="AF253" s="4"/>
      <c r="AG253" s="6" t="str">
        <f t="shared" si="21"/>
        <v/>
      </c>
    </row>
    <row r="254" spans="1:33" ht="15.75" customHeight="1" x14ac:dyDescent="0.2">
      <c r="A254" s="35"/>
      <c r="B254" s="44"/>
      <c r="C254" s="35"/>
      <c r="D254" s="35"/>
      <c r="E254" s="48"/>
      <c r="F254" s="45"/>
      <c r="G254" s="38"/>
      <c r="H254" s="45"/>
      <c r="I254" s="45"/>
      <c r="L254" s="19"/>
      <c r="N254" s="25"/>
      <c r="O254" s="25"/>
      <c r="P254" s="27"/>
      <c r="R254" s="6" t="str">
        <f>IF($H254&lt;&gt;"",RIGHT(Tabela1[[#This Row],[Ref.]],2),"")</f>
        <v/>
      </c>
      <c r="S254" s="6" t="str">
        <f t="shared" si="18"/>
        <v/>
      </c>
      <c r="T254" s="4" t="str">
        <f>IF($H254&lt;&gt;"",_xlfn.XLOOKUP(H254,Naturezas!B:B,Naturezas!E:E,"",0,1),"")</f>
        <v/>
      </c>
      <c r="U254" s="4" t="str">
        <f>IF($H254&lt;&gt;"",_xlfn.XLOOKUP($H254,Naturezas!B:B,Naturezas!D:D,"",0,1),"")</f>
        <v/>
      </c>
      <c r="V254" s="5" t="str">
        <f>IF(H254&lt;&gt;"",IF(OR(H254=Naturezas!$B$3,H254=Naturezas!$B$4,H254=Naturezas!$B$5,H254=Naturezas!$B$17,H254=Naturezas!$B$18,H254=Naturezas!$B$19),G254,-G254),"")</f>
        <v/>
      </c>
      <c r="W254" s="4" t="str">
        <f t="shared" si="22"/>
        <v/>
      </c>
      <c r="X254" s="4"/>
      <c r="Y254" s="4" t="str">
        <f t="shared" si="23"/>
        <v/>
      </c>
      <c r="Z254" s="6" t="str">
        <f>IF(H254&lt;&gt;"",Tabela1[[#This Row],[Iniciais]],"")</f>
        <v/>
      </c>
      <c r="AB254" s="6" t="str">
        <f>IF($H254&lt;&gt;"",RIGHT(Tabela1[[#This Row],[Ref.]],2),"")</f>
        <v/>
      </c>
      <c r="AC254" s="37" t="str">
        <f>IF($H254&lt;&gt;"",DATE(LEFT(Tabela1[[#This Row],[Ref.]],4),RIGHT(Tabela1[[#This Row],[Ref.]],2),1),"")</f>
        <v/>
      </c>
      <c r="AD254" s="4" t="str">
        <f t="shared" si="19"/>
        <v/>
      </c>
      <c r="AE254" s="5" t="str">
        <f t="shared" si="20"/>
        <v/>
      </c>
      <c r="AF254" s="4"/>
      <c r="AG254" s="6" t="str">
        <f t="shared" si="21"/>
        <v/>
      </c>
    </row>
    <row r="255" spans="1:33" ht="15.75" customHeight="1" x14ac:dyDescent="0.2">
      <c r="A255" s="35"/>
      <c r="B255" s="44"/>
      <c r="C255" s="35"/>
      <c r="D255" s="35"/>
      <c r="E255" s="48"/>
      <c r="F255" s="45"/>
      <c r="G255" s="38"/>
      <c r="H255" s="45"/>
      <c r="I255" s="45"/>
      <c r="L255" s="19"/>
      <c r="N255" s="25"/>
      <c r="O255" s="25"/>
      <c r="P255" s="27"/>
      <c r="R255" s="6" t="str">
        <f>IF($H255&lt;&gt;"",RIGHT(Tabela1[[#This Row],[Ref.]],2),"")</f>
        <v/>
      </c>
      <c r="S255" s="6" t="str">
        <f t="shared" si="18"/>
        <v/>
      </c>
      <c r="T255" s="4" t="str">
        <f>IF($H255&lt;&gt;"",_xlfn.XLOOKUP(H255,Naturezas!B:B,Naturezas!E:E,"",0,1),"")</f>
        <v/>
      </c>
      <c r="U255" s="4" t="str">
        <f>IF($H255&lt;&gt;"",_xlfn.XLOOKUP($H255,Naturezas!B:B,Naturezas!D:D,"",0,1),"")</f>
        <v/>
      </c>
      <c r="V255" s="5" t="str">
        <f>IF(H255&lt;&gt;"",IF(OR(H255=Naturezas!$B$3,H255=Naturezas!$B$4,H255=Naturezas!$B$5,H255=Naturezas!$B$17,H255=Naturezas!$B$18,H255=Naturezas!$B$19),G255,-G255),"")</f>
        <v/>
      </c>
      <c r="W255" s="4" t="str">
        <f t="shared" si="22"/>
        <v/>
      </c>
      <c r="X255" s="4"/>
      <c r="Y255" s="4" t="str">
        <f t="shared" si="23"/>
        <v/>
      </c>
      <c r="Z255" s="6" t="str">
        <f>IF(H255&lt;&gt;"",Tabela1[[#This Row],[Iniciais]],"")</f>
        <v/>
      </c>
      <c r="AB255" s="6" t="str">
        <f>IF($H255&lt;&gt;"",RIGHT(Tabela1[[#This Row],[Ref.]],2),"")</f>
        <v/>
      </c>
      <c r="AC255" s="37" t="str">
        <f>IF($H255&lt;&gt;"",DATE(LEFT(Tabela1[[#This Row],[Ref.]],4),RIGHT(Tabela1[[#This Row],[Ref.]],2),1),"")</f>
        <v/>
      </c>
      <c r="AD255" s="4" t="str">
        <f t="shared" si="19"/>
        <v/>
      </c>
      <c r="AE255" s="5" t="str">
        <f t="shared" si="20"/>
        <v/>
      </c>
      <c r="AF255" s="4"/>
      <c r="AG255" s="6" t="str">
        <f t="shared" si="21"/>
        <v/>
      </c>
    </row>
    <row r="256" spans="1:33" ht="15.75" customHeight="1" x14ac:dyDescent="0.2">
      <c r="A256" s="35"/>
      <c r="B256" s="44"/>
      <c r="C256" s="35"/>
      <c r="D256" s="35"/>
      <c r="E256" s="48"/>
      <c r="F256" s="45"/>
      <c r="G256" s="38"/>
      <c r="H256" s="45"/>
      <c r="I256" s="45"/>
      <c r="L256" s="19"/>
      <c r="N256" s="25"/>
      <c r="O256" s="25"/>
      <c r="P256" s="27"/>
      <c r="R256" s="6" t="str">
        <f>IF($H256&lt;&gt;"",RIGHT(Tabela1[[#This Row],[Ref.]],2),"")</f>
        <v/>
      </c>
      <c r="S256" s="6" t="str">
        <f t="shared" si="18"/>
        <v/>
      </c>
      <c r="T256" s="4" t="str">
        <f>IF($H256&lt;&gt;"",_xlfn.XLOOKUP(H256,Naturezas!B:B,Naturezas!E:E,"",0,1),"")</f>
        <v/>
      </c>
      <c r="U256" s="4" t="str">
        <f>IF($H256&lt;&gt;"",_xlfn.XLOOKUP($H256,Naturezas!B:B,Naturezas!D:D,"",0,1),"")</f>
        <v/>
      </c>
      <c r="V256" s="5" t="str">
        <f>IF(H256&lt;&gt;"",IF(OR(H256=Naturezas!$B$3,H256=Naturezas!$B$4,H256=Naturezas!$B$5,H256=Naturezas!$B$17,H256=Naturezas!$B$18,H256=Naturezas!$B$19),G256,-G256),"")</f>
        <v/>
      </c>
      <c r="W256" s="4" t="str">
        <f t="shared" si="22"/>
        <v/>
      </c>
      <c r="X256" s="4"/>
      <c r="Y256" s="4" t="str">
        <f t="shared" si="23"/>
        <v/>
      </c>
      <c r="Z256" s="6" t="str">
        <f>IF(H256&lt;&gt;"",Tabela1[[#This Row],[Iniciais]],"")</f>
        <v/>
      </c>
      <c r="AB256" s="6" t="str">
        <f>IF($H256&lt;&gt;"",RIGHT(Tabela1[[#This Row],[Ref.]],2),"")</f>
        <v/>
      </c>
      <c r="AC256" s="37" t="str">
        <f>IF($H256&lt;&gt;"",DATE(LEFT(Tabela1[[#This Row],[Ref.]],4),RIGHT(Tabela1[[#This Row],[Ref.]],2),1),"")</f>
        <v/>
      </c>
      <c r="AD256" s="4" t="str">
        <f t="shared" si="19"/>
        <v/>
      </c>
      <c r="AE256" s="5" t="str">
        <f t="shared" si="20"/>
        <v/>
      </c>
      <c r="AF256" s="4"/>
      <c r="AG256" s="6" t="str">
        <f t="shared" si="21"/>
        <v/>
      </c>
    </row>
    <row r="257" spans="1:33" ht="15.75" customHeight="1" x14ac:dyDescent="0.2">
      <c r="A257" s="35"/>
      <c r="B257" s="44"/>
      <c r="C257" s="35"/>
      <c r="D257" s="35"/>
      <c r="E257" s="48"/>
      <c r="F257" s="45"/>
      <c r="G257" s="38"/>
      <c r="H257" s="45"/>
      <c r="I257" s="45"/>
      <c r="L257" s="19"/>
      <c r="N257" s="25"/>
      <c r="O257" s="25"/>
      <c r="P257" s="27"/>
      <c r="R257" s="6" t="str">
        <f>IF($H257&lt;&gt;"",RIGHT(Tabela1[[#This Row],[Ref.]],2),"")</f>
        <v/>
      </c>
      <c r="S257" s="6" t="str">
        <f t="shared" si="18"/>
        <v/>
      </c>
      <c r="T257" s="4" t="str">
        <f>IF($H257&lt;&gt;"",_xlfn.XLOOKUP(H257,Naturezas!B:B,Naturezas!E:E,"",0,1),"")</f>
        <v/>
      </c>
      <c r="U257" s="4" t="str">
        <f>IF($H257&lt;&gt;"",_xlfn.XLOOKUP($H257,Naturezas!B:B,Naturezas!D:D,"",0,1),"")</f>
        <v/>
      </c>
      <c r="V257" s="5" t="str">
        <f>IF(H257&lt;&gt;"",IF(OR(H257=Naturezas!$B$3,H257=Naturezas!$B$4,H257=Naturezas!$B$5,H257=Naturezas!$B$17,H257=Naturezas!$B$18,H257=Naturezas!$B$19),G257,-G257),"")</f>
        <v/>
      </c>
      <c r="W257" s="4" t="str">
        <f t="shared" si="22"/>
        <v/>
      </c>
      <c r="X257" s="4"/>
      <c r="Y257" s="4" t="str">
        <f t="shared" si="23"/>
        <v/>
      </c>
      <c r="Z257" s="6" t="str">
        <f>IF(H257&lt;&gt;"",Tabela1[[#This Row],[Iniciais]],"")</f>
        <v/>
      </c>
      <c r="AB257" s="6" t="str">
        <f>IF($H257&lt;&gt;"",RIGHT(Tabela1[[#This Row],[Ref.]],2),"")</f>
        <v/>
      </c>
      <c r="AC257" s="37" t="str">
        <f>IF($H257&lt;&gt;"",DATE(LEFT(Tabela1[[#This Row],[Ref.]],4),RIGHT(Tabela1[[#This Row],[Ref.]],2),1),"")</f>
        <v/>
      </c>
      <c r="AD257" s="4" t="str">
        <f t="shared" si="19"/>
        <v/>
      </c>
      <c r="AE257" s="5" t="str">
        <f t="shared" si="20"/>
        <v/>
      </c>
      <c r="AF257" s="4"/>
      <c r="AG257" s="6" t="str">
        <f t="shared" si="21"/>
        <v/>
      </c>
    </row>
    <row r="258" spans="1:33" ht="15.75" customHeight="1" x14ac:dyDescent="0.2">
      <c r="A258" s="35"/>
      <c r="B258" s="44"/>
      <c r="C258" s="35"/>
      <c r="D258" s="35"/>
      <c r="E258" s="48"/>
      <c r="F258" s="45"/>
      <c r="G258" s="38"/>
      <c r="H258" s="45"/>
      <c r="I258" s="45"/>
      <c r="L258" s="19"/>
      <c r="N258" s="25"/>
      <c r="O258" s="25"/>
      <c r="P258" s="27"/>
      <c r="R258" s="6" t="str">
        <f>IF($H258&lt;&gt;"",RIGHT(Tabela1[[#This Row],[Ref.]],2),"")</f>
        <v/>
      </c>
      <c r="S258" s="6" t="str">
        <f t="shared" si="18"/>
        <v/>
      </c>
      <c r="T258" s="4" t="str">
        <f>IF($H258&lt;&gt;"",_xlfn.XLOOKUP(H258,Naturezas!B:B,Naturezas!E:E,"",0,1),"")</f>
        <v/>
      </c>
      <c r="U258" s="4" t="str">
        <f>IF($H258&lt;&gt;"",_xlfn.XLOOKUP($H258,Naturezas!B:B,Naturezas!D:D,"",0,1),"")</f>
        <v/>
      </c>
      <c r="V258" s="5" t="str">
        <f>IF(H258&lt;&gt;"",IF(OR(H258=Naturezas!$B$3,H258=Naturezas!$B$4,H258=Naturezas!$B$5,H258=Naturezas!$B$17,H258=Naturezas!$B$18,H258=Naturezas!$B$19),G258,-G258),"")</f>
        <v/>
      </c>
      <c r="W258" s="4" t="str">
        <f t="shared" si="22"/>
        <v/>
      </c>
      <c r="X258" s="4"/>
      <c r="Y258" s="4" t="str">
        <f t="shared" si="23"/>
        <v/>
      </c>
      <c r="Z258" s="6" t="str">
        <f>IF(H258&lt;&gt;"",Tabela1[[#This Row],[Iniciais]],"")</f>
        <v/>
      </c>
      <c r="AB258" s="6" t="str">
        <f>IF($H258&lt;&gt;"",RIGHT(Tabela1[[#This Row],[Ref.]],2),"")</f>
        <v/>
      </c>
      <c r="AC258" s="37" t="str">
        <f>IF($H258&lt;&gt;"",DATE(LEFT(Tabela1[[#This Row],[Ref.]],4),RIGHT(Tabela1[[#This Row],[Ref.]],2),1),"")</f>
        <v/>
      </c>
      <c r="AD258" s="4" t="str">
        <f t="shared" si="19"/>
        <v/>
      </c>
      <c r="AE258" s="5" t="str">
        <f t="shared" si="20"/>
        <v/>
      </c>
      <c r="AF258" s="4"/>
      <c r="AG258" s="6" t="str">
        <f t="shared" si="21"/>
        <v/>
      </c>
    </row>
    <row r="259" spans="1:33" ht="15.75" customHeight="1" x14ac:dyDescent="0.2">
      <c r="A259" s="35"/>
      <c r="B259" s="44"/>
      <c r="C259" s="35"/>
      <c r="D259" s="35"/>
      <c r="E259" s="48"/>
      <c r="F259" s="45"/>
      <c r="G259" s="38"/>
      <c r="H259" s="45"/>
      <c r="I259" s="45"/>
      <c r="L259" s="19"/>
      <c r="N259" s="25"/>
      <c r="O259" s="25"/>
      <c r="P259" s="27"/>
      <c r="R259" s="6" t="str">
        <f>IF($H259&lt;&gt;"",RIGHT(Tabela1[[#This Row],[Ref.]],2),"")</f>
        <v/>
      </c>
      <c r="S259" s="6" t="str">
        <f t="shared" si="18"/>
        <v/>
      </c>
      <c r="T259" s="4" t="str">
        <f>IF($H259&lt;&gt;"",_xlfn.XLOOKUP(H259,Naturezas!B:B,Naturezas!E:E,"",0,1),"")</f>
        <v/>
      </c>
      <c r="U259" s="4" t="str">
        <f>IF($H259&lt;&gt;"",_xlfn.XLOOKUP($H259,Naturezas!B:B,Naturezas!D:D,"",0,1),"")</f>
        <v/>
      </c>
      <c r="V259" s="5" t="str">
        <f>IF(H259&lt;&gt;"",IF(OR(H259=Naturezas!$B$3,H259=Naturezas!$B$4,H259=Naturezas!$B$5,H259=Naturezas!$B$17,H259=Naturezas!$B$18,H259=Naturezas!$B$19),G259,-G259),"")</f>
        <v/>
      </c>
      <c r="W259" s="4" t="str">
        <f t="shared" si="22"/>
        <v/>
      </c>
      <c r="X259" s="4"/>
      <c r="Y259" s="4" t="str">
        <f t="shared" si="23"/>
        <v/>
      </c>
      <c r="Z259" s="6" t="str">
        <f>IF(H259&lt;&gt;"",Tabela1[[#This Row],[Iniciais]],"")</f>
        <v/>
      </c>
      <c r="AB259" s="6" t="str">
        <f>IF($H259&lt;&gt;"",RIGHT(Tabela1[[#This Row],[Ref.]],2),"")</f>
        <v/>
      </c>
      <c r="AC259" s="37" t="str">
        <f>IF($H259&lt;&gt;"",DATE(LEFT(Tabela1[[#This Row],[Ref.]],4),RIGHT(Tabela1[[#This Row],[Ref.]],2),1),"")</f>
        <v/>
      </c>
      <c r="AD259" s="4" t="str">
        <f t="shared" si="19"/>
        <v/>
      </c>
      <c r="AE259" s="5" t="str">
        <f t="shared" si="20"/>
        <v/>
      </c>
      <c r="AF259" s="4"/>
      <c r="AG259" s="6" t="str">
        <f t="shared" si="21"/>
        <v/>
      </c>
    </row>
    <row r="260" spans="1:33" ht="15.75" customHeight="1" x14ac:dyDescent="0.2">
      <c r="A260" s="35"/>
      <c r="B260" s="44"/>
      <c r="C260" s="35"/>
      <c r="D260" s="35"/>
      <c r="E260" s="48"/>
      <c r="F260" s="45"/>
      <c r="G260" s="38"/>
      <c r="H260" s="45"/>
      <c r="I260" s="45"/>
      <c r="L260" s="19"/>
      <c r="N260" s="25"/>
      <c r="O260" s="25"/>
      <c r="P260" s="27"/>
      <c r="R260" s="6" t="str">
        <f>IF($H260&lt;&gt;"",RIGHT(Tabela1[[#This Row],[Ref.]],2),"")</f>
        <v/>
      </c>
      <c r="S260" s="6" t="str">
        <f t="shared" si="18"/>
        <v/>
      </c>
      <c r="T260" s="4" t="str">
        <f>IF($H260&lt;&gt;"",_xlfn.XLOOKUP(H260,Naturezas!B:B,Naturezas!E:E,"",0,1),"")</f>
        <v/>
      </c>
      <c r="U260" s="4" t="str">
        <f>IF($H260&lt;&gt;"",_xlfn.XLOOKUP($H260,Naturezas!B:B,Naturezas!D:D,"",0,1),"")</f>
        <v/>
      </c>
      <c r="V260" s="5" t="str">
        <f>IF(H260&lt;&gt;"",IF(OR(H260=Naturezas!$B$3,H260=Naturezas!$B$4,H260=Naturezas!$B$5,H260=Naturezas!$B$17,H260=Naturezas!$B$18,H260=Naturezas!$B$19),G260,-G260),"")</f>
        <v/>
      </c>
      <c r="W260" s="4" t="str">
        <f t="shared" si="22"/>
        <v/>
      </c>
      <c r="X260" s="4"/>
      <c r="Y260" s="4" t="str">
        <f t="shared" si="23"/>
        <v/>
      </c>
      <c r="Z260" s="6" t="str">
        <f>IF(H260&lt;&gt;"",Tabela1[[#This Row],[Iniciais]],"")</f>
        <v/>
      </c>
      <c r="AB260" s="6" t="str">
        <f>IF($H260&lt;&gt;"",RIGHT(Tabela1[[#This Row],[Ref.]],2),"")</f>
        <v/>
      </c>
      <c r="AC260" s="37" t="str">
        <f>IF($H260&lt;&gt;"",DATE(LEFT(Tabela1[[#This Row],[Ref.]],4),RIGHT(Tabela1[[#This Row],[Ref.]],2),1),"")</f>
        <v/>
      </c>
      <c r="AD260" s="4" t="str">
        <f t="shared" si="19"/>
        <v/>
      </c>
      <c r="AE260" s="5" t="str">
        <f t="shared" si="20"/>
        <v/>
      </c>
      <c r="AF260" s="4"/>
      <c r="AG260" s="6" t="str">
        <f t="shared" si="21"/>
        <v/>
      </c>
    </row>
    <row r="261" spans="1:33" ht="15.75" customHeight="1" x14ac:dyDescent="0.2">
      <c r="A261" s="35"/>
      <c r="B261" s="44"/>
      <c r="C261" s="35"/>
      <c r="D261" s="35"/>
      <c r="E261" s="48"/>
      <c r="F261" s="45"/>
      <c r="G261" s="38"/>
      <c r="H261" s="45"/>
      <c r="I261" s="45"/>
      <c r="L261" s="19"/>
      <c r="N261" s="25"/>
      <c r="O261" s="25"/>
      <c r="P261" s="27"/>
      <c r="R261" s="6" t="str">
        <f>IF($H261&lt;&gt;"",RIGHT(Tabela1[[#This Row],[Ref.]],2),"")</f>
        <v/>
      </c>
      <c r="S261" s="6" t="str">
        <f t="shared" si="18"/>
        <v/>
      </c>
      <c r="T261" s="4" t="str">
        <f>IF($H261&lt;&gt;"",_xlfn.XLOOKUP(H261,Naturezas!B:B,Naturezas!E:E,"",0,1),"")</f>
        <v/>
      </c>
      <c r="U261" s="4" t="str">
        <f>IF($H261&lt;&gt;"",_xlfn.XLOOKUP($H261,Naturezas!B:B,Naturezas!D:D,"",0,1),"")</f>
        <v/>
      </c>
      <c r="V261" s="5" t="str">
        <f>IF(H261&lt;&gt;"",IF(OR(H261=Naturezas!$B$3,H261=Naturezas!$B$4,H261=Naturezas!$B$5,H261=Naturezas!$B$17,H261=Naturezas!$B$18,H261=Naturezas!$B$19),G261,-G261),"")</f>
        <v/>
      </c>
      <c r="W261" s="4" t="str">
        <f t="shared" si="22"/>
        <v/>
      </c>
      <c r="X261" s="4"/>
      <c r="Y261" s="4" t="str">
        <f t="shared" si="23"/>
        <v/>
      </c>
      <c r="Z261" s="6" t="str">
        <f>IF(H261&lt;&gt;"",Tabela1[[#This Row],[Iniciais]],"")</f>
        <v/>
      </c>
      <c r="AB261" s="6" t="str">
        <f>IF($H261&lt;&gt;"",RIGHT(Tabela1[[#This Row],[Ref.]],2),"")</f>
        <v/>
      </c>
      <c r="AC261" s="37" t="str">
        <f>IF($H261&lt;&gt;"",DATE(LEFT(Tabela1[[#This Row],[Ref.]],4),RIGHT(Tabela1[[#This Row],[Ref.]],2),1),"")</f>
        <v/>
      </c>
      <c r="AD261" s="4" t="str">
        <f t="shared" si="19"/>
        <v/>
      </c>
      <c r="AE261" s="5" t="str">
        <f t="shared" si="20"/>
        <v/>
      </c>
      <c r="AF261" s="4"/>
      <c r="AG261" s="6" t="str">
        <f t="shared" si="21"/>
        <v/>
      </c>
    </row>
    <row r="262" spans="1:33" ht="15.75" customHeight="1" x14ac:dyDescent="0.2">
      <c r="A262" s="35"/>
      <c r="B262" s="44"/>
      <c r="C262" s="35"/>
      <c r="D262" s="35"/>
      <c r="E262" s="48"/>
      <c r="F262" s="45"/>
      <c r="G262" s="38"/>
      <c r="H262" s="45"/>
      <c r="I262" s="45"/>
      <c r="L262" s="19"/>
      <c r="N262" s="25"/>
      <c r="O262" s="25"/>
      <c r="P262" s="27"/>
      <c r="R262" s="6" t="str">
        <f>IF($H262&lt;&gt;"",RIGHT(Tabela1[[#This Row],[Ref.]],2),"")</f>
        <v/>
      </c>
      <c r="S262" s="6" t="str">
        <f t="shared" si="18"/>
        <v/>
      </c>
      <c r="T262" s="4" t="str">
        <f>IF($H262&lt;&gt;"",_xlfn.XLOOKUP(H262,Naturezas!B:B,Naturezas!E:E,"",0,1),"")</f>
        <v/>
      </c>
      <c r="U262" s="4" t="str">
        <f>IF($H262&lt;&gt;"",_xlfn.XLOOKUP($H262,Naturezas!B:B,Naturezas!D:D,"",0,1),"")</f>
        <v/>
      </c>
      <c r="V262" s="5" t="str">
        <f>IF(H262&lt;&gt;"",IF(OR(H262=Naturezas!$B$3,H262=Naturezas!$B$4,H262=Naturezas!$B$5,H262=Naturezas!$B$17,H262=Naturezas!$B$18,H262=Naturezas!$B$19),G262,-G262),"")</f>
        <v/>
      </c>
      <c r="W262" s="4" t="str">
        <f t="shared" si="22"/>
        <v/>
      </c>
      <c r="X262" s="4"/>
      <c r="Y262" s="4" t="str">
        <f t="shared" si="23"/>
        <v/>
      </c>
      <c r="Z262" s="6" t="str">
        <f>IF(H262&lt;&gt;"",Tabela1[[#This Row],[Iniciais]],"")</f>
        <v/>
      </c>
      <c r="AB262" s="6" t="str">
        <f>IF($H262&lt;&gt;"",RIGHT(Tabela1[[#This Row],[Ref.]],2),"")</f>
        <v/>
      </c>
      <c r="AC262" s="37" t="str">
        <f>IF($H262&lt;&gt;"",DATE(LEFT(Tabela1[[#This Row],[Ref.]],4),RIGHT(Tabela1[[#This Row],[Ref.]],2),1),"")</f>
        <v/>
      </c>
      <c r="AD262" s="4" t="str">
        <f t="shared" si="19"/>
        <v/>
      </c>
      <c r="AE262" s="5" t="str">
        <f t="shared" si="20"/>
        <v/>
      </c>
      <c r="AF262" s="4"/>
      <c r="AG262" s="6" t="str">
        <f t="shared" si="21"/>
        <v/>
      </c>
    </row>
    <row r="263" spans="1:33" ht="15.75" customHeight="1" x14ac:dyDescent="0.2">
      <c r="A263" s="35"/>
      <c r="B263" s="44"/>
      <c r="C263" s="35"/>
      <c r="D263" s="35"/>
      <c r="E263" s="48"/>
      <c r="F263" s="45"/>
      <c r="G263" s="38"/>
      <c r="H263" s="45"/>
      <c r="I263" s="45"/>
      <c r="L263" s="19"/>
      <c r="N263" s="25"/>
      <c r="O263" s="25"/>
      <c r="P263" s="27"/>
      <c r="R263" s="6" t="str">
        <f>IF($H263&lt;&gt;"",RIGHT(Tabela1[[#This Row],[Ref.]],2),"")</f>
        <v/>
      </c>
      <c r="S263" s="6" t="str">
        <f t="shared" si="18"/>
        <v/>
      </c>
      <c r="T263" s="4" t="str">
        <f>IF($H263&lt;&gt;"",_xlfn.XLOOKUP(H263,Naturezas!B:B,Naturezas!E:E,"",0,1),"")</f>
        <v/>
      </c>
      <c r="U263" s="4" t="str">
        <f>IF($H263&lt;&gt;"",_xlfn.XLOOKUP($H263,Naturezas!B:B,Naturezas!D:D,"",0,1),"")</f>
        <v/>
      </c>
      <c r="V263" s="5" t="str">
        <f>IF(H263&lt;&gt;"",IF(OR(H263=Naturezas!$B$3,H263=Naturezas!$B$4,H263=Naturezas!$B$5,H263=Naturezas!$B$17,H263=Naturezas!$B$18,H263=Naturezas!$B$19),G263,-G263),"")</f>
        <v/>
      </c>
      <c r="W263" s="4" t="str">
        <f t="shared" si="22"/>
        <v/>
      </c>
      <c r="X263" s="4"/>
      <c r="Y263" s="4" t="str">
        <f t="shared" si="23"/>
        <v/>
      </c>
      <c r="Z263" s="6" t="str">
        <f>IF(H263&lt;&gt;"",Tabela1[[#This Row],[Iniciais]],"")</f>
        <v/>
      </c>
      <c r="AB263" s="6" t="str">
        <f>IF($H263&lt;&gt;"",RIGHT(Tabela1[[#This Row],[Ref.]],2),"")</f>
        <v/>
      </c>
      <c r="AC263" s="37" t="str">
        <f>IF($H263&lt;&gt;"",DATE(LEFT(Tabela1[[#This Row],[Ref.]],4),RIGHT(Tabela1[[#This Row],[Ref.]],2),1),"")</f>
        <v/>
      </c>
      <c r="AD263" s="4" t="str">
        <f t="shared" si="19"/>
        <v/>
      </c>
      <c r="AE263" s="5" t="str">
        <f t="shared" si="20"/>
        <v/>
      </c>
      <c r="AF263" s="4"/>
      <c r="AG263" s="6" t="str">
        <f t="shared" si="21"/>
        <v/>
      </c>
    </row>
    <row r="264" spans="1:33" ht="15.75" customHeight="1" x14ac:dyDescent="0.2">
      <c r="A264" s="35"/>
      <c r="B264" s="44"/>
      <c r="C264" s="35"/>
      <c r="D264" s="35"/>
      <c r="E264" s="48"/>
      <c r="F264" s="45"/>
      <c r="G264" s="38"/>
      <c r="H264" s="45"/>
      <c r="I264" s="45"/>
      <c r="L264" s="19"/>
      <c r="N264" s="25"/>
      <c r="O264" s="25"/>
      <c r="P264" s="27"/>
      <c r="R264" s="6" t="str">
        <f>IF($H264&lt;&gt;"",RIGHT(Tabela1[[#This Row],[Ref.]],2),"")</f>
        <v/>
      </c>
      <c r="S264" s="6" t="str">
        <f t="shared" si="18"/>
        <v/>
      </c>
      <c r="T264" s="4" t="str">
        <f>IF($H264&lt;&gt;"",_xlfn.XLOOKUP(H264,Naturezas!B:B,Naturezas!E:E,"",0,1),"")</f>
        <v/>
      </c>
      <c r="U264" s="4" t="str">
        <f>IF($H264&lt;&gt;"",_xlfn.XLOOKUP($H264,Naturezas!B:B,Naturezas!D:D,"",0,1),"")</f>
        <v/>
      </c>
      <c r="V264" s="5" t="str">
        <f>IF(H264&lt;&gt;"",IF(OR(H264=Naturezas!$B$3,H264=Naturezas!$B$4,H264=Naturezas!$B$5,H264=Naturezas!$B$17,H264=Naturezas!$B$18,H264=Naturezas!$B$19),G264,-G264),"")</f>
        <v/>
      </c>
      <c r="W264" s="4" t="str">
        <f t="shared" si="22"/>
        <v/>
      </c>
      <c r="X264" s="4"/>
      <c r="Y264" s="4" t="str">
        <f t="shared" si="23"/>
        <v/>
      </c>
      <c r="Z264" s="6" t="str">
        <f>IF(H264&lt;&gt;"",Tabela1[[#This Row],[Iniciais]],"")</f>
        <v/>
      </c>
      <c r="AB264" s="6" t="str">
        <f>IF($H264&lt;&gt;"",RIGHT(Tabela1[[#This Row],[Ref.]],2),"")</f>
        <v/>
      </c>
      <c r="AC264" s="37" t="str">
        <f>IF($H264&lt;&gt;"",DATE(LEFT(Tabela1[[#This Row],[Ref.]],4),RIGHT(Tabela1[[#This Row],[Ref.]],2),1),"")</f>
        <v/>
      </c>
      <c r="AD264" s="4" t="str">
        <f t="shared" si="19"/>
        <v/>
      </c>
      <c r="AE264" s="5" t="str">
        <f t="shared" si="20"/>
        <v/>
      </c>
      <c r="AF264" s="4"/>
      <c r="AG264" s="6" t="str">
        <f t="shared" si="21"/>
        <v/>
      </c>
    </row>
    <row r="265" spans="1:33" ht="15.75" customHeight="1" x14ac:dyDescent="0.2">
      <c r="A265" s="35"/>
      <c r="B265" s="44"/>
      <c r="C265" s="35"/>
      <c r="D265" s="35"/>
      <c r="E265" s="48"/>
      <c r="F265" s="45"/>
      <c r="G265" s="38"/>
      <c r="H265" s="45"/>
      <c r="I265" s="45"/>
      <c r="L265" s="19"/>
      <c r="N265" s="25"/>
      <c r="O265" s="25"/>
      <c r="P265" s="27"/>
      <c r="R265" s="6" t="str">
        <f>IF($H265&lt;&gt;"",RIGHT(Tabela1[[#This Row],[Ref.]],2),"")</f>
        <v/>
      </c>
      <c r="S265" s="6" t="str">
        <f t="shared" ref="S265:S328" si="24">IF($H265&lt;&gt;"",1,"")</f>
        <v/>
      </c>
      <c r="T265" s="4" t="str">
        <f>IF($H265&lt;&gt;"",_xlfn.XLOOKUP(H265,Naturezas!B:B,Naturezas!E:E,"",0,1),"")</f>
        <v/>
      </c>
      <c r="U265" s="4" t="str">
        <f>IF($H265&lt;&gt;"",_xlfn.XLOOKUP($H265,Naturezas!B:B,Naturezas!D:D,"",0,1),"")</f>
        <v/>
      </c>
      <c r="V265" s="5" t="str">
        <f>IF(H265&lt;&gt;"",IF(OR(H265=Naturezas!$B$3,H265=Naturezas!$B$4,H265=Naturezas!$B$5,H265=Naturezas!$B$17,H265=Naturezas!$B$18,H265=Naturezas!$B$19),G265,-G265),"")</f>
        <v/>
      </c>
      <c r="W265" s="4" t="str">
        <f t="shared" si="22"/>
        <v/>
      </c>
      <c r="X265" s="4"/>
      <c r="Y265" s="4" t="str">
        <f t="shared" si="23"/>
        <v/>
      </c>
      <c r="Z265" s="6" t="str">
        <f>IF(H265&lt;&gt;"",Tabela1[[#This Row],[Iniciais]],"")</f>
        <v/>
      </c>
      <c r="AB265" s="6" t="str">
        <f>IF($H265&lt;&gt;"",RIGHT(Tabela1[[#This Row],[Ref.]],2),"")</f>
        <v/>
      </c>
      <c r="AC265" s="37" t="str">
        <f>IF($H265&lt;&gt;"",DATE(LEFT(Tabela1[[#This Row],[Ref.]],4),RIGHT(Tabela1[[#This Row],[Ref.]],2),1),"")</f>
        <v/>
      </c>
      <c r="AD265" s="4" t="str">
        <f t="shared" ref="AD265:AD328" si="25">IF($H265&lt;&gt;"",$F265,"")</f>
        <v/>
      </c>
      <c r="AE265" s="5" t="str">
        <f t="shared" ref="AE265:AE328" si="26">IF($H265&lt;&gt;"",$G265,"")</f>
        <v/>
      </c>
      <c r="AF265" s="4"/>
      <c r="AG265" s="6" t="str">
        <f t="shared" ref="AG265:AG328" si="27">IF($H265&lt;&gt;"",$B$2,"")</f>
        <v/>
      </c>
    </row>
    <row r="266" spans="1:33" ht="15.75" customHeight="1" x14ac:dyDescent="0.2">
      <c r="A266" s="35"/>
      <c r="B266" s="44"/>
      <c r="C266" s="35"/>
      <c r="D266" s="35"/>
      <c r="E266" s="48"/>
      <c r="F266" s="45"/>
      <c r="G266" s="38"/>
      <c r="H266" s="45"/>
      <c r="I266" s="45"/>
      <c r="L266" s="19"/>
      <c r="N266" s="25"/>
      <c r="O266" s="25"/>
      <c r="P266" s="27"/>
      <c r="R266" s="6" t="str">
        <f>IF($H266&lt;&gt;"",RIGHT(Tabela1[[#This Row],[Ref.]],2),"")</f>
        <v/>
      </c>
      <c r="S266" s="6" t="str">
        <f t="shared" si="24"/>
        <v/>
      </c>
      <c r="T266" s="4" t="str">
        <f>IF($H266&lt;&gt;"",_xlfn.XLOOKUP(H266,Naturezas!B:B,Naturezas!E:E,"",0,1),"")</f>
        <v/>
      </c>
      <c r="U266" s="4" t="str">
        <f>IF($H266&lt;&gt;"",_xlfn.XLOOKUP($H266,Naturezas!B:B,Naturezas!D:D,"",0,1),"")</f>
        <v/>
      </c>
      <c r="V266" s="5" t="str">
        <f>IF(H266&lt;&gt;"",IF(OR(H266=Naturezas!$B$3,H266=Naturezas!$B$4,H266=Naturezas!$B$5,H266=Naturezas!$B$17,H266=Naturezas!$B$18,H266=Naturezas!$B$19),G266,-G266),"")</f>
        <v/>
      </c>
      <c r="W266" s="4" t="str">
        <f t="shared" ref="W266:W329" si="28">IF(H266&lt;&gt;"",H266,"")</f>
        <v/>
      </c>
      <c r="X266" s="4"/>
      <c r="Y266" s="4" t="str">
        <f t="shared" ref="Y266:Y329" si="29">IF(H266&lt;&gt;"",F266,"")</f>
        <v/>
      </c>
      <c r="Z266" s="6" t="str">
        <f>IF(H266&lt;&gt;"",Tabela1[[#This Row],[Iniciais]],"")</f>
        <v/>
      </c>
      <c r="AB266" s="6" t="str">
        <f>IF($H266&lt;&gt;"",RIGHT(Tabela1[[#This Row],[Ref.]],2),"")</f>
        <v/>
      </c>
      <c r="AC266" s="37" t="str">
        <f>IF($H266&lt;&gt;"",DATE(LEFT(Tabela1[[#This Row],[Ref.]],4),RIGHT(Tabela1[[#This Row],[Ref.]],2),1),"")</f>
        <v/>
      </c>
      <c r="AD266" s="4" t="str">
        <f t="shared" si="25"/>
        <v/>
      </c>
      <c r="AE266" s="5" t="str">
        <f t="shared" si="26"/>
        <v/>
      </c>
      <c r="AF266" s="4"/>
      <c r="AG266" s="6" t="str">
        <f t="shared" si="27"/>
        <v/>
      </c>
    </row>
    <row r="267" spans="1:33" ht="15.75" customHeight="1" x14ac:dyDescent="0.2">
      <c r="A267" s="35"/>
      <c r="B267" s="44"/>
      <c r="C267" s="35"/>
      <c r="D267" s="35"/>
      <c r="E267" s="48"/>
      <c r="F267" s="45"/>
      <c r="G267" s="38"/>
      <c r="H267" s="45"/>
      <c r="I267" s="45"/>
      <c r="L267" s="19"/>
      <c r="N267" s="25"/>
      <c r="O267" s="25"/>
      <c r="P267" s="27"/>
      <c r="R267" s="6" t="str">
        <f>IF($H267&lt;&gt;"",RIGHT(Tabela1[[#This Row],[Ref.]],2),"")</f>
        <v/>
      </c>
      <c r="S267" s="6" t="str">
        <f t="shared" si="24"/>
        <v/>
      </c>
      <c r="T267" s="4" t="str">
        <f>IF($H267&lt;&gt;"",_xlfn.XLOOKUP(H267,Naturezas!B:B,Naturezas!E:E,"",0,1),"")</f>
        <v/>
      </c>
      <c r="U267" s="4" t="str">
        <f>IF($H267&lt;&gt;"",_xlfn.XLOOKUP($H267,Naturezas!B:B,Naturezas!D:D,"",0,1),"")</f>
        <v/>
      </c>
      <c r="V267" s="5" t="str">
        <f>IF(H267&lt;&gt;"",IF(OR(H267=Naturezas!$B$3,H267=Naturezas!$B$4,H267=Naturezas!$B$5,H267=Naturezas!$B$17,H267=Naturezas!$B$18,H267=Naturezas!$B$19),G267,-G267),"")</f>
        <v/>
      </c>
      <c r="W267" s="4" t="str">
        <f t="shared" si="28"/>
        <v/>
      </c>
      <c r="X267" s="4"/>
      <c r="Y267" s="4" t="str">
        <f t="shared" si="29"/>
        <v/>
      </c>
      <c r="Z267" s="6" t="str">
        <f>IF(H267&lt;&gt;"",Tabela1[[#This Row],[Iniciais]],"")</f>
        <v/>
      </c>
      <c r="AB267" s="6" t="str">
        <f>IF($H267&lt;&gt;"",RIGHT(Tabela1[[#This Row],[Ref.]],2),"")</f>
        <v/>
      </c>
      <c r="AC267" s="37" t="str">
        <f>IF($H267&lt;&gt;"",DATE(LEFT(Tabela1[[#This Row],[Ref.]],4),RIGHT(Tabela1[[#This Row],[Ref.]],2),1),"")</f>
        <v/>
      </c>
      <c r="AD267" s="4" t="str">
        <f t="shared" si="25"/>
        <v/>
      </c>
      <c r="AE267" s="5" t="str">
        <f t="shared" si="26"/>
        <v/>
      </c>
      <c r="AF267" s="4"/>
      <c r="AG267" s="6" t="str">
        <f t="shared" si="27"/>
        <v/>
      </c>
    </row>
    <row r="268" spans="1:33" ht="15.75" customHeight="1" x14ac:dyDescent="0.2">
      <c r="A268" s="35"/>
      <c r="B268" s="44"/>
      <c r="C268" s="35"/>
      <c r="D268" s="35"/>
      <c r="E268" s="48"/>
      <c r="F268" s="45"/>
      <c r="G268" s="38"/>
      <c r="H268" s="45"/>
      <c r="I268" s="45"/>
      <c r="L268" s="19"/>
      <c r="N268" s="25"/>
      <c r="O268" s="25"/>
      <c r="P268" s="27"/>
      <c r="R268" s="6" t="str">
        <f>IF($H268&lt;&gt;"",RIGHT(Tabela1[[#This Row],[Ref.]],2),"")</f>
        <v/>
      </c>
      <c r="S268" s="6" t="str">
        <f t="shared" si="24"/>
        <v/>
      </c>
      <c r="T268" s="4" t="str">
        <f>IF($H268&lt;&gt;"",_xlfn.XLOOKUP(H268,Naturezas!B:B,Naturezas!E:E,"",0,1),"")</f>
        <v/>
      </c>
      <c r="U268" s="4" t="str">
        <f>IF($H268&lt;&gt;"",_xlfn.XLOOKUP($H268,Naturezas!B:B,Naturezas!D:D,"",0,1),"")</f>
        <v/>
      </c>
      <c r="V268" s="5" t="str">
        <f>IF(H268&lt;&gt;"",IF(OR(H268=Naturezas!$B$3,H268=Naturezas!$B$4,H268=Naturezas!$B$5,H268=Naturezas!$B$17,H268=Naturezas!$B$18,H268=Naturezas!$B$19),G268,-G268),"")</f>
        <v/>
      </c>
      <c r="W268" s="4" t="str">
        <f t="shared" si="28"/>
        <v/>
      </c>
      <c r="X268" s="4"/>
      <c r="Y268" s="4" t="str">
        <f t="shared" si="29"/>
        <v/>
      </c>
      <c r="Z268" s="6" t="str">
        <f>IF(H268&lt;&gt;"",Tabela1[[#This Row],[Iniciais]],"")</f>
        <v/>
      </c>
      <c r="AB268" s="6" t="str">
        <f>IF($H268&lt;&gt;"",RIGHT(Tabela1[[#This Row],[Ref.]],2),"")</f>
        <v/>
      </c>
      <c r="AC268" s="37" t="str">
        <f>IF($H268&lt;&gt;"",DATE(LEFT(Tabela1[[#This Row],[Ref.]],4),RIGHT(Tabela1[[#This Row],[Ref.]],2),1),"")</f>
        <v/>
      </c>
      <c r="AD268" s="4" t="str">
        <f t="shared" si="25"/>
        <v/>
      </c>
      <c r="AE268" s="5" t="str">
        <f t="shared" si="26"/>
        <v/>
      </c>
      <c r="AF268" s="4"/>
      <c r="AG268" s="6" t="str">
        <f t="shared" si="27"/>
        <v/>
      </c>
    </row>
    <row r="269" spans="1:33" ht="15.75" customHeight="1" x14ac:dyDescent="0.2">
      <c r="A269" s="35"/>
      <c r="B269" s="44"/>
      <c r="C269" s="35"/>
      <c r="D269" s="35"/>
      <c r="E269" s="48"/>
      <c r="F269" s="45"/>
      <c r="G269" s="38"/>
      <c r="H269" s="45"/>
      <c r="I269" s="45"/>
      <c r="L269" s="19"/>
      <c r="N269" s="25"/>
      <c r="O269" s="25"/>
      <c r="P269" s="27"/>
      <c r="R269" s="6" t="str">
        <f>IF($H269&lt;&gt;"",RIGHT(Tabela1[[#This Row],[Ref.]],2),"")</f>
        <v/>
      </c>
      <c r="S269" s="6" t="str">
        <f t="shared" si="24"/>
        <v/>
      </c>
      <c r="T269" s="4" t="str">
        <f>IF($H269&lt;&gt;"",_xlfn.XLOOKUP(H269,Naturezas!B:B,Naturezas!E:E,"",0,1),"")</f>
        <v/>
      </c>
      <c r="U269" s="4" t="str">
        <f>IF($H269&lt;&gt;"",_xlfn.XLOOKUP($H269,Naturezas!B:B,Naturezas!D:D,"",0,1),"")</f>
        <v/>
      </c>
      <c r="V269" s="5" t="str">
        <f>IF(H269&lt;&gt;"",IF(OR(H269=Naturezas!$B$3,H269=Naturezas!$B$4,H269=Naturezas!$B$5,H269=Naturezas!$B$17,H269=Naturezas!$B$18,H269=Naturezas!$B$19),G269,-G269),"")</f>
        <v/>
      </c>
      <c r="W269" s="4" t="str">
        <f t="shared" si="28"/>
        <v/>
      </c>
      <c r="X269" s="4"/>
      <c r="Y269" s="4" t="str">
        <f t="shared" si="29"/>
        <v/>
      </c>
      <c r="Z269" s="6" t="str">
        <f>IF(H269&lt;&gt;"",Tabela1[[#This Row],[Iniciais]],"")</f>
        <v/>
      </c>
      <c r="AB269" s="6" t="str">
        <f>IF($H269&lt;&gt;"",RIGHT(Tabela1[[#This Row],[Ref.]],2),"")</f>
        <v/>
      </c>
      <c r="AC269" s="37" t="str">
        <f>IF($H269&lt;&gt;"",DATE(LEFT(Tabela1[[#This Row],[Ref.]],4),RIGHT(Tabela1[[#This Row],[Ref.]],2),1),"")</f>
        <v/>
      </c>
      <c r="AD269" s="4" t="str">
        <f t="shared" si="25"/>
        <v/>
      </c>
      <c r="AE269" s="5" t="str">
        <f t="shared" si="26"/>
        <v/>
      </c>
      <c r="AF269" s="4"/>
      <c r="AG269" s="6" t="str">
        <f t="shared" si="27"/>
        <v/>
      </c>
    </row>
    <row r="270" spans="1:33" ht="15.75" customHeight="1" x14ac:dyDescent="0.2">
      <c r="A270" s="35"/>
      <c r="B270" s="44"/>
      <c r="C270" s="35"/>
      <c r="D270" s="35"/>
      <c r="E270" s="48"/>
      <c r="F270" s="45"/>
      <c r="G270" s="38"/>
      <c r="H270" s="45"/>
      <c r="I270" s="45"/>
      <c r="L270" s="19"/>
      <c r="N270" s="25"/>
      <c r="O270" s="25"/>
      <c r="P270" s="27"/>
      <c r="R270" s="6" t="str">
        <f>IF($H270&lt;&gt;"",RIGHT(Tabela1[[#This Row],[Ref.]],2),"")</f>
        <v/>
      </c>
      <c r="S270" s="6" t="str">
        <f t="shared" si="24"/>
        <v/>
      </c>
      <c r="T270" s="4" t="str">
        <f>IF($H270&lt;&gt;"",_xlfn.XLOOKUP(H270,Naturezas!B:B,Naturezas!E:E,"",0,1),"")</f>
        <v/>
      </c>
      <c r="U270" s="4" t="str">
        <f>IF($H270&lt;&gt;"",_xlfn.XLOOKUP($H270,Naturezas!B:B,Naturezas!D:D,"",0,1),"")</f>
        <v/>
      </c>
      <c r="V270" s="5" t="str">
        <f>IF(H270&lt;&gt;"",IF(OR(H270=Naturezas!$B$3,H270=Naturezas!$B$4,H270=Naturezas!$B$5,H270=Naturezas!$B$17,H270=Naturezas!$B$18,H270=Naturezas!$B$19),G270,-G270),"")</f>
        <v/>
      </c>
      <c r="W270" s="4" t="str">
        <f t="shared" si="28"/>
        <v/>
      </c>
      <c r="X270" s="4"/>
      <c r="Y270" s="4" t="str">
        <f t="shared" si="29"/>
        <v/>
      </c>
      <c r="Z270" s="6" t="str">
        <f>IF(H270&lt;&gt;"",Tabela1[[#This Row],[Iniciais]],"")</f>
        <v/>
      </c>
      <c r="AB270" s="6" t="str">
        <f>IF($H270&lt;&gt;"",RIGHT(Tabela1[[#This Row],[Ref.]],2),"")</f>
        <v/>
      </c>
      <c r="AC270" s="37" t="str">
        <f>IF($H270&lt;&gt;"",DATE(LEFT(Tabela1[[#This Row],[Ref.]],4),RIGHT(Tabela1[[#This Row],[Ref.]],2),1),"")</f>
        <v/>
      </c>
      <c r="AD270" s="4" t="str">
        <f t="shared" si="25"/>
        <v/>
      </c>
      <c r="AE270" s="5" t="str">
        <f t="shared" si="26"/>
        <v/>
      </c>
      <c r="AF270" s="4"/>
      <c r="AG270" s="6" t="str">
        <f t="shared" si="27"/>
        <v/>
      </c>
    </row>
    <row r="271" spans="1:33" ht="15.75" customHeight="1" x14ac:dyDescent="0.2">
      <c r="A271" s="35"/>
      <c r="B271" s="44"/>
      <c r="C271" s="35"/>
      <c r="D271" s="35"/>
      <c r="E271" s="48"/>
      <c r="F271" s="45"/>
      <c r="G271" s="38"/>
      <c r="H271" s="45"/>
      <c r="I271" s="45"/>
      <c r="L271" s="19"/>
      <c r="N271" s="25"/>
      <c r="O271" s="25"/>
      <c r="P271" s="27"/>
      <c r="R271" s="6" t="str">
        <f>IF($H271&lt;&gt;"",RIGHT(Tabela1[[#This Row],[Ref.]],2),"")</f>
        <v/>
      </c>
      <c r="S271" s="6" t="str">
        <f t="shared" si="24"/>
        <v/>
      </c>
      <c r="T271" s="4" t="str">
        <f>IF($H271&lt;&gt;"",_xlfn.XLOOKUP(H271,Naturezas!B:B,Naturezas!E:E,"",0,1),"")</f>
        <v/>
      </c>
      <c r="U271" s="4" t="str">
        <f>IF($H271&lt;&gt;"",_xlfn.XLOOKUP($H271,Naturezas!B:B,Naturezas!D:D,"",0,1),"")</f>
        <v/>
      </c>
      <c r="V271" s="5" t="str">
        <f>IF(H271&lt;&gt;"",IF(OR(H271=Naturezas!$B$3,H271=Naturezas!$B$4,H271=Naturezas!$B$5,H271=Naturezas!$B$17,H271=Naturezas!$B$18,H271=Naturezas!$B$19),G271,-G271),"")</f>
        <v/>
      </c>
      <c r="W271" s="4" t="str">
        <f t="shared" si="28"/>
        <v/>
      </c>
      <c r="X271" s="4"/>
      <c r="Y271" s="4" t="str">
        <f t="shared" si="29"/>
        <v/>
      </c>
      <c r="Z271" s="6" t="str">
        <f>IF(H271&lt;&gt;"",Tabela1[[#This Row],[Iniciais]],"")</f>
        <v/>
      </c>
      <c r="AB271" s="6" t="str">
        <f>IF($H271&lt;&gt;"",RIGHT(Tabela1[[#This Row],[Ref.]],2),"")</f>
        <v/>
      </c>
      <c r="AC271" s="37" t="str">
        <f>IF($H271&lt;&gt;"",DATE(LEFT(Tabela1[[#This Row],[Ref.]],4),RIGHT(Tabela1[[#This Row],[Ref.]],2),1),"")</f>
        <v/>
      </c>
      <c r="AD271" s="4" t="str">
        <f t="shared" si="25"/>
        <v/>
      </c>
      <c r="AE271" s="5" t="str">
        <f t="shared" si="26"/>
        <v/>
      </c>
      <c r="AF271" s="4"/>
      <c r="AG271" s="6" t="str">
        <f t="shared" si="27"/>
        <v/>
      </c>
    </row>
    <row r="272" spans="1:33" ht="15.75" customHeight="1" x14ac:dyDescent="0.2">
      <c r="A272" s="35"/>
      <c r="B272" s="44"/>
      <c r="C272" s="35"/>
      <c r="D272" s="35"/>
      <c r="E272" s="48"/>
      <c r="F272" s="45"/>
      <c r="G272" s="38"/>
      <c r="H272" s="45"/>
      <c r="I272" s="45"/>
      <c r="L272" s="19"/>
      <c r="N272" s="25"/>
      <c r="O272" s="25"/>
      <c r="P272" s="27"/>
      <c r="R272" s="6" t="str">
        <f>IF($H272&lt;&gt;"",RIGHT(Tabela1[[#This Row],[Ref.]],2),"")</f>
        <v/>
      </c>
      <c r="S272" s="6" t="str">
        <f t="shared" si="24"/>
        <v/>
      </c>
      <c r="T272" s="4" t="str">
        <f>IF($H272&lt;&gt;"",_xlfn.XLOOKUP(H272,Naturezas!B:B,Naturezas!E:E,"",0,1),"")</f>
        <v/>
      </c>
      <c r="U272" s="4" t="str">
        <f>IF($H272&lt;&gt;"",_xlfn.XLOOKUP($H272,Naturezas!B:B,Naturezas!D:D,"",0,1),"")</f>
        <v/>
      </c>
      <c r="V272" s="5" t="str">
        <f>IF(H272&lt;&gt;"",IF(OR(H272=Naturezas!$B$3,H272=Naturezas!$B$4,H272=Naturezas!$B$5,H272=Naturezas!$B$17,H272=Naturezas!$B$18,H272=Naturezas!$B$19),G272,-G272),"")</f>
        <v/>
      </c>
      <c r="W272" s="4" t="str">
        <f t="shared" si="28"/>
        <v/>
      </c>
      <c r="X272" s="4"/>
      <c r="Y272" s="4" t="str">
        <f t="shared" si="29"/>
        <v/>
      </c>
      <c r="Z272" s="6" t="str">
        <f>IF(H272&lt;&gt;"",Tabela1[[#This Row],[Iniciais]],"")</f>
        <v/>
      </c>
      <c r="AB272" s="6" t="str">
        <f>IF($H272&lt;&gt;"",RIGHT(Tabela1[[#This Row],[Ref.]],2),"")</f>
        <v/>
      </c>
      <c r="AC272" s="37" t="str">
        <f>IF($H272&lt;&gt;"",DATE(LEFT(Tabela1[[#This Row],[Ref.]],4),RIGHT(Tabela1[[#This Row],[Ref.]],2),1),"")</f>
        <v/>
      </c>
      <c r="AD272" s="4" t="str">
        <f t="shared" si="25"/>
        <v/>
      </c>
      <c r="AE272" s="5" t="str">
        <f t="shared" si="26"/>
        <v/>
      </c>
      <c r="AF272" s="4"/>
      <c r="AG272" s="6" t="str">
        <f t="shared" si="27"/>
        <v/>
      </c>
    </row>
    <row r="273" spans="1:33" ht="15.75" customHeight="1" x14ac:dyDescent="0.2">
      <c r="A273" s="35"/>
      <c r="B273" s="44"/>
      <c r="C273" s="35"/>
      <c r="D273" s="35"/>
      <c r="E273" s="48"/>
      <c r="F273" s="45"/>
      <c r="G273" s="38"/>
      <c r="H273" s="45"/>
      <c r="I273" s="45"/>
      <c r="L273" s="19"/>
      <c r="N273" s="25"/>
      <c r="O273" s="25"/>
      <c r="P273" s="27"/>
      <c r="R273" s="6" t="str">
        <f>IF($H273&lt;&gt;"",RIGHT(Tabela1[[#This Row],[Ref.]],2),"")</f>
        <v/>
      </c>
      <c r="S273" s="6" t="str">
        <f t="shared" si="24"/>
        <v/>
      </c>
      <c r="T273" s="4" t="str">
        <f>IF($H273&lt;&gt;"",_xlfn.XLOOKUP(H273,Naturezas!B:B,Naturezas!E:E,"",0,1),"")</f>
        <v/>
      </c>
      <c r="U273" s="4" t="str">
        <f>IF($H273&lt;&gt;"",_xlfn.XLOOKUP($H273,Naturezas!B:B,Naturezas!D:D,"",0,1),"")</f>
        <v/>
      </c>
      <c r="V273" s="5" t="str">
        <f>IF(H273&lt;&gt;"",IF(OR(H273=Naturezas!$B$3,H273=Naturezas!$B$4,H273=Naturezas!$B$5,H273=Naturezas!$B$17,H273=Naturezas!$B$18,H273=Naturezas!$B$19),G273,-G273),"")</f>
        <v/>
      </c>
      <c r="W273" s="4" t="str">
        <f t="shared" si="28"/>
        <v/>
      </c>
      <c r="X273" s="4"/>
      <c r="Y273" s="4" t="str">
        <f t="shared" si="29"/>
        <v/>
      </c>
      <c r="Z273" s="6" t="str">
        <f>IF(H273&lt;&gt;"",Tabela1[[#This Row],[Iniciais]],"")</f>
        <v/>
      </c>
      <c r="AB273" s="6" t="str">
        <f>IF($H273&lt;&gt;"",RIGHT(Tabela1[[#This Row],[Ref.]],2),"")</f>
        <v/>
      </c>
      <c r="AC273" s="37" t="str">
        <f>IF($H273&lt;&gt;"",DATE(LEFT(Tabela1[[#This Row],[Ref.]],4),RIGHT(Tabela1[[#This Row],[Ref.]],2),1),"")</f>
        <v/>
      </c>
      <c r="AD273" s="4" t="str">
        <f t="shared" si="25"/>
        <v/>
      </c>
      <c r="AE273" s="5" t="str">
        <f t="shared" si="26"/>
        <v/>
      </c>
      <c r="AF273" s="4"/>
      <c r="AG273" s="6" t="str">
        <f t="shared" si="27"/>
        <v/>
      </c>
    </row>
    <row r="274" spans="1:33" ht="15.75" customHeight="1" x14ac:dyDescent="0.2">
      <c r="A274" s="35"/>
      <c r="B274" s="44"/>
      <c r="C274" s="35"/>
      <c r="D274" s="35"/>
      <c r="E274" s="48"/>
      <c r="F274" s="45"/>
      <c r="G274" s="38"/>
      <c r="H274" s="45"/>
      <c r="I274" s="45"/>
      <c r="L274" s="19"/>
      <c r="N274" s="25"/>
      <c r="O274" s="25"/>
      <c r="P274" s="27"/>
      <c r="R274" s="6" t="str">
        <f>IF($H274&lt;&gt;"",RIGHT(Tabela1[[#This Row],[Ref.]],2),"")</f>
        <v/>
      </c>
      <c r="S274" s="6" t="str">
        <f t="shared" si="24"/>
        <v/>
      </c>
      <c r="T274" s="4" t="str">
        <f>IF($H274&lt;&gt;"",_xlfn.XLOOKUP(H274,Naturezas!B:B,Naturezas!E:E,"",0,1),"")</f>
        <v/>
      </c>
      <c r="U274" s="4" t="str">
        <f>IF($H274&lt;&gt;"",_xlfn.XLOOKUP($H274,Naturezas!B:B,Naturezas!D:D,"",0,1),"")</f>
        <v/>
      </c>
      <c r="V274" s="5" t="str">
        <f>IF(H274&lt;&gt;"",IF(OR(H274=Naturezas!$B$3,H274=Naturezas!$B$4,H274=Naturezas!$B$5,H274=Naturezas!$B$17,H274=Naturezas!$B$18,H274=Naturezas!$B$19),G274,-G274),"")</f>
        <v/>
      </c>
      <c r="W274" s="4" t="str">
        <f t="shared" si="28"/>
        <v/>
      </c>
      <c r="X274" s="4"/>
      <c r="Y274" s="4" t="str">
        <f t="shared" si="29"/>
        <v/>
      </c>
      <c r="Z274" s="6" t="str">
        <f>IF(H274&lt;&gt;"",Tabela1[[#This Row],[Iniciais]],"")</f>
        <v/>
      </c>
      <c r="AB274" s="6" t="str">
        <f>IF($H274&lt;&gt;"",RIGHT(Tabela1[[#This Row],[Ref.]],2),"")</f>
        <v/>
      </c>
      <c r="AC274" s="37" t="str">
        <f>IF($H274&lt;&gt;"",DATE(LEFT(Tabela1[[#This Row],[Ref.]],4),RIGHT(Tabela1[[#This Row],[Ref.]],2),1),"")</f>
        <v/>
      </c>
      <c r="AD274" s="4" t="str">
        <f t="shared" si="25"/>
        <v/>
      </c>
      <c r="AE274" s="5" t="str">
        <f t="shared" si="26"/>
        <v/>
      </c>
      <c r="AF274" s="4"/>
      <c r="AG274" s="6" t="str">
        <f t="shared" si="27"/>
        <v/>
      </c>
    </row>
    <row r="275" spans="1:33" ht="15.75" customHeight="1" x14ac:dyDescent="0.2">
      <c r="A275" s="35"/>
      <c r="B275" s="44"/>
      <c r="C275" s="35"/>
      <c r="D275" s="35"/>
      <c r="E275" s="48"/>
      <c r="F275" s="45"/>
      <c r="G275" s="38"/>
      <c r="H275" s="45"/>
      <c r="I275" s="45"/>
      <c r="L275" s="19"/>
      <c r="N275" s="25"/>
      <c r="O275" s="25"/>
      <c r="P275" s="27"/>
      <c r="R275" s="6" t="str">
        <f>IF($H275&lt;&gt;"",RIGHT(Tabela1[[#This Row],[Ref.]],2),"")</f>
        <v/>
      </c>
      <c r="S275" s="6" t="str">
        <f t="shared" si="24"/>
        <v/>
      </c>
      <c r="T275" s="4" t="str">
        <f>IF($H275&lt;&gt;"",_xlfn.XLOOKUP(H275,Naturezas!B:B,Naturezas!E:E,"",0,1),"")</f>
        <v/>
      </c>
      <c r="U275" s="4" t="str">
        <f>IF($H275&lt;&gt;"",_xlfn.XLOOKUP($H275,Naturezas!B:B,Naturezas!D:D,"",0,1),"")</f>
        <v/>
      </c>
      <c r="V275" s="5" t="str">
        <f>IF(H275&lt;&gt;"",IF(OR(H275=Naturezas!$B$3,H275=Naturezas!$B$4,H275=Naturezas!$B$5,H275=Naturezas!$B$17,H275=Naturezas!$B$18,H275=Naturezas!$B$19),G275,-G275),"")</f>
        <v/>
      </c>
      <c r="W275" s="4" t="str">
        <f t="shared" si="28"/>
        <v/>
      </c>
      <c r="X275" s="4"/>
      <c r="Y275" s="4" t="str">
        <f t="shared" si="29"/>
        <v/>
      </c>
      <c r="Z275" s="6" t="str">
        <f>IF(H275&lt;&gt;"",Tabela1[[#This Row],[Iniciais]],"")</f>
        <v/>
      </c>
      <c r="AB275" s="6" t="str">
        <f>IF($H275&lt;&gt;"",RIGHT(Tabela1[[#This Row],[Ref.]],2),"")</f>
        <v/>
      </c>
      <c r="AC275" s="37" t="str">
        <f>IF($H275&lt;&gt;"",DATE(LEFT(Tabela1[[#This Row],[Ref.]],4),RIGHT(Tabela1[[#This Row],[Ref.]],2),1),"")</f>
        <v/>
      </c>
      <c r="AD275" s="4" t="str">
        <f t="shared" si="25"/>
        <v/>
      </c>
      <c r="AE275" s="5" t="str">
        <f t="shared" si="26"/>
        <v/>
      </c>
      <c r="AF275" s="4"/>
      <c r="AG275" s="6" t="str">
        <f t="shared" si="27"/>
        <v/>
      </c>
    </row>
    <row r="276" spans="1:33" ht="15.75" customHeight="1" x14ac:dyDescent="0.2">
      <c r="A276" s="35"/>
      <c r="B276" s="44"/>
      <c r="C276" s="35"/>
      <c r="D276" s="35"/>
      <c r="E276" s="48"/>
      <c r="F276" s="45"/>
      <c r="G276" s="38"/>
      <c r="H276" s="45"/>
      <c r="I276" s="45"/>
      <c r="L276" s="19"/>
      <c r="N276" s="25"/>
      <c r="O276" s="25"/>
      <c r="P276" s="27"/>
      <c r="R276" s="6" t="str">
        <f>IF($H276&lt;&gt;"",RIGHT(Tabela1[[#This Row],[Ref.]],2),"")</f>
        <v/>
      </c>
      <c r="S276" s="6" t="str">
        <f t="shared" si="24"/>
        <v/>
      </c>
      <c r="T276" s="4" t="str">
        <f>IF($H276&lt;&gt;"",_xlfn.XLOOKUP(H276,Naturezas!B:B,Naturezas!E:E,"",0,1),"")</f>
        <v/>
      </c>
      <c r="U276" s="4" t="str">
        <f>IF($H276&lt;&gt;"",_xlfn.XLOOKUP($H276,Naturezas!B:B,Naturezas!D:D,"",0,1),"")</f>
        <v/>
      </c>
      <c r="V276" s="5" t="str">
        <f>IF(H276&lt;&gt;"",IF(OR(H276=Naturezas!$B$3,H276=Naturezas!$B$4,H276=Naturezas!$B$5,H276=Naturezas!$B$17,H276=Naturezas!$B$18,H276=Naturezas!$B$19),G276,-G276),"")</f>
        <v/>
      </c>
      <c r="W276" s="4" t="str">
        <f t="shared" si="28"/>
        <v/>
      </c>
      <c r="X276" s="4"/>
      <c r="Y276" s="4" t="str">
        <f t="shared" si="29"/>
        <v/>
      </c>
      <c r="Z276" s="6" t="str">
        <f>IF(H276&lt;&gt;"",Tabela1[[#This Row],[Iniciais]],"")</f>
        <v/>
      </c>
      <c r="AB276" s="6" t="str">
        <f>IF($H276&lt;&gt;"",RIGHT(Tabela1[[#This Row],[Ref.]],2),"")</f>
        <v/>
      </c>
      <c r="AC276" s="37" t="str">
        <f>IF($H276&lt;&gt;"",DATE(LEFT(Tabela1[[#This Row],[Ref.]],4),RIGHT(Tabela1[[#This Row],[Ref.]],2),1),"")</f>
        <v/>
      </c>
      <c r="AD276" s="4" t="str">
        <f t="shared" si="25"/>
        <v/>
      </c>
      <c r="AE276" s="5" t="str">
        <f t="shared" si="26"/>
        <v/>
      </c>
      <c r="AF276" s="4"/>
      <c r="AG276" s="6" t="str">
        <f t="shared" si="27"/>
        <v/>
      </c>
    </row>
    <row r="277" spans="1:33" ht="15.75" customHeight="1" x14ac:dyDescent="0.2">
      <c r="A277" s="35"/>
      <c r="B277" s="44"/>
      <c r="C277" s="35"/>
      <c r="D277" s="35"/>
      <c r="E277" s="48"/>
      <c r="F277" s="45"/>
      <c r="G277" s="38"/>
      <c r="H277" s="45"/>
      <c r="I277" s="45"/>
      <c r="L277" s="19"/>
      <c r="N277" s="25"/>
      <c r="O277" s="25"/>
      <c r="P277" s="27"/>
      <c r="R277" s="6" t="str">
        <f>IF($H277&lt;&gt;"",RIGHT(Tabela1[[#This Row],[Ref.]],2),"")</f>
        <v/>
      </c>
      <c r="S277" s="6" t="str">
        <f t="shared" si="24"/>
        <v/>
      </c>
      <c r="T277" s="4" t="str">
        <f>IF($H277&lt;&gt;"",_xlfn.XLOOKUP(H277,Naturezas!B:B,Naturezas!E:E,"",0,1),"")</f>
        <v/>
      </c>
      <c r="U277" s="4" t="str">
        <f>IF($H277&lt;&gt;"",_xlfn.XLOOKUP($H277,Naturezas!B:B,Naturezas!D:D,"",0,1),"")</f>
        <v/>
      </c>
      <c r="V277" s="5" t="str">
        <f>IF(H277&lt;&gt;"",IF(OR(H277=Naturezas!$B$3,H277=Naturezas!$B$4,H277=Naturezas!$B$5,H277=Naturezas!$B$17,H277=Naturezas!$B$18,H277=Naturezas!$B$19),G277,-G277),"")</f>
        <v/>
      </c>
      <c r="W277" s="4" t="str">
        <f t="shared" si="28"/>
        <v/>
      </c>
      <c r="X277" s="4"/>
      <c r="Y277" s="4" t="str">
        <f t="shared" si="29"/>
        <v/>
      </c>
      <c r="Z277" s="6" t="str">
        <f>IF(H277&lt;&gt;"",Tabela1[[#This Row],[Iniciais]],"")</f>
        <v/>
      </c>
      <c r="AB277" s="6" t="str">
        <f>IF($H277&lt;&gt;"",RIGHT(Tabela1[[#This Row],[Ref.]],2),"")</f>
        <v/>
      </c>
      <c r="AC277" s="37" t="str">
        <f>IF($H277&lt;&gt;"",DATE(LEFT(Tabela1[[#This Row],[Ref.]],4),RIGHT(Tabela1[[#This Row],[Ref.]],2),1),"")</f>
        <v/>
      </c>
      <c r="AD277" s="4" t="str">
        <f t="shared" si="25"/>
        <v/>
      </c>
      <c r="AE277" s="5" t="str">
        <f t="shared" si="26"/>
        <v/>
      </c>
      <c r="AF277" s="4"/>
      <c r="AG277" s="6" t="str">
        <f t="shared" si="27"/>
        <v/>
      </c>
    </row>
    <row r="278" spans="1:33" ht="15.75" customHeight="1" x14ac:dyDescent="0.2">
      <c r="A278" s="35"/>
      <c r="B278" s="44"/>
      <c r="C278" s="35"/>
      <c r="D278" s="35"/>
      <c r="E278" s="48"/>
      <c r="F278" s="45"/>
      <c r="G278" s="38"/>
      <c r="H278" s="45"/>
      <c r="I278" s="45"/>
      <c r="L278" s="19"/>
      <c r="N278" s="25"/>
      <c r="O278" s="25"/>
      <c r="P278" s="27"/>
      <c r="R278" s="6" t="str">
        <f>IF($H278&lt;&gt;"",RIGHT(Tabela1[[#This Row],[Ref.]],2),"")</f>
        <v/>
      </c>
      <c r="S278" s="6" t="str">
        <f t="shared" si="24"/>
        <v/>
      </c>
      <c r="T278" s="4" t="str">
        <f>IF($H278&lt;&gt;"",_xlfn.XLOOKUP(H278,Naturezas!B:B,Naturezas!E:E,"",0,1),"")</f>
        <v/>
      </c>
      <c r="U278" s="4" t="str">
        <f>IF($H278&lt;&gt;"",_xlfn.XLOOKUP($H278,Naturezas!B:B,Naturezas!D:D,"",0,1),"")</f>
        <v/>
      </c>
      <c r="V278" s="5" t="str">
        <f>IF(H278&lt;&gt;"",IF(OR(H278=Naturezas!$B$3,H278=Naturezas!$B$4,H278=Naturezas!$B$5,H278=Naturezas!$B$17,H278=Naturezas!$B$18,H278=Naturezas!$B$19),G278,-G278),"")</f>
        <v/>
      </c>
      <c r="W278" s="4" t="str">
        <f t="shared" si="28"/>
        <v/>
      </c>
      <c r="X278" s="4"/>
      <c r="Y278" s="4" t="str">
        <f t="shared" si="29"/>
        <v/>
      </c>
      <c r="Z278" s="6" t="str">
        <f>IF(H278&lt;&gt;"",Tabela1[[#This Row],[Iniciais]],"")</f>
        <v/>
      </c>
      <c r="AB278" s="6" t="str">
        <f>IF($H278&lt;&gt;"",RIGHT(Tabela1[[#This Row],[Ref.]],2),"")</f>
        <v/>
      </c>
      <c r="AC278" s="37" t="str">
        <f>IF($H278&lt;&gt;"",DATE(LEFT(Tabela1[[#This Row],[Ref.]],4),RIGHT(Tabela1[[#This Row],[Ref.]],2),1),"")</f>
        <v/>
      </c>
      <c r="AD278" s="4" t="str">
        <f t="shared" si="25"/>
        <v/>
      </c>
      <c r="AE278" s="5" t="str">
        <f t="shared" si="26"/>
        <v/>
      </c>
      <c r="AF278" s="4"/>
      <c r="AG278" s="6" t="str">
        <f t="shared" si="27"/>
        <v/>
      </c>
    </row>
    <row r="279" spans="1:33" ht="15.75" customHeight="1" x14ac:dyDescent="0.2">
      <c r="A279" s="35"/>
      <c r="B279" s="44"/>
      <c r="C279" s="35"/>
      <c r="D279" s="35"/>
      <c r="E279" s="48"/>
      <c r="F279" s="45"/>
      <c r="G279" s="38"/>
      <c r="H279" s="45"/>
      <c r="I279" s="45"/>
      <c r="L279" s="19"/>
      <c r="N279" s="25"/>
      <c r="O279" s="25"/>
      <c r="P279" s="27"/>
      <c r="R279" s="6" t="str">
        <f>IF($H279&lt;&gt;"",RIGHT(Tabela1[[#This Row],[Ref.]],2),"")</f>
        <v/>
      </c>
      <c r="S279" s="6" t="str">
        <f t="shared" si="24"/>
        <v/>
      </c>
      <c r="T279" s="4" t="str">
        <f>IF($H279&lt;&gt;"",_xlfn.XLOOKUP(H279,Naturezas!B:B,Naturezas!E:E,"",0,1),"")</f>
        <v/>
      </c>
      <c r="U279" s="4" t="str">
        <f>IF($H279&lt;&gt;"",_xlfn.XLOOKUP($H279,Naturezas!B:B,Naturezas!D:D,"",0,1),"")</f>
        <v/>
      </c>
      <c r="V279" s="5" t="str">
        <f>IF(H279&lt;&gt;"",IF(OR(H279=Naturezas!$B$3,H279=Naturezas!$B$4,H279=Naturezas!$B$5,H279=Naturezas!$B$17,H279=Naturezas!$B$18,H279=Naturezas!$B$19),G279,-G279),"")</f>
        <v/>
      </c>
      <c r="W279" s="4" t="str">
        <f t="shared" si="28"/>
        <v/>
      </c>
      <c r="X279" s="4"/>
      <c r="Y279" s="4" t="str">
        <f t="shared" si="29"/>
        <v/>
      </c>
      <c r="Z279" s="6" t="str">
        <f>IF(H279&lt;&gt;"",Tabela1[[#This Row],[Iniciais]],"")</f>
        <v/>
      </c>
      <c r="AB279" s="6" t="str">
        <f>IF($H279&lt;&gt;"",RIGHT(Tabela1[[#This Row],[Ref.]],2),"")</f>
        <v/>
      </c>
      <c r="AC279" s="37" t="str">
        <f>IF($H279&lt;&gt;"",DATE(LEFT(Tabela1[[#This Row],[Ref.]],4),RIGHT(Tabela1[[#This Row],[Ref.]],2),1),"")</f>
        <v/>
      </c>
      <c r="AD279" s="4" t="str">
        <f t="shared" si="25"/>
        <v/>
      </c>
      <c r="AE279" s="5" t="str">
        <f t="shared" si="26"/>
        <v/>
      </c>
      <c r="AF279" s="4"/>
      <c r="AG279" s="6" t="str">
        <f t="shared" si="27"/>
        <v/>
      </c>
    </row>
    <row r="280" spans="1:33" ht="15.75" customHeight="1" x14ac:dyDescent="0.2">
      <c r="A280" s="35"/>
      <c r="B280" s="44"/>
      <c r="C280" s="35"/>
      <c r="D280" s="35"/>
      <c r="E280" s="48"/>
      <c r="F280" s="45"/>
      <c r="G280" s="38"/>
      <c r="H280" s="45"/>
      <c r="I280" s="45"/>
      <c r="L280" s="19"/>
      <c r="N280" s="25"/>
      <c r="O280" s="25"/>
      <c r="P280" s="27"/>
      <c r="R280" s="6" t="str">
        <f>IF($H280&lt;&gt;"",RIGHT(Tabela1[[#This Row],[Ref.]],2),"")</f>
        <v/>
      </c>
      <c r="S280" s="6" t="str">
        <f t="shared" si="24"/>
        <v/>
      </c>
      <c r="T280" s="4" t="str">
        <f>IF($H280&lt;&gt;"",_xlfn.XLOOKUP(H280,Naturezas!B:B,Naturezas!E:E,"",0,1),"")</f>
        <v/>
      </c>
      <c r="U280" s="4" t="str">
        <f>IF($H280&lt;&gt;"",_xlfn.XLOOKUP($H280,Naturezas!B:B,Naturezas!D:D,"",0,1),"")</f>
        <v/>
      </c>
      <c r="V280" s="5" t="str">
        <f>IF(H280&lt;&gt;"",IF(OR(H280=Naturezas!$B$3,H280=Naturezas!$B$4,H280=Naturezas!$B$5,H280=Naturezas!$B$17,H280=Naturezas!$B$18,H280=Naturezas!$B$19),G280,-G280),"")</f>
        <v/>
      </c>
      <c r="W280" s="4" t="str">
        <f t="shared" si="28"/>
        <v/>
      </c>
      <c r="X280" s="4"/>
      <c r="Y280" s="4" t="str">
        <f t="shared" si="29"/>
        <v/>
      </c>
      <c r="Z280" s="6" t="str">
        <f>IF(H280&lt;&gt;"",Tabela1[[#This Row],[Iniciais]],"")</f>
        <v/>
      </c>
      <c r="AB280" s="6" t="str">
        <f>IF($H280&lt;&gt;"",RIGHT(Tabela1[[#This Row],[Ref.]],2),"")</f>
        <v/>
      </c>
      <c r="AC280" s="37" t="str">
        <f>IF($H280&lt;&gt;"",DATE(LEFT(Tabela1[[#This Row],[Ref.]],4),RIGHT(Tabela1[[#This Row],[Ref.]],2),1),"")</f>
        <v/>
      </c>
      <c r="AD280" s="4" t="str">
        <f t="shared" si="25"/>
        <v/>
      </c>
      <c r="AE280" s="5" t="str">
        <f t="shared" si="26"/>
        <v/>
      </c>
      <c r="AF280" s="4"/>
      <c r="AG280" s="6" t="str">
        <f t="shared" si="27"/>
        <v/>
      </c>
    </row>
    <row r="281" spans="1:33" ht="15.75" customHeight="1" x14ac:dyDescent="0.2">
      <c r="A281" s="35"/>
      <c r="B281" s="44"/>
      <c r="C281" s="35"/>
      <c r="D281" s="35"/>
      <c r="E281" s="48"/>
      <c r="F281" s="45"/>
      <c r="G281" s="38"/>
      <c r="H281" s="45"/>
      <c r="I281" s="45"/>
      <c r="L281" s="19"/>
      <c r="N281" s="25"/>
      <c r="O281" s="25"/>
      <c r="P281" s="27"/>
      <c r="R281" s="6" t="str">
        <f>IF($H281&lt;&gt;"",RIGHT(Tabela1[[#This Row],[Ref.]],2),"")</f>
        <v/>
      </c>
      <c r="S281" s="6" t="str">
        <f t="shared" si="24"/>
        <v/>
      </c>
      <c r="T281" s="4" t="str">
        <f>IF($H281&lt;&gt;"",_xlfn.XLOOKUP(H281,Naturezas!B:B,Naturezas!E:E,"",0,1),"")</f>
        <v/>
      </c>
      <c r="U281" s="4" t="str">
        <f>IF($H281&lt;&gt;"",_xlfn.XLOOKUP($H281,Naturezas!B:B,Naturezas!D:D,"",0,1),"")</f>
        <v/>
      </c>
      <c r="V281" s="5" t="str">
        <f>IF(H281&lt;&gt;"",IF(OR(H281=Naturezas!$B$3,H281=Naturezas!$B$4,H281=Naturezas!$B$5,H281=Naturezas!$B$17,H281=Naturezas!$B$18,H281=Naturezas!$B$19),G281,-G281),"")</f>
        <v/>
      </c>
      <c r="W281" s="4" t="str">
        <f t="shared" si="28"/>
        <v/>
      </c>
      <c r="X281" s="4"/>
      <c r="Y281" s="4" t="str">
        <f t="shared" si="29"/>
        <v/>
      </c>
      <c r="Z281" s="6" t="str">
        <f>IF(H281&lt;&gt;"",Tabela1[[#This Row],[Iniciais]],"")</f>
        <v/>
      </c>
      <c r="AB281" s="6" t="str">
        <f>IF($H281&lt;&gt;"",RIGHT(Tabela1[[#This Row],[Ref.]],2),"")</f>
        <v/>
      </c>
      <c r="AC281" s="37" t="str">
        <f>IF($H281&lt;&gt;"",DATE(LEFT(Tabela1[[#This Row],[Ref.]],4),RIGHT(Tabela1[[#This Row],[Ref.]],2),1),"")</f>
        <v/>
      </c>
      <c r="AD281" s="4" t="str">
        <f t="shared" si="25"/>
        <v/>
      </c>
      <c r="AE281" s="5" t="str">
        <f t="shared" si="26"/>
        <v/>
      </c>
      <c r="AF281" s="4"/>
      <c r="AG281" s="6" t="str">
        <f t="shared" si="27"/>
        <v/>
      </c>
    </row>
    <row r="282" spans="1:33" ht="15.75" customHeight="1" x14ac:dyDescent="0.2">
      <c r="A282" s="35"/>
      <c r="B282" s="44"/>
      <c r="C282" s="35"/>
      <c r="D282" s="35"/>
      <c r="E282" s="48"/>
      <c r="F282" s="45"/>
      <c r="G282" s="38"/>
      <c r="H282" s="45"/>
      <c r="I282" s="45"/>
      <c r="L282" s="19"/>
      <c r="N282" s="25"/>
      <c r="O282" s="25"/>
      <c r="P282" s="27"/>
      <c r="R282" s="6" t="str">
        <f>IF($H282&lt;&gt;"",RIGHT(Tabela1[[#This Row],[Ref.]],2),"")</f>
        <v/>
      </c>
      <c r="S282" s="6" t="str">
        <f t="shared" si="24"/>
        <v/>
      </c>
      <c r="T282" s="4" t="str">
        <f>IF($H282&lt;&gt;"",_xlfn.XLOOKUP(H282,Naturezas!B:B,Naturezas!E:E,"",0,1),"")</f>
        <v/>
      </c>
      <c r="U282" s="4" t="str">
        <f>IF($H282&lt;&gt;"",_xlfn.XLOOKUP($H282,Naturezas!B:B,Naturezas!D:D,"",0,1),"")</f>
        <v/>
      </c>
      <c r="V282" s="5" t="str">
        <f>IF(H282&lt;&gt;"",IF(OR(H282=Naturezas!$B$3,H282=Naturezas!$B$4,H282=Naturezas!$B$5,H282=Naturezas!$B$17,H282=Naturezas!$B$18,H282=Naturezas!$B$19),G282,-G282),"")</f>
        <v/>
      </c>
      <c r="W282" s="4" t="str">
        <f t="shared" si="28"/>
        <v/>
      </c>
      <c r="X282" s="4"/>
      <c r="Y282" s="4" t="str">
        <f t="shared" si="29"/>
        <v/>
      </c>
      <c r="Z282" s="6" t="str">
        <f>IF(H282&lt;&gt;"",Tabela1[[#This Row],[Iniciais]],"")</f>
        <v/>
      </c>
      <c r="AB282" s="6" t="str">
        <f>IF($H282&lt;&gt;"",RIGHT(Tabela1[[#This Row],[Ref.]],2),"")</f>
        <v/>
      </c>
      <c r="AC282" s="37" t="str">
        <f>IF($H282&lt;&gt;"",DATE(LEFT(Tabela1[[#This Row],[Ref.]],4),RIGHT(Tabela1[[#This Row],[Ref.]],2),1),"")</f>
        <v/>
      </c>
      <c r="AD282" s="4" t="str">
        <f t="shared" si="25"/>
        <v/>
      </c>
      <c r="AE282" s="5" t="str">
        <f t="shared" si="26"/>
        <v/>
      </c>
      <c r="AF282" s="4"/>
      <c r="AG282" s="6" t="str">
        <f t="shared" si="27"/>
        <v/>
      </c>
    </row>
    <row r="283" spans="1:33" ht="15.75" customHeight="1" x14ac:dyDescent="0.2">
      <c r="A283" s="35"/>
      <c r="B283" s="44"/>
      <c r="C283" s="35"/>
      <c r="D283" s="35"/>
      <c r="E283" s="48"/>
      <c r="F283" s="45"/>
      <c r="G283" s="38"/>
      <c r="H283" s="45"/>
      <c r="I283" s="45"/>
      <c r="L283" s="19"/>
      <c r="N283" s="25"/>
      <c r="O283" s="25"/>
      <c r="P283" s="27"/>
      <c r="R283" s="6" t="str">
        <f>IF($H283&lt;&gt;"",RIGHT(Tabela1[[#This Row],[Ref.]],2),"")</f>
        <v/>
      </c>
      <c r="S283" s="6" t="str">
        <f t="shared" si="24"/>
        <v/>
      </c>
      <c r="T283" s="4" t="str">
        <f>IF($H283&lt;&gt;"",_xlfn.XLOOKUP(H283,Naturezas!B:B,Naturezas!E:E,"",0,1),"")</f>
        <v/>
      </c>
      <c r="U283" s="4" t="str">
        <f>IF($H283&lt;&gt;"",_xlfn.XLOOKUP($H283,Naturezas!B:B,Naturezas!D:D,"",0,1),"")</f>
        <v/>
      </c>
      <c r="V283" s="5" t="str">
        <f>IF(H283&lt;&gt;"",IF(OR(H283=Naturezas!$B$3,H283=Naturezas!$B$4,H283=Naturezas!$B$5,H283=Naturezas!$B$17,H283=Naturezas!$B$18,H283=Naturezas!$B$19),G283,-G283),"")</f>
        <v/>
      </c>
      <c r="W283" s="4" t="str">
        <f t="shared" si="28"/>
        <v/>
      </c>
      <c r="X283" s="4"/>
      <c r="Y283" s="4" t="str">
        <f t="shared" si="29"/>
        <v/>
      </c>
      <c r="Z283" s="6" t="str">
        <f>IF(H283&lt;&gt;"",Tabela1[[#This Row],[Iniciais]],"")</f>
        <v/>
      </c>
      <c r="AB283" s="6" t="str">
        <f>IF($H283&lt;&gt;"",RIGHT(Tabela1[[#This Row],[Ref.]],2),"")</f>
        <v/>
      </c>
      <c r="AC283" s="37" t="str">
        <f>IF($H283&lt;&gt;"",DATE(LEFT(Tabela1[[#This Row],[Ref.]],4),RIGHT(Tabela1[[#This Row],[Ref.]],2),1),"")</f>
        <v/>
      </c>
      <c r="AD283" s="4" t="str">
        <f t="shared" si="25"/>
        <v/>
      </c>
      <c r="AE283" s="5" t="str">
        <f t="shared" si="26"/>
        <v/>
      </c>
      <c r="AF283" s="4"/>
      <c r="AG283" s="6" t="str">
        <f t="shared" si="27"/>
        <v/>
      </c>
    </row>
    <row r="284" spans="1:33" ht="15.75" customHeight="1" x14ac:dyDescent="0.2">
      <c r="A284" s="35"/>
      <c r="B284" s="44"/>
      <c r="C284" s="35"/>
      <c r="D284" s="35"/>
      <c r="E284" s="48"/>
      <c r="F284" s="45"/>
      <c r="G284" s="38"/>
      <c r="H284" s="45"/>
      <c r="I284" s="45"/>
      <c r="L284" s="19"/>
      <c r="N284" s="25"/>
      <c r="O284" s="25"/>
      <c r="P284" s="27"/>
      <c r="R284" s="6" t="str">
        <f>IF($H284&lt;&gt;"",RIGHT(Tabela1[[#This Row],[Ref.]],2),"")</f>
        <v/>
      </c>
      <c r="S284" s="6" t="str">
        <f t="shared" si="24"/>
        <v/>
      </c>
      <c r="T284" s="4" t="str">
        <f>IF($H284&lt;&gt;"",_xlfn.XLOOKUP(H284,Naturezas!B:B,Naturezas!E:E,"",0,1),"")</f>
        <v/>
      </c>
      <c r="U284" s="4" t="str">
        <f>IF($H284&lt;&gt;"",_xlfn.XLOOKUP($H284,Naturezas!B:B,Naturezas!D:D,"",0,1),"")</f>
        <v/>
      </c>
      <c r="V284" s="5" t="str">
        <f>IF(H284&lt;&gt;"",IF(OR(H284=Naturezas!$B$3,H284=Naturezas!$B$4,H284=Naturezas!$B$5,H284=Naturezas!$B$17,H284=Naturezas!$B$18,H284=Naturezas!$B$19),G284,-G284),"")</f>
        <v/>
      </c>
      <c r="W284" s="4" t="str">
        <f t="shared" si="28"/>
        <v/>
      </c>
      <c r="X284" s="4"/>
      <c r="Y284" s="4" t="str">
        <f t="shared" si="29"/>
        <v/>
      </c>
      <c r="Z284" s="6" t="str">
        <f>IF(H284&lt;&gt;"",Tabela1[[#This Row],[Iniciais]],"")</f>
        <v/>
      </c>
      <c r="AB284" s="6" t="str">
        <f>IF($H284&lt;&gt;"",RIGHT(Tabela1[[#This Row],[Ref.]],2),"")</f>
        <v/>
      </c>
      <c r="AC284" s="37" t="str">
        <f>IF($H284&lt;&gt;"",DATE(LEFT(Tabela1[[#This Row],[Ref.]],4),RIGHT(Tabela1[[#This Row],[Ref.]],2),1),"")</f>
        <v/>
      </c>
      <c r="AD284" s="4" t="str">
        <f t="shared" si="25"/>
        <v/>
      </c>
      <c r="AE284" s="5" t="str">
        <f t="shared" si="26"/>
        <v/>
      </c>
      <c r="AF284" s="4"/>
      <c r="AG284" s="6" t="str">
        <f t="shared" si="27"/>
        <v/>
      </c>
    </row>
    <row r="285" spans="1:33" ht="15.75" customHeight="1" x14ac:dyDescent="0.2">
      <c r="A285" s="35"/>
      <c r="B285" s="44"/>
      <c r="C285" s="35"/>
      <c r="D285" s="35"/>
      <c r="E285" s="48"/>
      <c r="F285" s="45"/>
      <c r="G285" s="38"/>
      <c r="H285" s="45"/>
      <c r="I285" s="45"/>
      <c r="L285" s="19"/>
      <c r="N285" s="25"/>
      <c r="O285" s="25"/>
      <c r="P285" s="27"/>
      <c r="R285" s="6" t="str">
        <f>IF($H285&lt;&gt;"",RIGHT(Tabela1[[#This Row],[Ref.]],2),"")</f>
        <v/>
      </c>
      <c r="S285" s="6" t="str">
        <f t="shared" si="24"/>
        <v/>
      </c>
      <c r="T285" s="4" t="str">
        <f>IF($H285&lt;&gt;"",_xlfn.XLOOKUP(H285,Naturezas!B:B,Naturezas!E:E,"",0,1),"")</f>
        <v/>
      </c>
      <c r="U285" s="4" t="str">
        <f>IF($H285&lt;&gt;"",_xlfn.XLOOKUP($H285,Naturezas!B:B,Naturezas!D:D,"",0,1),"")</f>
        <v/>
      </c>
      <c r="V285" s="5" t="str">
        <f>IF(H285&lt;&gt;"",IF(OR(H285=Naturezas!$B$3,H285=Naturezas!$B$4,H285=Naturezas!$B$5,H285=Naturezas!$B$17,H285=Naturezas!$B$18,H285=Naturezas!$B$19),G285,-G285),"")</f>
        <v/>
      </c>
      <c r="W285" s="4" t="str">
        <f t="shared" si="28"/>
        <v/>
      </c>
      <c r="X285" s="4"/>
      <c r="Y285" s="4" t="str">
        <f t="shared" si="29"/>
        <v/>
      </c>
      <c r="Z285" s="6" t="str">
        <f>IF(H285&lt;&gt;"",Tabela1[[#This Row],[Iniciais]],"")</f>
        <v/>
      </c>
      <c r="AB285" s="6" t="str">
        <f>IF($H285&lt;&gt;"",RIGHT(Tabela1[[#This Row],[Ref.]],2),"")</f>
        <v/>
      </c>
      <c r="AC285" s="37" t="str">
        <f>IF($H285&lt;&gt;"",DATE(LEFT(Tabela1[[#This Row],[Ref.]],4),RIGHT(Tabela1[[#This Row],[Ref.]],2),1),"")</f>
        <v/>
      </c>
      <c r="AD285" s="4" t="str">
        <f t="shared" si="25"/>
        <v/>
      </c>
      <c r="AE285" s="5" t="str">
        <f t="shared" si="26"/>
        <v/>
      </c>
      <c r="AF285" s="4"/>
      <c r="AG285" s="6" t="str">
        <f t="shared" si="27"/>
        <v/>
      </c>
    </row>
    <row r="286" spans="1:33" ht="15.75" customHeight="1" x14ac:dyDescent="0.2">
      <c r="A286" s="35"/>
      <c r="B286" s="44"/>
      <c r="C286" s="35"/>
      <c r="D286" s="35"/>
      <c r="E286" s="48"/>
      <c r="F286" s="45"/>
      <c r="G286" s="38"/>
      <c r="H286" s="45"/>
      <c r="I286" s="45"/>
      <c r="L286" s="19"/>
      <c r="N286" s="25"/>
      <c r="O286" s="25"/>
      <c r="P286" s="27"/>
      <c r="R286" s="6" t="str">
        <f>IF($H286&lt;&gt;"",RIGHT(Tabela1[[#This Row],[Ref.]],2),"")</f>
        <v/>
      </c>
      <c r="S286" s="6" t="str">
        <f t="shared" si="24"/>
        <v/>
      </c>
      <c r="T286" s="4" t="str">
        <f>IF($H286&lt;&gt;"",_xlfn.XLOOKUP(H286,Naturezas!B:B,Naturezas!E:E,"",0,1),"")</f>
        <v/>
      </c>
      <c r="U286" s="4" t="str">
        <f>IF($H286&lt;&gt;"",_xlfn.XLOOKUP($H286,Naturezas!B:B,Naturezas!D:D,"",0,1),"")</f>
        <v/>
      </c>
      <c r="V286" s="5" t="str">
        <f>IF(H286&lt;&gt;"",IF(OR(H286=Naturezas!$B$3,H286=Naturezas!$B$4,H286=Naturezas!$B$5,H286=Naturezas!$B$17,H286=Naturezas!$B$18,H286=Naturezas!$B$19),G286,-G286),"")</f>
        <v/>
      </c>
      <c r="W286" s="4" t="str">
        <f t="shared" si="28"/>
        <v/>
      </c>
      <c r="X286" s="4"/>
      <c r="Y286" s="4" t="str">
        <f t="shared" si="29"/>
        <v/>
      </c>
      <c r="Z286" s="6" t="str">
        <f>IF(H286&lt;&gt;"",Tabela1[[#This Row],[Iniciais]],"")</f>
        <v/>
      </c>
      <c r="AB286" s="6" t="str">
        <f>IF($H286&lt;&gt;"",RIGHT(Tabela1[[#This Row],[Ref.]],2),"")</f>
        <v/>
      </c>
      <c r="AC286" s="37" t="str">
        <f>IF($H286&lt;&gt;"",DATE(LEFT(Tabela1[[#This Row],[Ref.]],4),RIGHT(Tabela1[[#This Row],[Ref.]],2),1),"")</f>
        <v/>
      </c>
      <c r="AD286" s="4" t="str">
        <f t="shared" si="25"/>
        <v/>
      </c>
      <c r="AE286" s="5" t="str">
        <f t="shared" si="26"/>
        <v/>
      </c>
      <c r="AF286" s="4"/>
      <c r="AG286" s="6" t="str">
        <f t="shared" si="27"/>
        <v/>
      </c>
    </row>
    <row r="287" spans="1:33" ht="15.75" customHeight="1" x14ac:dyDescent="0.2">
      <c r="A287" s="35"/>
      <c r="B287" s="44"/>
      <c r="C287" s="35"/>
      <c r="D287" s="35"/>
      <c r="E287" s="48"/>
      <c r="F287" s="45"/>
      <c r="G287" s="38"/>
      <c r="H287" s="45"/>
      <c r="I287" s="45"/>
      <c r="L287" s="19"/>
      <c r="N287" s="25"/>
      <c r="O287" s="25"/>
      <c r="P287" s="27"/>
      <c r="R287" s="6" t="str">
        <f>IF($H287&lt;&gt;"",RIGHT(Tabela1[[#This Row],[Ref.]],2),"")</f>
        <v/>
      </c>
      <c r="S287" s="6" t="str">
        <f t="shared" si="24"/>
        <v/>
      </c>
      <c r="T287" s="4" t="str">
        <f>IF($H287&lt;&gt;"",_xlfn.XLOOKUP(H287,Naturezas!B:B,Naturezas!E:E,"",0,1),"")</f>
        <v/>
      </c>
      <c r="U287" s="4" t="str">
        <f>IF($H287&lt;&gt;"",_xlfn.XLOOKUP($H287,Naturezas!B:B,Naturezas!D:D,"",0,1),"")</f>
        <v/>
      </c>
      <c r="V287" s="5" t="str">
        <f>IF(H287&lt;&gt;"",IF(OR(H287=Naturezas!$B$3,H287=Naturezas!$B$4,H287=Naturezas!$B$5,H287=Naturezas!$B$17,H287=Naturezas!$B$18,H287=Naturezas!$B$19),G287,-G287),"")</f>
        <v/>
      </c>
      <c r="W287" s="4" t="str">
        <f t="shared" si="28"/>
        <v/>
      </c>
      <c r="X287" s="4"/>
      <c r="Y287" s="4" t="str">
        <f t="shared" si="29"/>
        <v/>
      </c>
      <c r="Z287" s="6" t="str">
        <f>IF(H287&lt;&gt;"",Tabela1[[#This Row],[Iniciais]],"")</f>
        <v/>
      </c>
      <c r="AB287" s="6" t="str">
        <f>IF($H287&lt;&gt;"",RIGHT(Tabela1[[#This Row],[Ref.]],2),"")</f>
        <v/>
      </c>
      <c r="AC287" s="37" t="str">
        <f>IF($H287&lt;&gt;"",DATE(LEFT(Tabela1[[#This Row],[Ref.]],4),RIGHT(Tabela1[[#This Row],[Ref.]],2),1),"")</f>
        <v/>
      </c>
      <c r="AD287" s="4" t="str">
        <f t="shared" si="25"/>
        <v/>
      </c>
      <c r="AE287" s="5" t="str">
        <f t="shared" si="26"/>
        <v/>
      </c>
      <c r="AF287" s="4"/>
      <c r="AG287" s="6" t="str">
        <f t="shared" si="27"/>
        <v/>
      </c>
    </row>
    <row r="288" spans="1:33" ht="15.75" customHeight="1" x14ac:dyDescent="0.2">
      <c r="A288" s="35"/>
      <c r="B288" s="44"/>
      <c r="C288" s="35"/>
      <c r="D288" s="35"/>
      <c r="E288" s="48"/>
      <c r="F288" s="45"/>
      <c r="G288" s="38"/>
      <c r="H288" s="45"/>
      <c r="I288" s="45"/>
      <c r="L288" s="19"/>
      <c r="N288" s="25"/>
      <c r="O288" s="25"/>
      <c r="P288" s="27"/>
      <c r="R288" s="6" t="str">
        <f>IF($H288&lt;&gt;"",RIGHT(Tabela1[[#This Row],[Ref.]],2),"")</f>
        <v/>
      </c>
      <c r="S288" s="6" t="str">
        <f t="shared" si="24"/>
        <v/>
      </c>
      <c r="T288" s="4" t="str">
        <f>IF($H288&lt;&gt;"",_xlfn.XLOOKUP(H288,Naturezas!B:B,Naturezas!E:E,"",0,1),"")</f>
        <v/>
      </c>
      <c r="U288" s="4" t="str">
        <f>IF($H288&lt;&gt;"",_xlfn.XLOOKUP($H288,Naturezas!B:B,Naturezas!D:D,"",0,1),"")</f>
        <v/>
      </c>
      <c r="V288" s="5" t="str">
        <f>IF(H288&lt;&gt;"",IF(OR(H288=Naturezas!$B$3,H288=Naturezas!$B$4,H288=Naturezas!$B$5,H288=Naturezas!$B$17,H288=Naturezas!$B$18,H288=Naturezas!$B$19),G288,-G288),"")</f>
        <v/>
      </c>
      <c r="W288" s="4" t="str">
        <f t="shared" si="28"/>
        <v/>
      </c>
      <c r="X288" s="4"/>
      <c r="Y288" s="4" t="str">
        <f t="shared" si="29"/>
        <v/>
      </c>
      <c r="Z288" s="6" t="str">
        <f>IF(H288&lt;&gt;"",Tabela1[[#This Row],[Iniciais]],"")</f>
        <v/>
      </c>
      <c r="AB288" s="6" t="str">
        <f>IF($H288&lt;&gt;"",RIGHT(Tabela1[[#This Row],[Ref.]],2),"")</f>
        <v/>
      </c>
      <c r="AC288" s="37" t="str">
        <f>IF($H288&lt;&gt;"",DATE(LEFT(Tabela1[[#This Row],[Ref.]],4),RIGHT(Tabela1[[#This Row],[Ref.]],2),1),"")</f>
        <v/>
      </c>
      <c r="AD288" s="4" t="str">
        <f t="shared" si="25"/>
        <v/>
      </c>
      <c r="AE288" s="5" t="str">
        <f t="shared" si="26"/>
        <v/>
      </c>
      <c r="AF288" s="4"/>
      <c r="AG288" s="6" t="str">
        <f t="shared" si="27"/>
        <v/>
      </c>
    </row>
    <row r="289" spans="1:33" ht="15.75" customHeight="1" x14ac:dyDescent="0.2">
      <c r="A289" s="35"/>
      <c r="B289" s="44"/>
      <c r="C289" s="35"/>
      <c r="D289" s="35"/>
      <c r="E289" s="48"/>
      <c r="F289" s="45"/>
      <c r="G289" s="38"/>
      <c r="H289" s="45"/>
      <c r="I289" s="45"/>
      <c r="L289" s="19"/>
      <c r="N289" s="25"/>
      <c r="O289" s="25"/>
      <c r="P289" s="27"/>
      <c r="R289" s="6" t="str">
        <f>IF($H289&lt;&gt;"",RIGHT(Tabela1[[#This Row],[Ref.]],2),"")</f>
        <v/>
      </c>
      <c r="S289" s="6" t="str">
        <f t="shared" si="24"/>
        <v/>
      </c>
      <c r="T289" s="4" t="str">
        <f>IF($H289&lt;&gt;"",_xlfn.XLOOKUP(H289,Naturezas!B:B,Naturezas!E:E,"",0,1),"")</f>
        <v/>
      </c>
      <c r="U289" s="4" t="str">
        <f>IF($H289&lt;&gt;"",_xlfn.XLOOKUP($H289,Naturezas!B:B,Naturezas!D:D,"",0,1),"")</f>
        <v/>
      </c>
      <c r="V289" s="5" t="str">
        <f>IF(H289&lt;&gt;"",IF(OR(H289=Naturezas!$B$3,H289=Naturezas!$B$4,H289=Naturezas!$B$5,H289=Naturezas!$B$17,H289=Naturezas!$B$18,H289=Naturezas!$B$19),G289,-G289),"")</f>
        <v/>
      </c>
      <c r="W289" s="4" t="str">
        <f t="shared" si="28"/>
        <v/>
      </c>
      <c r="X289" s="4"/>
      <c r="Y289" s="4" t="str">
        <f t="shared" si="29"/>
        <v/>
      </c>
      <c r="Z289" s="6" t="str">
        <f>IF(H289&lt;&gt;"",Tabela1[[#This Row],[Iniciais]],"")</f>
        <v/>
      </c>
      <c r="AB289" s="6" t="str">
        <f>IF($H289&lt;&gt;"",RIGHT(Tabela1[[#This Row],[Ref.]],2),"")</f>
        <v/>
      </c>
      <c r="AC289" s="37" t="str">
        <f>IF($H289&lt;&gt;"",DATE(LEFT(Tabela1[[#This Row],[Ref.]],4),RIGHT(Tabela1[[#This Row],[Ref.]],2),1),"")</f>
        <v/>
      </c>
      <c r="AD289" s="4" t="str">
        <f t="shared" si="25"/>
        <v/>
      </c>
      <c r="AE289" s="5" t="str">
        <f t="shared" si="26"/>
        <v/>
      </c>
      <c r="AF289" s="4"/>
      <c r="AG289" s="6" t="str">
        <f t="shared" si="27"/>
        <v/>
      </c>
    </row>
    <row r="290" spans="1:33" ht="15.75" customHeight="1" x14ac:dyDescent="0.2">
      <c r="A290" s="35"/>
      <c r="B290" s="44"/>
      <c r="C290" s="35"/>
      <c r="D290" s="35"/>
      <c r="E290" s="48"/>
      <c r="F290" s="45"/>
      <c r="G290" s="38"/>
      <c r="H290" s="45"/>
      <c r="I290" s="45"/>
      <c r="L290" s="19"/>
      <c r="N290" s="25"/>
      <c r="O290" s="25"/>
      <c r="P290" s="27"/>
      <c r="R290" s="6" t="str">
        <f>IF($H290&lt;&gt;"",RIGHT(Tabela1[[#This Row],[Ref.]],2),"")</f>
        <v/>
      </c>
      <c r="S290" s="6" t="str">
        <f t="shared" si="24"/>
        <v/>
      </c>
      <c r="T290" s="4" t="str">
        <f>IF($H290&lt;&gt;"",_xlfn.XLOOKUP(H290,Naturezas!B:B,Naturezas!E:E,"",0,1),"")</f>
        <v/>
      </c>
      <c r="U290" s="4" t="str">
        <f>IF($H290&lt;&gt;"",_xlfn.XLOOKUP($H290,Naturezas!B:B,Naturezas!D:D,"",0,1),"")</f>
        <v/>
      </c>
      <c r="V290" s="5" t="str">
        <f>IF(H290&lt;&gt;"",IF(OR(H290=Naturezas!$B$3,H290=Naturezas!$B$4,H290=Naturezas!$B$5,H290=Naturezas!$B$17,H290=Naturezas!$B$18,H290=Naturezas!$B$19),G290,-G290),"")</f>
        <v/>
      </c>
      <c r="W290" s="4" t="str">
        <f t="shared" si="28"/>
        <v/>
      </c>
      <c r="X290" s="4"/>
      <c r="Y290" s="4" t="str">
        <f t="shared" si="29"/>
        <v/>
      </c>
      <c r="Z290" s="6" t="str">
        <f>IF(H290&lt;&gt;"",Tabela1[[#This Row],[Iniciais]],"")</f>
        <v/>
      </c>
      <c r="AB290" s="6" t="str">
        <f>IF($H290&lt;&gt;"",RIGHT(Tabela1[[#This Row],[Ref.]],2),"")</f>
        <v/>
      </c>
      <c r="AC290" s="37" t="str">
        <f>IF($H290&lt;&gt;"",DATE(LEFT(Tabela1[[#This Row],[Ref.]],4),RIGHT(Tabela1[[#This Row],[Ref.]],2),1),"")</f>
        <v/>
      </c>
      <c r="AD290" s="4" t="str">
        <f t="shared" si="25"/>
        <v/>
      </c>
      <c r="AE290" s="5" t="str">
        <f t="shared" si="26"/>
        <v/>
      </c>
      <c r="AF290" s="4"/>
      <c r="AG290" s="6" t="str">
        <f t="shared" si="27"/>
        <v/>
      </c>
    </row>
    <row r="291" spans="1:33" ht="15.75" customHeight="1" x14ac:dyDescent="0.2">
      <c r="A291" s="35"/>
      <c r="B291" s="44"/>
      <c r="C291" s="35"/>
      <c r="D291" s="35"/>
      <c r="E291" s="48"/>
      <c r="F291" s="45"/>
      <c r="G291" s="38"/>
      <c r="H291" s="45"/>
      <c r="I291" s="45"/>
      <c r="L291" s="19"/>
      <c r="N291" s="25"/>
      <c r="O291" s="25"/>
      <c r="P291" s="27"/>
      <c r="R291" s="6" t="str">
        <f>IF($H291&lt;&gt;"",RIGHT(Tabela1[[#This Row],[Ref.]],2),"")</f>
        <v/>
      </c>
      <c r="S291" s="6" t="str">
        <f t="shared" si="24"/>
        <v/>
      </c>
      <c r="T291" s="4" t="str">
        <f>IF($H291&lt;&gt;"",_xlfn.XLOOKUP(H291,Naturezas!B:B,Naturezas!E:E,"",0,1),"")</f>
        <v/>
      </c>
      <c r="U291" s="4" t="str">
        <f>IF($H291&lt;&gt;"",_xlfn.XLOOKUP($H291,Naturezas!B:B,Naturezas!D:D,"",0,1),"")</f>
        <v/>
      </c>
      <c r="V291" s="5" t="str">
        <f>IF(H291&lt;&gt;"",IF(OR(H291=Naturezas!$B$3,H291=Naturezas!$B$4,H291=Naturezas!$B$5,H291=Naturezas!$B$17,H291=Naturezas!$B$18,H291=Naturezas!$B$19),G291,-G291),"")</f>
        <v/>
      </c>
      <c r="W291" s="4" t="str">
        <f t="shared" si="28"/>
        <v/>
      </c>
      <c r="X291" s="4"/>
      <c r="Y291" s="4" t="str">
        <f t="shared" si="29"/>
        <v/>
      </c>
      <c r="Z291" s="6" t="str">
        <f>IF(H291&lt;&gt;"",Tabela1[[#This Row],[Iniciais]],"")</f>
        <v/>
      </c>
      <c r="AB291" s="6" t="str">
        <f>IF($H291&lt;&gt;"",RIGHT(Tabela1[[#This Row],[Ref.]],2),"")</f>
        <v/>
      </c>
      <c r="AC291" s="37" t="str">
        <f>IF($H291&lt;&gt;"",DATE(LEFT(Tabela1[[#This Row],[Ref.]],4),RIGHT(Tabela1[[#This Row],[Ref.]],2),1),"")</f>
        <v/>
      </c>
      <c r="AD291" s="4" t="str">
        <f t="shared" si="25"/>
        <v/>
      </c>
      <c r="AE291" s="5" t="str">
        <f t="shared" si="26"/>
        <v/>
      </c>
      <c r="AF291" s="4"/>
      <c r="AG291" s="6" t="str">
        <f t="shared" si="27"/>
        <v/>
      </c>
    </row>
    <row r="292" spans="1:33" ht="15.75" customHeight="1" x14ac:dyDescent="0.2">
      <c r="A292" s="35"/>
      <c r="B292" s="44"/>
      <c r="C292" s="35"/>
      <c r="D292" s="35"/>
      <c r="E292" s="48"/>
      <c r="F292" s="45"/>
      <c r="G292" s="38"/>
      <c r="H292" s="45"/>
      <c r="I292" s="45"/>
      <c r="L292" s="19"/>
      <c r="N292" s="25"/>
      <c r="O292" s="25"/>
      <c r="P292" s="27"/>
      <c r="R292" s="6" t="str">
        <f>IF($H292&lt;&gt;"",RIGHT(Tabela1[[#This Row],[Ref.]],2),"")</f>
        <v/>
      </c>
      <c r="S292" s="6" t="str">
        <f t="shared" si="24"/>
        <v/>
      </c>
      <c r="T292" s="4" t="str">
        <f>IF($H292&lt;&gt;"",_xlfn.XLOOKUP(H292,Naturezas!B:B,Naturezas!E:E,"",0,1),"")</f>
        <v/>
      </c>
      <c r="U292" s="4" t="str">
        <f>IF($H292&lt;&gt;"",_xlfn.XLOOKUP($H292,Naturezas!B:B,Naturezas!D:D,"",0,1),"")</f>
        <v/>
      </c>
      <c r="V292" s="5" t="str">
        <f>IF(H292&lt;&gt;"",IF(OR(H292=Naturezas!$B$3,H292=Naturezas!$B$4,H292=Naturezas!$B$5,H292=Naturezas!$B$17,H292=Naturezas!$B$18,H292=Naturezas!$B$19),G292,-G292),"")</f>
        <v/>
      </c>
      <c r="W292" s="4" t="str">
        <f t="shared" si="28"/>
        <v/>
      </c>
      <c r="X292" s="4"/>
      <c r="Y292" s="4" t="str">
        <f t="shared" si="29"/>
        <v/>
      </c>
      <c r="Z292" s="6" t="str">
        <f>IF(H292&lt;&gt;"",Tabela1[[#This Row],[Iniciais]],"")</f>
        <v/>
      </c>
      <c r="AB292" s="6" t="str">
        <f>IF($H292&lt;&gt;"",RIGHT(Tabela1[[#This Row],[Ref.]],2),"")</f>
        <v/>
      </c>
      <c r="AC292" s="37" t="str">
        <f>IF($H292&lt;&gt;"",DATE(LEFT(Tabela1[[#This Row],[Ref.]],4),RIGHT(Tabela1[[#This Row],[Ref.]],2),1),"")</f>
        <v/>
      </c>
      <c r="AD292" s="4" t="str">
        <f t="shared" si="25"/>
        <v/>
      </c>
      <c r="AE292" s="5" t="str">
        <f t="shared" si="26"/>
        <v/>
      </c>
      <c r="AF292" s="4"/>
      <c r="AG292" s="6" t="str">
        <f t="shared" si="27"/>
        <v/>
      </c>
    </row>
    <row r="293" spans="1:33" ht="15.75" customHeight="1" x14ac:dyDescent="0.2">
      <c r="A293" s="35"/>
      <c r="B293" s="44"/>
      <c r="C293" s="35"/>
      <c r="D293" s="35"/>
      <c r="E293" s="48"/>
      <c r="F293" s="45"/>
      <c r="G293" s="38"/>
      <c r="H293" s="45"/>
      <c r="I293" s="45"/>
      <c r="L293" s="19"/>
      <c r="N293" s="25"/>
      <c r="O293" s="25"/>
      <c r="P293" s="27"/>
      <c r="R293" s="6" t="str">
        <f>IF($H293&lt;&gt;"",RIGHT(Tabela1[[#This Row],[Ref.]],2),"")</f>
        <v/>
      </c>
      <c r="S293" s="6" t="str">
        <f t="shared" si="24"/>
        <v/>
      </c>
      <c r="T293" s="4" t="str">
        <f>IF($H293&lt;&gt;"",_xlfn.XLOOKUP(H293,Naturezas!B:B,Naturezas!E:E,"",0,1),"")</f>
        <v/>
      </c>
      <c r="U293" s="4" t="str">
        <f>IF($H293&lt;&gt;"",_xlfn.XLOOKUP($H293,Naturezas!B:B,Naturezas!D:D,"",0,1),"")</f>
        <v/>
      </c>
      <c r="V293" s="5" t="str">
        <f>IF(H293&lt;&gt;"",IF(OR(H293=Naturezas!$B$3,H293=Naturezas!$B$4,H293=Naturezas!$B$5,H293=Naturezas!$B$17,H293=Naturezas!$B$18,H293=Naturezas!$B$19),G293,-G293),"")</f>
        <v/>
      </c>
      <c r="W293" s="4" t="str">
        <f t="shared" si="28"/>
        <v/>
      </c>
      <c r="X293" s="4"/>
      <c r="Y293" s="4" t="str">
        <f t="shared" si="29"/>
        <v/>
      </c>
      <c r="Z293" s="6" t="str">
        <f>IF(H293&lt;&gt;"",Tabela1[[#This Row],[Iniciais]],"")</f>
        <v/>
      </c>
      <c r="AB293" s="6" t="str">
        <f>IF($H293&lt;&gt;"",RIGHT(Tabela1[[#This Row],[Ref.]],2),"")</f>
        <v/>
      </c>
      <c r="AC293" s="37" t="str">
        <f>IF($H293&lt;&gt;"",DATE(LEFT(Tabela1[[#This Row],[Ref.]],4),RIGHT(Tabela1[[#This Row],[Ref.]],2),1),"")</f>
        <v/>
      </c>
      <c r="AD293" s="4" t="str">
        <f t="shared" si="25"/>
        <v/>
      </c>
      <c r="AE293" s="5" t="str">
        <f t="shared" si="26"/>
        <v/>
      </c>
      <c r="AF293" s="4"/>
      <c r="AG293" s="6" t="str">
        <f t="shared" si="27"/>
        <v/>
      </c>
    </row>
    <row r="294" spans="1:33" ht="15.75" customHeight="1" x14ac:dyDescent="0.2">
      <c r="A294" s="35"/>
      <c r="B294" s="44"/>
      <c r="C294" s="35"/>
      <c r="D294" s="35"/>
      <c r="E294" s="48"/>
      <c r="F294" s="45"/>
      <c r="G294" s="38"/>
      <c r="H294" s="45"/>
      <c r="I294" s="45"/>
      <c r="L294" s="19"/>
      <c r="N294" s="25"/>
      <c r="O294" s="25"/>
      <c r="P294" s="27"/>
      <c r="R294" s="6" t="str">
        <f>IF($H294&lt;&gt;"",RIGHT(Tabela1[[#This Row],[Ref.]],2),"")</f>
        <v/>
      </c>
      <c r="S294" s="6" t="str">
        <f t="shared" si="24"/>
        <v/>
      </c>
      <c r="T294" s="4" t="str">
        <f>IF($H294&lt;&gt;"",_xlfn.XLOOKUP(H294,Naturezas!B:B,Naturezas!E:E,"",0,1),"")</f>
        <v/>
      </c>
      <c r="U294" s="4" t="str">
        <f>IF($H294&lt;&gt;"",_xlfn.XLOOKUP($H294,Naturezas!B:B,Naturezas!D:D,"",0,1),"")</f>
        <v/>
      </c>
      <c r="V294" s="5" t="str">
        <f>IF(H294&lt;&gt;"",IF(OR(H294=Naturezas!$B$3,H294=Naturezas!$B$4,H294=Naturezas!$B$5,H294=Naturezas!$B$17,H294=Naturezas!$B$18,H294=Naturezas!$B$19),G294,-G294),"")</f>
        <v/>
      </c>
      <c r="W294" s="4" t="str">
        <f t="shared" si="28"/>
        <v/>
      </c>
      <c r="X294" s="4"/>
      <c r="Y294" s="4" t="str">
        <f t="shared" si="29"/>
        <v/>
      </c>
      <c r="Z294" s="6" t="str">
        <f>IF(H294&lt;&gt;"",Tabela1[[#This Row],[Iniciais]],"")</f>
        <v/>
      </c>
      <c r="AB294" s="6" t="str">
        <f>IF($H294&lt;&gt;"",RIGHT(Tabela1[[#This Row],[Ref.]],2),"")</f>
        <v/>
      </c>
      <c r="AC294" s="37" t="str">
        <f>IF($H294&lt;&gt;"",DATE(LEFT(Tabela1[[#This Row],[Ref.]],4),RIGHT(Tabela1[[#This Row],[Ref.]],2),1),"")</f>
        <v/>
      </c>
      <c r="AD294" s="4" t="str">
        <f t="shared" si="25"/>
        <v/>
      </c>
      <c r="AE294" s="5" t="str">
        <f t="shared" si="26"/>
        <v/>
      </c>
      <c r="AF294" s="4"/>
      <c r="AG294" s="6" t="str">
        <f t="shared" si="27"/>
        <v/>
      </c>
    </row>
    <row r="295" spans="1:33" ht="15.75" customHeight="1" x14ac:dyDescent="0.2">
      <c r="A295" s="35"/>
      <c r="B295" s="44"/>
      <c r="C295" s="35"/>
      <c r="D295" s="35"/>
      <c r="E295" s="48"/>
      <c r="F295" s="45"/>
      <c r="G295" s="38"/>
      <c r="H295" s="45"/>
      <c r="I295" s="45"/>
      <c r="L295" s="19"/>
      <c r="N295" s="25"/>
      <c r="O295" s="25"/>
      <c r="P295" s="27"/>
      <c r="R295" s="6" t="str">
        <f>IF($H295&lt;&gt;"",RIGHT(Tabela1[[#This Row],[Ref.]],2),"")</f>
        <v/>
      </c>
      <c r="S295" s="6" t="str">
        <f t="shared" si="24"/>
        <v/>
      </c>
      <c r="T295" s="4" t="str">
        <f>IF($H295&lt;&gt;"",_xlfn.XLOOKUP(H295,Naturezas!B:B,Naturezas!E:E,"",0,1),"")</f>
        <v/>
      </c>
      <c r="U295" s="4" t="str">
        <f>IF($H295&lt;&gt;"",_xlfn.XLOOKUP($H295,Naturezas!B:B,Naturezas!D:D,"",0,1),"")</f>
        <v/>
      </c>
      <c r="V295" s="5" t="str">
        <f>IF(H295&lt;&gt;"",IF(OR(H295=Naturezas!$B$3,H295=Naturezas!$B$4,H295=Naturezas!$B$5,H295=Naturezas!$B$17,H295=Naturezas!$B$18,H295=Naturezas!$B$19),G295,-G295),"")</f>
        <v/>
      </c>
      <c r="W295" s="4" t="str">
        <f t="shared" si="28"/>
        <v/>
      </c>
      <c r="X295" s="4"/>
      <c r="Y295" s="4" t="str">
        <f t="shared" si="29"/>
        <v/>
      </c>
      <c r="Z295" s="6" t="str">
        <f>IF(H295&lt;&gt;"",Tabela1[[#This Row],[Iniciais]],"")</f>
        <v/>
      </c>
      <c r="AB295" s="6" t="str">
        <f>IF($H295&lt;&gt;"",RIGHT(Tabela1[[#This Row],[Ref.]],2),"")</f>
        <v/>
      </c>
      <c r="AC295" s="37" t="str">
        <f>IF($H295&lt;&gt;"",DATE(LEFT(Tabela1[[#This Row],[Ref.]],4),RIGHT(Tabela1[[#This Row],[Ref.]],2),1),"")</f>
        <v/>
      </c>
      <c r="AD295" s="4" t="str">
        <f t="shared" si="25"/>
        <v/>
      </c>
      <c r="AE295" s="5" t="str">
        <f t="shared" si="26"/>
        <v/>
      </c>
      <c r="AF295" s="4"/>
      <c r="AG295" s="6" t="str">
        <f t="shared" si="27"/>
        <v/>
      </c>
    </row>
    <row r="296" spans="1:33" ht="15.75" customHeight="1" x14ac:dyDescent="0.2">
      <c r="A296" s="35"/>
      <c r="B296" s="44"/>
      <c r="C296" s="35"/>
      <c r="D296" s="35"/>
      <c r="E296" s="48"/>
      <c r="F296" s="45"/>
      <c r="G296" s="38"/>
      <c r="H296" s="45"/>
      <c r="I296" s="45"/>
      <c r="L296" s="19"/>
      <c r="N296" s="25"/>
      <c r="O296" s="25"/>
      <c r="P296" s="27"/>
      <c r="R296" s="6" t="str">
        <f>IF($H296&lt;&gt;"",RIGHT(Tabela1[[#This Row],[Ref.]],2),"")</f>
        <v/>
      </c>
      <c r="S296" s="6" t="str">
        <f t="shared" si="24"/>
        <v/>
      </c>
      <c r="T296" s="4" t="str">
        <f>IF($H296&lt;&gt;"",_xlfn.XLOOKUP(H296,Naturezas!B:B,Naturezas!E:E,"",0,1),"")</f>
        <v/>
      </c>
      <c r="U296" s="4" t="str">
        <f>IF($H296&lt;&gt;"",_xlfn.XLOOKUP($H296,Naturezas!B:B,Naturezas!D:D,"",0,1),"")</f>
        <v/>
      </c>
      <c r="V296" s="5" t="str">
        <f>IF(H296&lt;&gt;"",IF(OR(H296=Naturezas!$B$3,H296=Naturezas!$B$4,H296=Naturezas!$B$5,H296=Naturezas!$B$17,H296=Naturezas!$B$18,H296=Naturezas!$B$19),G296,-G296),"")</f>
        <v/>
      </c>
      <c r="W296" s="4" t="str">
        <f t="shared" si="28"/>
        <v/>
      </c>
      <c r="X296" s="4"/>
      <c r="Y296" s="4" t="str">
        <f t="shared" si="29"/>
        <v/>
      </c>
      <c r="Z296" s="6" t="str">
        <f>IF(H296&lt;&gt;"",Tabela1[[#This Row],[Iniciais]],"")</f>
        <v/>
      </c>
      <c r="AB296" s="6" t="str">
        <f>IF($H296&lt;&gt;"",RIGHT(Tabela1[[#This Row],[Ref.]],2),"")</f>
        <v/>
      </c>
      <c r="AC296" s="37" t="str">
        <f>IF($H296&lt;&gt;"",DATE(LEFT(Tabela1[[#This Row],[Ref.]],4),RIGHT(Tabela1[[#This Row],[Ref.]],2),1),"")</f>
        <v/>
      </c>
      <c r="AD296" s="4" t="str">
        <f t="shared" si="25"/>
        <v/>
      </c>
      <c r="AE296" s="5" t="str">
        <f t="shared" si="26"/>
        <v/>
      </c>
      <c r="AF296" s="4"/>
      <c r="AG296" s="6" t="str">
        <f t="shared" si="27"/>
        <v/>
      </c>
    </row>
    <row r="297" spans="1:33" ht="15.75" customHeight="1" x14ac:dyDescent="0.2">
      <c r="A297" s="35"/>
      <c r="B297" s="44"/>
      <c r="C297" s="35"/>
      <c r="D297" s="35"/>
      <c r="E297" s="48"/>
      <c r="F297" s="45"/>
      <c r="G297" s="38"/>
      <c r="H297" s="45"/>
      <c r="I297" s="45"/>
      <c r="L297" s="19"/>
      <c r="N297" s="25"/>
      <c r="O297" s="25"/>
      <c r="P297" s="27"/>
      <c r="R297" s="6" t="str">
        <f>IF($H297&lt;&gt;"",RIGHT(Tabela1[[#This Row],[Ref.]],2),"")</f>
        <v/>
      </c>
      <c r="S297" s="6" t="str">
        <f t="shared" si="24"/>
        <v/>
      </c>
      <c r="T297" s="4" t="str">
        <f>IF($H297&lt;&gt;"",_xlfn.XLOOKUP(H297,Naturezas!B:B,Naturezas!E:E,"",0,1),"")</f>
        <v/>
      </c>
      <c r="U297" s="4" t="str">
        <f>IF($H297&lt;&gt;"",_xlfn.XLOOKUP($H297,Naturezas!B:B,Naturezas!D:D,"",0,1),"")</f>
        <v/>
      </c>
      <c r="V297" s="5" t="str">
        <f>IF(H297&lt;&gt;"",IF(OR(H297=Naturezas!$B$3,H297=Naturezas!$B$4,H297=Naturezas!$B$5,H297=Naturezas!$B$17,H297=Naturezas!$B$18,H297=Naturezas!$B$19),G297,-G297),"")</f>
        <v/>
      </c>
      <c r="W297" s="4" t="str">
        <f t="shared" si="28"/>
        <v/>
      </c>
      <c r="X297" s="4"/>
      <c r="Y297" s="4" t="str">
        <f t="shared" si="29"/>
        <v/>
      </c>
      <c r="Z297" s="6" t="str">
        <f>IF(H297&lt;&gt;"",Tabela1[[#This Row],[Iniciais]],"")</f>
        <v/>
      </c>
      <c r="AB297" s="6" t="str">
        <f>IF($H297&lt;&gt;"",RIGHT(Tabela1[[#This Row],[Ref.]],2),"")</f>
        <v/>
      </c>
      <c r="AC297" s="37" t="str">
        <f>IF($H297&lt;&gt;"",DATE(LEFT(Tabela1[[#This Row],[Ref.]],4),RIGHT(Tabela1[[#This Row],[Ref.]],2),1),"")</f>
        <v/>
      </c>
      <c r="AD297" s="4" t="str">
        <f t="shared" si="25"/>
        <v/>
      </c>
      <c r="AE297" s="5" t="str">
        <f t="shared" si="26"/>
        <v/>
      </c>
      <c r="AF297" s="4"/>
      <c r="AG297" s="6" t="str">
        <f t="shared" si="27"/>
        <v/>
      </c>
    </row>
    <row r="298" spans="1:33" ht="15.75" customHeight="1" x14ac:dyDescent="0.2">
      <c r="A298" s="35"/>
      <c r="B298" s="44"/>
      <c r="C298" s="35"/>
      <c r="D298" s="35"/>
      <c r="E298" s="48"/>
      <c r="F298" s="45"/>
      <c r="G298" s="38"/>
      <c r="H298" s="45"/>
      <c r="I298" s="45"/>
      <c r="L298" s="19"/>
      <c r="N298" s="25"/>
      <c r="O298" s="25"/>
      <c r="P298" s="27"/>
      <c r="R298" s="6" t="str">
        <f>IF($H298&lt;&gt;"",RIGHT(Tabela1[[#This Row],[Ref.]],2),"")</f>
        <v/>
      </c>
      <c r="S298" s="6" t="str">
        <f t="shared" si="24"/>
        <v/>
      </c>
      <c r="T298" s="4" t="str">
        <f>IF($H298&lt;&gt;"",_xlfn.XLOOKUP(H298,Naturezas!B:B,Naturezas!E:E,"",0,1),"")</f>
        <v/>
      </c>
      <c r="U298" s="4" t="str">
        <f>IF($H298&lt;&gt;"",_xlfn.XLOOKUP($H298,Naturezas!B:B,Naturezas!D:D,"",0,1),"")</f>
        <v/>
      </c>
      <c r="V298" s="5" t="str">
        <f>IF(H298&lt;&gt;"",IF(OR(H298=Naturezas!$B$3,H298=Naturezas!$B$4,H298=Naturezas!$B$5,H298=Naturezas!$B$17,H298=Naturezas!$B$18,H298=Naturezas!$B$19),G298,-G298),"")</f>
        <v/>
      </c>
      <c r="W298" s="4" t="str">
        <f t="shared" si="28"/>
        <v/>
      </c>
      <c r="X298" s="4"/>
      <c r="Y298" s="4" t="str">
        <f t="shared" si="29"/>
        <v/>
      </c>
      <c r="Z298" s="6" t="str">
        <f>IF(H298&lt;&gt;"",Tabela1[[#This Row],[Iniciais]],"")</f>
        <v/>
      </c>
      <c r="AB298" s="6" t="str">
        <f>IF($H298&lt;&gt;"",RIGHT(Tabela1[[#This Row],[Ref.]],2),"")</f>
        <v/>
      </c>
      <c r="AC298" s="37" t="str">
        <f>IF($H298&lt;&gt;"",DATE(LEFT(Tabela1[[#This Row],[Ref.]],4),RIGHT(Tabela1[[#This Row],[Ref.]],2),1),"")</f>
        <v/>
      </c>
      <c r="AD298" s="4" t="str">
        <f t="shared" si="25"/>
        <v/>
      </c>
      <c r="AE298" s="5" t="str">
        <f t="shared" si="26"/>
        <v/>
      </c>
      <c r="AF298" s="4"/>
      <c r="AG298" s="6" t="str">
        <f t="shared" si="27"/>
        <v/>
      </c>
    </row>
    <row r="299" spans="1:33" ht="15.75" customHeight="1" x14ac:dyDescent="0.2">
      <c r="A299" s="35"/>
      <c r="B299" s="44"/>
      <c r="C299" s="35"/>
      <c r="D299" s="35"/>
      <c r="E299" s="48"/>
      <c r="F299" s="45"/>
      <c r="G299" s="38"/>
      <c r="H299" s="45"/>
      <c r="I299" s="45"/>
      <c r="L299" s="19"/>
      <c r="N299" s="25"/>
      <c r="O299" s="25"/>
      <c r="P299" s="27"/>
      <c r="R299" s="6" t="str">
        <f>IF($H299&lt;&gt;"",RIGHT(Tabela1[[#This Row],[Ref.]],2),"")</f>
        <v/>
      </c>
      <c r="S299" s="6" t="str">
        <f t="shared" si="24"/>
        <v/>
      </c>
      <c r="T299" s="4" t="str">
        <f>IF($H299&lt;&gt;"",_xlfn.XLOOKUP(H299,Naturezas!B:B,Naturezas!E:E,"",0,1),"")</f>
        <v/>
      </c>
      <c r="U299" s="4" t="str">
        <f>IF($H299&lt;&gt;"",_xlfn.XLOOKUP($H299,Naturezas!B:B,Naturezas!D:D,"",0,1),"")</f>
        <v/>
      </c>
      <c r="V299" s="5" t="str">
        <f>IF(H299&lt;&gt;"",IF(OR(H299=Naturezas!$B$3,H299=Naturezas!$B$4,H299=Naturezas!$B$5,H299=Naturezas!$B$17,H299=Naturezas!$B$18,H299=Naturezas!$B$19),G299,-G299),"")</f>
        <v/>
      </c>
      <c r="W299" s="4" t="str">
        <f t="shared" si="28"/>
        <v/>
      </c>
      <c r="X299" s="4"/>
      <c r="Y299" s="4" t="str">
        <f t="shared" si="29"/>
        <v/>
      </c>
      <c r="Z299" s="6" t="str">
        <f>IF(H299&lt;&gt;"",Tabela1[[#This Row],[Iniciais]],"")</f>
        <v/>
      </c>
      <c r="AB299" s="6" t="str">
        <f>IF($H299&lt;&gt;"",RIGHT(Tabela1[[#This Row],[Ref.]],2),"")</f>
        <v/>
      </c>
      <c r="AC299" s="37" t="str">
        <f>IF($H299&lt;&gt;"",DATE(LEFT(Tabela1[[#This Row],[Ref.]],4),RIGHT(Tabela1[[#This Row],[Ref.]],2),1),"")</f>
        <v/>
      </c>
      <c r="AD299" s="4" t="str">
        <f t="shared" si="25"/>
        <v/>
      </c>
      <c r="AE299" s="5" t="str">
        <f t="shared" si="26"/>
        <v/>
      </c>
      <c r="AF299" s="4"/>
      <c r="AG299" s="6" t="str">
        <f t="shared" si="27"/>
        <v/>
      </c>
    </row>
    <row r="300" spans="1:33" ht="15.75" customHeight="1" x14ac:dyDescent="0.2">
      <c r="A300" s="35"/>
      <c r="B300" s="44"/>
      <c r="C300" s="35"/>
      <c r="D300" s="35"/>
      <c r="E300" s="48"/>
      <c r="F300" s="45"/>
      <c r="G300" s="38"/>
      <c r="H300" s="45"/>
      <c r="I300" s="45"/>
      <c r="L300" s="19"/>
      <c r="N300" s="25"/>
      <c r="O300" s="25"/>
      <c r="P300" s="27"/>
      <c r="R300" s="6" t="str">
        <f>IF($H300&lt;&gt;"",RIGHT(Tabela1[[#This Row],[Ref.]],2),"")</f>
        <v/>
      </c>
      <c r="S300" s="6" t="str">
        <f t="shared" si="24"/>
        <v/>
      </c>
      <c r="T300" s="4" t="str">
        <f>IF($H300&lt;&gt;"",_xlfn.XLOOKUP(H300,Naturezas!B:B,Naturezas!E:E,"",0,1),"")</f>
        <v/>
      </c>
      <c r="U300" s="4" t="str">
        <f>IF($H300&lt;&gt;"",_xlfn.XLOOKUP($H300,Naturezas!B:B,Naturezas!D:D,"",0,1),"")</f>
        <v/>
      </c>
      <c r="V300" s="5" t="str">
        <f>IF(H300&lt;&gt;"",IF(OR(H300=Naturezas!$B$3,H300=Naturezas!$B$4,H300=Naturezas!$B$5,H300=Naturezas!$B$17,H300=Naturezas!$B$18,H300=Naturezas!$B$19),G300,-G300),"")</f>
        <v/>
      </c>
      <c r="W300" s="4" t="str">
        <f t="shared" si="28"/>
        <v/>
      </c>
      <c r="X300" s="4"/>
      <c r="Y300" s="4" t="str">
        <f t="shared" si="29"/>
        <v/>
      </c>
      <c r="Z300" s="6" t="str">
        <f>IF(H300&lt;&gt;"",Tabela1[[#This Row],[Iniciais]],"")</f>
        <v/>
      </c>
      <c r="AB300" s="6" t="str">
        <f>IF($H300&lt;&gt;"",RIGHT(Tabela1[[#This Row],[Ref.]],2),"")</f>
        <v/>
      </c>
      <c r="AC300" s="37" t="str">
        <f>IF($H300&lt;&gt;"",DATE(LEFT(Tabela1[[#This Row],[Ref.]],4),RIGHT(Tabela1[[#This Row],[Ref.]],2),1),"")</f>
        <v/>
      </c>
      <c r="AD300" s="4" t="str">
        <f t="shared" si="25"/>
        <v/>
      </c>
      <c r="AE300" s="5" t="str">
        <f t="shared" si="26"/>
        <v/>
      </c>
      <c r="AF300" s="4"/>
      <c r="AG300" s="6" t="str">
        <f t="shared" si="27"/>
        <v/>
      </c>
    </row>
    <row r="301" spans="1:33" ht="15.75" customHeight="1" x14ac:dyDescent="0.2">
      <c r="A301" s="35"/>
      <c r="B301" s="44"/>
      <c r="C301" s="35"/>
      <c r="D301" s="35"/>
      <c r="E301" s="48"/>
      <c r="F301" s="45"/>
      <c r="G301" s="38"/>
      <c r="H301" s="45"/>
      <c r="I301" s="45"/>
      <c r="L301" s="19"/>
      <c r="N301" s="25"/>
      <c r="O301" s="25"/>
      <c r="P301" s="27"/>
      <c r="R301" s="6" t="str">
        <f>IF($H301&lt;&gt;"",RIGHT(Tabela1[[#This Row],[Ref.]],2),"")</f>
        <v/>
      </c>
      <c r="S301" s="6" t="str">
        <f t="shared" si="24"/>
        <v/>
      </c>
      <c r="T301" s="4" t="str">
        <f>IF($H301&lt;&gt;"",_xlfn.XLOOKUP(H301,Naturezas!B:B,Naturezas!E:E,"",0,1),"")</f>
        <v/>
      </c>
      <c r="U301" s="4" t="str">
        <f>IF($H301&lt;&gt;"",_xlfn.XLOOKUP($H301,Naturezas!B:B,Naturezas!D:D,"",0,1),"")</f>
        <v/>
      </c>
      <c r="V301" s="5" t="str">
        <f>IF(H301&lt;&gt;"",IF(OR(H301=Naturezas!$B$3,H301=Naturezas!$B$4,H301=Naturezas!$B$5,H301=Naturezas!$B$17,H301=Naturezas!$B$18,H301=Naturezas!$B$19),G301,-G301),"")</f>
        <v/>
      </c>
      <c r="W301" s="4" t="str">
        <f t="shared" si="28"/>
        <v/>
      </c>
      <c r="X301" s="4"/>
      <c r="Y301" s="4" t="str">
        <f t="shared" si="29"/>
        <v/>
      </c>
      <c r="Z301" s="6" t="str">
        <f>IF(H301&lt;&gt;"",Tabela1[[#This Row],[Iniciais]],"")</f>
        <v/>
      </c>
      <c r="AB301" s="6" t="str">
        <f>IF($H301&lt;&gt;"",RIGHT(Tabela1[[#This Row],[Ref.]],2),"")</f>
        <v/>
      </c>
      <c r="AC301" s="37" t="str">
        <f>IF($H301&lt;&gt;"",DATE(LEFT(Tabela1[[#This Row],[Ref.]],4),RIGHT(Tabela1[[#This Row],[Ref.]],2),1),"")</f>
        <v/>
      </c>
      <c r="AD301" s="4" t="str">
        <f t="shared" si="25"/>
        <v/>
      </c>
      <c r="AE301" s="5" t="str">
        <f t="shared" si="26"/>
        <v/>
      </c>
      <c r="AF301" s="4"/>
      <c r="AG301" s="6" t="str">
        <f t="shared" si="27"/>
        <v/>
      </c>
    </row>
    <row r="302" spans="1:33" ht="15.75" customHeight="1" x14ac:dyDescent="0.2">
      <c r="A302" s="35"/>
      <c r="B302" s="44"/>
      <c r="C302" s="35"/>
      <c r="D302" s="35"/>
      <c r="E302" s="48"/>
      <c r="F302" s="45"/>
      <c r="G302" s="38"/>
      <c r="H302" s="45"/>
      <c r="I302" s="45"/>
      <c r="L302" s="19"/>
      <c r="N302" s="25"/>
      <c r="O302" s="25"/>
      <c r="P302" s="27"/>
      <c r="R302" s="6" t="str">
        <f>IF($H302&lt;&gt;"",RIGHT(Tabela1[[#This Row],[Ref.]],2),"")</f>
        <v/>
      </c>
      <c r="S302" s="6" t="str">
        <f t="shared" si="24"/>
        <v/>
      </c>
      <c r="T302" s="4" t="str">
        <f>IF($H302&lt;&gt;"",_xlfn.XLOOKUP(H302,Naturezas!B:B,Naturezas!E:E,"",0,1),"")</f>
        <v/>
      </c>
      <c r="U302" s="4" t="str">
        <f>IF($H302&lt;&gt;"",_xlfn.XLOOKUP($H302,Naturezas!B:B,Naturezas!D:D,"",0,1),"")</f>
        <v/>
      </c>
      <c r="V302" s="5" t="str">
        <f>IF(H302&lt;&gt;"",IF(OR(H302=Naturezas!$B$3,H302=Naturezas!$B$4,H302=Naturezas!$B$5,H302=Naturezas!$B$17,H302=Naturezas!$B$18,H302=Naturezas!$B$19),G302,-G302),"")</f>
        <v/>
      </c>
      <c r="W302" s="4" t="str">
        <f t="shared" si="28"/>
        <v/>
      </c>
      <c r="X302" s="4"/>
      <c r="Y302" s="4" t="str">
        <f t="shared" si="29"/>
        <v/>
      </c>
      <c r="Z302" s="6" t="str">
        <f>IF(H302&lt;&gt;"",Tabela1[[#This Row],[Iniciais]],"")</f>
        <v/>
      </c>
      <c r="AB302" s="6" t="str">
        <f>IF($H302&lt;&gt;"",RIGHT(Tabela1[[#This Row],[Ref.]],2),"")</f>
        <v/>
      </c>
      <c r="AC302" s="37" t="str">
        <f>IF($H302&lt;&gt;"",DATE(LEFT(Tabela1[[#This Row],[Ref.]],4),RIGHT(Tabela1[[#This Row],[Ref.]],2),1),"")</f>
        <v/>
      </c>
      <c r="AD302" s="4" t="str">
        <f t="shared" si="25"/>
        <v/>
      </c>
      <c r="AE302" s="5" t="str">
        <f t="shared" si="26"/>
        <v/>
      </c>
      <c r="AF302" s="4"/>
      <c r="AG302" s="6" t="str">
        <f t="shared" si="27"/>
        <v/>
      </c>
    </row>
    <row r="303" spans="1:33" ht="15.75" customHeight="1" x14ac:dyDescent="0.2">
      <c r="A303" s="35"/>
      <c r="B303" s="44"/>
      <c r="C303" s="35"/>
      <c r="D303" s="35"/>
      <c r="E303" s="48"/>
      <c r="F303" s="45"/>
      <c r="G303" s="38"/>
      <c r="H303" s="45"/>
      <c r="I303" s="45"/>
      <c r="L303" s="19"/>
      <c r="N303" s="25"/>
      <c r="O303" s="25"/>
      <c r="P303" s="27"/>
      <c r="R303" s="6" t="str">
        <f>IF($H303&lt;&gt;"",RIGHT(Tabela1[[#This Row],[Ref.]],2),"")</f>
        <v/>
      </c>
      <c r="S303" s="6" t="str">
        <f t="shared" si="24"/>
        <v/>
      </c>
      <c r="T303" s="4" t="str">
        <f>IF($H303&lt;&gt;"",_xlfn.XLOOKUP(H303,Naturezas!B:B,Naturezas!E:E,"",0,1),"")</f>
        <v/>
      </c>
      <c r="U303" s="4" t="str">
        <f>IF($H303&lt;&gt;"",_xlfn.XLOOKUP($H303,Naturezas!B:B,Naturezas!D:D,"",0,1),"")</f>
        <v/>
      </c>
      <c r="V303" s="5" t="str">
        <f>IF(H303&lt;&gt;"",IF(OR(H303=Naturezas!$B$3,H303=Naturezas!$B$4,H303=Naturezas!$B$5,H303=Naturezas!$B$17,H303=Naturezas!$B$18,H303=Naturezas!$B$19),G303,-G303),"")</f>
        <v/>
      </c>
      <c r="W303" s="4" t="str">
        <f t="shared" si="28"/>
        <v/>
      </c>
      <c r="X303" s="4"/>
      <c r="Y303" s="4" t="str">
        <f t="shared" si="29"/>
        <v/>
      </c>
      <c r="Z303" s="6" t="str">
        <f>IF(H303&lt;&gt;"",Tabela1[[#This Row],[Iniciais]],"")</f>
        <v/>
      </c>
      <c r="AB303" s="6" t="str">
        <f>IF($H303&lt;&gt;"",RIGHT(Tabela1[[#This Row],[Ref.]],2),"")</f>
        <v/>
      </c>
      <c r="AC303" s="37" t="str">
        <f>IF($H303&lt;&gt;"",DATE(LEFT(Tabela1[[#This Row],[Ref.]],4),RIGHT(Tabela1[[#This Row],[Ref.]],2),1),"")</f>
        <v/>
      </c>
      <c r="AD303" s="4" t="str">
        <f t="shared" si="25"/>
        <v/>
      </c>
      <c r="AE303" s="5" t="str">
        <f t="shared" si="26"/>
        <v/>
      </c>
      <c r="AF303" s="4"/>
      <c r="AG303" s="6" t="str">
        <f t="shared" si="27"/>
        <v/>
      </c>
    </row>
    <row r="304" spans="1:33" ht="15.75" customHeight="1" x14ac:dyDescent="0.2">
      <c r="A304" s="35"/>
      <c r="B304" s="44"/>
      <c r="C304" s="35"/>
      <c r="D304" s="35"/>
      <c r="E304" s="48"/>
      <c r="F304" s="45"/>
      <c r="G304" s="38"/>
      <c r="H304" s="45"/>
      <c r="I304" s="45"/>
      <c r="L304" s="19"/>
      <c r="N304" s="25"/>
      <c r="O304" s="25"/>
      <c r="P304" s="27"/>
      <c r="R304" s="6" t="str">
        <f>IF($H304&lt;&gt;"",RIGHT(Tabela1[[#This Row],[Ref.]],2),"")</f>
        <v/>
      </c>
      <c r="S304" s="6" t="str">
        <f t="shared" si="24"/>
        <v/>
      </c>
      <c r="T304" s="4" t="str">
        <f>IF($H304&lt;&gt;"",_xlfn.XLOOKUP(H304,Naturezas!B:B,Naturezas!E:E,"",0,1),"")</f>
        <v/>
      </c>
      <c r="U304" s="4" t="str">
        <f>IF($H304&lt;&gt;"",_xlfn.XLOOKUP($H304,Naturezas!B:B,Naturezas!D:D,"",0,1),"")</f>
        <v/>
      </c>
      <c r="V304" s="5" t="str">
        <f>IF(H304&lt;&gt;"",IF(OR(H304=Naturezas!$B$3,H304=Naturezas!$B$4,H304=Naturezas!$B$5,H304=Naturezas!$B$17,H304=Naturezas!$B$18,H304=Naturezas!$B$19),G304,-G304),"")</f>
        <v/>
      </c>
      <c r="W304" s="4" t="str">
        <f t="shared" si="28"/>
        <v/>
      </c>
      <c r="X304" s="4"/>
      <c r="Y304" s="4" t="str">
        <f t="shared" si="29"/>
        <v/>
      </c>
      <c r="Z304" s="6" t="str">
        <f>IF(H304&lt;&gt;"",Tabela1[[#This Row],[Iniciais]],"")</f>
        <v/>
      </c>
      <c r="AB304" s="6" t="str">
        <f>IF($H304&lt;&gt;"",RIGHT(Tabela1[[#This Row],[Ref.]],2),"")</f>
        <v/>
      </c>
      <c r="AC304" s="37" t="str">
        <f>IF($H304&lt;&gt;"",DATE(LEFT(Tabela1[[#This Row],[Ref.]],4),RIGHT(Tabela1[[#This Row],[Ref.]],2),1),"")</f>
        <v/>
      </c>
      <c r="AD304" s="4" t="str">
        <f t="shared" si="25"/>
        <v/>
      </c>
      <c r="AE304" s="5" t="str">
        <f t="shared" si="26"/>
        <v/>
      </c>
      <c r="AF304" s="4"/>
      <c r="AG304" s="6" t="str">
        <f t="shared" si="27"/>
        <v/>
      </c>
    </row>
    <row r="305" spans="1:33" ht="15.75" customHeight="1" x14ac:dyDescent="0.2">
      <c r="A305" s="35"/>
      <c r="B305" s="44"/>
      <c r="C305" s="35"/>
      <c r="D305" s="35"/>
      <c r="E305" s="48"/>
      <c r="F305" s="45"/>
      <c r="G305" s="38"/>
      <c r="H305" s="45"/>
      <c r="I305" s="45"/>
      <c r="L305" s="19"/>
      <c r="N305" s="25"/>
      <c r="O305" s="25"/>
      <c r="P305" s="27"/>
      <c r="R305" s="6" t="str">
        <f>IF($H305&lt;&gt;"",RIGHT(Tabela1[[#This Row],[Ref.]],2),"")</f>
        <v/>
      </c>
      <c r="S305" s="6" t="str">
        <f t="shared" si="24"/>
        <v/>
      </c>
      <c r="T305" s="4" t="str">
        <f>IF($H305&lt;&gt;"",_xlfn.XLOOKUP(H305,Naturezas!B:B,Naturezas!E:E,"",0,1),"")</f>
        <v/>
      </c>
      <c r="U305" s="4" t="str">
        <f>IF($H305&lt;&gt;"",_xlfn.XLOOKUP($H305,Naturezas!B:B,Naturezas!D:D,"",0,1),"")</f>
        <v/>
      </c>
      <c r="V305" s="5" t="str">
        <f>IF(H305&lt;&gt;"",IF(OR(H305=Naturezas!$B$3,H305=Naturezas!$B$4,H305=Naturezas!$B$5,H305=Naturezas!$B$17,H305=Naturezas!$B$18,H305=Naturezas!$B$19),G305,-G305),"")</f>
        <v/>
      </c>
      <c r="W305" s="4" t="str">
        <f t="shared" si="28"/>
        <v/>
      </c>
      <c r="X305" s="4"/>
      <c r="Y305" s="4" t="str">
        <f t="shared" si="29"/>
        <v/>
      </c>
      <c r="Z305" s="6" t="str">
        <f>IF(H305&lt;&gt;"",Tabela1[[#This Row],[Iniciais]],"")</f>
        <v/>
      </c>
      <c r="AB305" s="6" t="str">
        <f>IF($H305&lt;&gt;"",RIGHT(Tabela1[[#This Row],[Ref.]],2),"")</f>
        <v/>
      </c>
      <c r="AC305" s="37" t="str">
        <f>IF($H305&lt;&gt;"",DATE(LEFT(Tabela1[[#This Row],[Ref.]],4),RIGHT(Tabela1[[#This Row],[Ref.]],2),1),"")</f>
        <v/>
      </c>
      <c r="AD305" s="4" t="str">
        <f t="shared" si="25"/>
        <v/>
      </c>
      <c r="AE305" s="5" t="str">
        <f t="shared" si="26"/>
        <v/>
      </c>
      <c r="AF305" s="4"/>
      <c r="AG305" s="6" t="str">
        <f t="shared" si="27"/>
        <v/>
      </c>
    </row>
    <row r="306" spans="1:33" ht="15.75" customHeight="1" x14ac:dyDescent="0.2">
      <c r="A306" s="35"/>
      <c r="B306" s="44"/>
      <c r="C306" s="35"/>
      <c r="D306" s="35"/>
      <c r="E306" s="48"/>
      <c r="F306" s="45"/>
      <c r="G306" s="38"/>
      <c r="H306" s="45"/>
      <c r="I306" s="45"/>
      <c r="L306" s="19"/>
      <c r="N306" s="25"/>
      <c r="O306" s="25"/>
      <c r="P306" s="27"/>
      <c r="R306" s="6" t="str">
        <f>IF($H306&lt;&gt;"",RIGHT(Tabela1[[#This Row],[Ref.]],2),"")</f>
        <v/>
      </c>
      <c r="S306" s="6" t="str">
        <f t="shared" si="24"/>
        <v/>
      </c>
      <c r="T306" s="4" t="str">
        <f>IF($H306&lt;&gt;"",_xlfn.XLOOKUP(H306,Naturezas!B:B,Naturezas!E:E,"",0,1),"")</f>
        <v/>
      </c>
      <c r="U306" s="4" t="str">
        <f>IF($H306&lt;&gt;"",_xlfn.XLOOKUP($H306,Naturezas!B:B,Naturezas!D:D,"",0,1),"")</f>
        <v/>
      </c>
      <c r="V306" s="5" t="str">
        <f>IF(H306&lt;&gt;"",IF(OR(H306=Naturezas!$B$3,H306=Naturezas!$B$4,H306=Naturezas!$B$5,H306=Naturezas!$B$17,H306=Naturezas!$B$18,H306=Naturezas!$B$19),G306,-G306),"")</f>
        <v/>
      </c>
      <c r="W306" s="4" t="str">
        <f t="shared" si="28"/>
        <v/>
      </c>
      <c r="X306" s="4"/>
      <c r="Y306" s="4" t="str">
        <f t="shared" si="29"/>
        <v/>
      </c>
      <c r="Z306" s="6" t="str">
        <f>IF(H306&lt;&gt;"",Tabela1[[#This Row],[Iniciais]],"")</f>
        <v/>
      </c>
      <c r="AB306" s="6" t="str">
        <f>IF($H306&lt;&gt;"",RIGHT(Tabela1[[#This Row],[Ref.]],2),"")</f>
        <v/>
      </c>
      <c r="AC306" s="37" t="str">
        <f>IF($H306&lt;&gt;"",DATE(LEFT(Tabela1[[#This Row],[Ref.]],4),RIGHT(Tabela1[[#This Row],[Ref.]],2),1),"")</f>
        <v/>
      </c>
      <c r="AD306" s="4" t="str">
        <f t="shared" si="25"/>
        <v/>
      </c>
      <c r="AE306" s="5" t="str">
        <f t="shared" si="26"/>
        <v/>
      </c>
      <c r="AF306" s="4"/>
      <c r="AG306" s="6" t="str">
        <f t="shared" si="27"/>
        <v/>
      </c>
    </row>
    <row r="307" spans="1:33" ht="15.75" customHeight="1" x14ac:dyDescent="0.2">
      <c r="A307" s="35"/>
      <c r="B307" s="44"/>
      <c r="C307" s="35"/>
      <c r="D307" s="35"/>
      <c r="E307" s="48"/>
      <c r="F307" s="45"/>
      <c r="G307" s="38"/>
      <c r="H307" s="45"/>
      <c r="I307" s="45"/>
      <c r="L307" s="19"/>
      <c r="N307" s="25"/>
      <c r="O307" s="25"/>
      <c r="P307" s="27"/>
      <c r="R307" s="6" t="str">
        <f>IF($H307&lt;&gt;"",RIGHT(Tabela1[[#This Row],[Ref.]],2),"")</f>
        <v/>
      </c>
      <c r="S307" s="6" t="str">
        <f t="shared" si="24"/>
        <v/>
      </c>
      <c r="T307" s="4" t="str">
        <f>IF($H307&lt;&gt;"",_xlfn.XLOOKUP(H307,Naturezas!B:B,Naturezas!E:E,"",0,1),"")</f>
        <v/>
      </c>
      <c r="U307" s="4" t="str">
        <f>IF($H307&lt;&gt;"",_xlfn.XLOOKUP($H307,Naturezas!B:B,Naturezas!D:D,"",0,1),"")</f>
        <v/>
      </c>
      <c r="V307" s="5" t="str">
        <f>IF(H307&lt;&gt;"",IF(OR(H307=Naturezas!$B$3,H307=Naturezas!$B$4,H307=Naturezas!$B$5,H307=Naturezas!$B$17,H307=Naturezas!$B$18,H307=Naturezas!$B$19),G307,-G307),"")</f>
        <v/>
      </c>
      <c r="W307" s="4" t="str">
        <f t="shared" si="28"/>
        <v/>
      </c>
      <c r="X307" s="4"/>
      <c r="Y307" s="4" t="str">
        <f t="shared" si="29"/>
        <v/>
      </c>
      <c r="Z307" s="6" t="str">
        <f>IF(H307&lt;&gt;"",Tabela1[[#This Row],[Iniciais]],"")</f>
        <v/>
      </c>
      <c r="AB307" s="6" t="str">
        <f>IF($H307&lt;&gt;"",RIGHT(Tabela1[[#This Row],[Ref.]],2),"")</f>
        <v/>
      </c>
      <c r="AC307" s="37" t="str">
        <f>IF($H307&lt;&gt;"",DATE(LEFT(Tabela1[[#This Row],[Ref.]],4),RIGHT(Tabela1[[#This Row],[Ref.]],2),1),"")</f>
        <v/>
      </c>
      <c r="AD307" s="4" t="str">
        <f t="shared" si="25"/>
        <v/>
      </c>
      <c r="AE307" s="5" t="str">
        <f t="shared" si="26"/>
        <v/>
      </c>
      <c r="AF307" s="4"/>
      <c r="AG307" s="6" t="str">
        <f t="shared" si="27"/>
        <v/>
      </c>
    </row>
    <row r="308" spans="1:33" ht="15.75" customHeight="1" x14ac:dyDescent="0.2">
      <c r="A308" s="35"/>
      <c r="B308" s="44"/>
      <c r="C308" s="35"/>
      <c r="D308" s="35"/>
      <c r="E308" s="48"/>
      <c r="F308" s="45"/>
      <c r="G308" s="38"/>
      <c r="H308" s="45"/>
      <c r="I308" s="45"/>
      <c r="L308" s="19"/>
      <c r="N308" s="25"/>
      <c r="O308" s="25"/>
      <c r="P308" s="27"/>
      <c r="R308" s="6" t="str">
        <f>IF($H308&lt;&gt;"",RIGHT(Tabela1[[#This Row],[Ref.]],2),"")</f>
        <v/>
      </c>
      <c r="S308" s="6" t="str">
        <f t="shared" si="24"/>
        <v/>
      </c>
      <c r="T308" s="4" t="str">
        <f>IF($H308&lt;&gt;"",_xlfn.XLOOKUP(H308,Naturezas!B:B,Naturezas!E:E,"",0,1),"")</f>
        <v/>
      </c>
      <c r="U308" s="4" t="str">
        <f>IF($H308&lt;&gt;"",_xlfn.XLOOKUP($H308,Naturezas!B:B,Naturezas!D:D,"",0,1),"")</f>
        <v/>
      </c>
      <c r="V308" s="5" t="str">
        <f>IF(H308&lt;&gt;"",IF(OR(H308=Naturezas!$B$3,H308=Naturezas!$B$4,H308=Naturezas!$B$5,H308=Naturezas!$B$17,H308=Naturezas!$B$18,H308=Naturezas!$B$19),G308,-G308),"")</f>
        <v/>
      </c>
      <c r="W308" s="4" t="str">
        <f t="shared" si="28"/>
        <v/>
      </c>
      <c r="X308" s="4"/>
      <c r="Y308" s="4" t="str">
        <f t="shared" si="29"/>
        <v/>
      </c>
      <c r="Z308" s="6" t="str">
        <f>IF(H308&lt;&gt;"",Tabela1[[#This Row],[Iniciais]],"")</f>
        <v/>
      </c>
      <c r="AB308" s="6" t="str">
        <f>IF($H308&lt;&gt;"",RIGHT(Tabela1[[#This Row],[Ref.]],2),"")</f>
        <v/>
      </c>
      <c r="AC308" s="37" t="str">
        <f>IF($H308&lt;&gt;"",DATE(LEFT(Tabela1[[#This Row],[Ref.]],4),RIGHT(Tabela1[[#This Row],[Ref.]],2),1),"")</f>
        <v/>
      </c>
      <c r="AD308" s="4" t="str">
        <f t="shared" si="25"/>
        <v/>
      </c>
      <c r="AE308" s="5" t="str">
        <f t="shared" si="26"/>
        <v/>
      </c>
      <c r="AF308" s="4"/>
      <c r="AG308" s="6" t="str">
        <f t="shared" si="27"/>
        <v/>
      </c>
    </row>
    <row r="309" spans="1:33" ht="15.75" customHeight="1" x14ac:dyDescent="0.2">
      <c r="A309" s="35"/>
      <c r="B309" s="44"/>
      <c r="C309" s="35"/>
      <c r="D309" s="35"/>
      <c r="E309" s="48"/>
      <c r="F309" s="45"/>
      <c r="G309" s="38"/>
      <c r="H309" s="45"/>
      <c r="I309" s="45"/>
      <c r="L309" s="19"/>
      <c r="N309" s="25"/>
      <c r="O309" s="25"/>
      <c r="P309" s="27"/>
      <c r="R309" s="6" t="str">
        <f>IF($H309&lt;&gt;"",RIGHT(Tabela1[[#This Row],[Ref.]],2),"")</f>
        <v/>
      </c>
      <c r="S309" s="6" t="str">
        <f t="shared" si="24"/>
        <v/>
      </c>
      <c r="T309" s="4" t="str">
        <f>IF($H309&lt;&gt;"",_xlfn.XLOOKUP(H309,Naturezas!B:B,Naturezas!E:E,"",0,1),"")</f>
        <v/>
      </c>
      <c r="U309" s="4" t="str">
        <f>IF($H309&lt;&gt;"",_xlfn.XLOOKUP($H309,Naturezas!B:B,Naturezas!D:D,"",0,1),"")</f>
        <v/>
      </c>
      <c r="V309" s="5" t="str">
        <f>IF(H309&lt;&gt;"",IF(OR(H309=Naturezas!$B$3,H309=Naturezas!$B$4,H309=Naturezas!$B$5,H309=Naturezas!$B$17,H309=Naturezas!$B$18,H309=Naturezas!$B$19),G309,-G309),"")</f>
        <v/>
      </c>
      <c r="W309" s="4" t="str">
        <f t="shared" si="28"/>
        <v/>
      </c>
      <c r="X309" s="4"/>
      <c r="Y309" s="4" t="str">
        <f t="shared" si="29"/>
        <v/>
      </c>
      <c r="Z309" s="6" t="str">
        <f>IF(H309&lt;&gt;"",Tabela1[[#This Row],[Iniciais]],"")</f>
        <v/>
      </c>
      <c r="AB309" s="6" t="str">
        <f>IF($H309&lt;&gt;"",RIGHT(Tabela1[[#This Row],[Ref.]],2),"")</f>
        <v/>
      </c>
      <c r="AC309" s="37" t="str">
        <f>IF($H309&lt;&gt;"",DATE(LEFT(Tabela1[[#This Row],[Ref.]],4),RIGHT(Tabela1[[#This Row],[Ref.]],2),1),"")</f>
        <v/>
      </c>
      <c r="AD309" s="4" t="str">
        <f t="shared" si="25"/>
        <v/>
      </c>
      <c r="AE309" s="5" t="str">
        <f t="shared" si="26"/>
        <v/>
      </c>
      <c r="AF309" s="4"/>
      <c r="AG309" s="6" t="str">
        <f t="shared" si="27"/>
        <v/>
      </c>
    </row>
    <row r="310" spans="1:33" ht="15.75" customHeight="1" x14ac:dyDescent="0.2">
      <c r="A310" s="35"/>
      <c r="B310" s="44"/>
      <c r="C310" s="35"/>
      <c r="D310" s="35"/>
      <c r="E310" s="48"/>
      <c r="F310" s="45"/>
      <c r="G310" s="38"/>
      <c r="H310" s="45"/>
      <c r="I310" s="45"/>
      <c r="L310" s="19"/>
      <c r="N310" s="25"/>
      <c r="O310" s="25"/>
      <c r="P310" s="27"/>
      <c r="R310" s="6" t="str">
        <f>IF($H310&lt;&gt;"",RIGHT(Tabela1[[#This Row],[Ref.]],2),"")</f>
        <v/>
      </c>
      <c r="S310" s="6" t="str">
        <f t="shared" si="24"/>
        <v/>
      </c>
      <c r="T310" s="4" t="str">
        <f>IF($H310&lt;&gt;"",_xlfn.XLOOKUP(H310,Naturezas!B:B,Naturezas!E:E,"",0,1),"")</f>
        <v/>
      </c>
      <c r="U310" s="4" t="str">
        <f>IF($H310&lt;&gt;"",_xlfn.XLOOKUP($H310,Naturezas!B:B,Naturezas!D:D,"",0,1),"")</f>
        <v/>
      </c>
      <c r="V310" s="5" t="str">
        <f>IF(H310&lt;&gt;"",IF(OR(H310=Naturezas!$B$3,H310=Naturezas!$B$4,H310=Naturezas!$B$5,H310=Naturezas!$B$17,H310=Naturezas!$B$18,H310=Naturezas!$B$19),G310,-G310),"")</f>
        <v/>
      </c>
      <c r="W310" s="4" t="str">
        <f t="shared" si="28"/>
        <v/>
      </c>
      <c r="X310" s="4"/>
      <c r="Y310" s="4" t="str">
        <f t="shared" si="29"/>
        <v/>
      </c>
      <c r="Z310" s="6" t="str">
        <f>IF(H310&lt;&gt;"",Tabela1[[#This Row],[Iniciais]],"")</f>
        <v/>
      </c>
      <c r="AB310" s="6" t="str">
        <f>IF($H310&lt;&gt;"",RIGHT(Tabela1[[#This Row],[Ref.]],2),"")</f>
        <v/>
      </c>
      <c r="AC310" s="37" t="str">
        <f>IF($H310&lt;&gt;"",DATE(LEFT(Tabela1[[#This Row],[Ref.]],4),RIGHT(Tabela1[[#This Row],[Ref.]],2),1),"")</f>
        <v/>
      </c>
      <c r="AD310" s="4" t="str">
        <f t="shared" si="25"/>
        <v/>
      </c>
      <c r="AE310" s="5" t="str">
        <f t="shared" si="26"/>
        <v/>
      </c>
      <c r="AF310" s="4"/>
      <c r="AG310" s="6" t="str">
        <f t="shared" si="27"/>
        <v/>
      </c>
    </row>
    <row r="311" spans="1:33" ht="15.75" customHeight="1" x14ac:dyDescent="0.2">
      <c r="A311" s="35"/>
      <c r="B311" s="44"/>
      <c r="C311" s="35"/>
      <c r="D311" s="35"/>
      <c r="E311" s="48"/>
      <c r="F311" s="45"/>
      <c r="G311" s="38"/>
      <c r="H311" s="45"/>
      <c r="I311" s="45"/>
      <c r="L311" s="19"/>
      <c r="N311" s="25"/>
      <c r="O311" s="25"/>
      <c r="P311" s="27"/>
      <c r="R311" s="6" t="str">
        <f>IF($H311&lt;&gt;"",RIGHT(Tabela1[[#This Row],[Ref.]],2),"")</f>
        <v/>
      </c>
      <c r="S311" s="6" t="str">
        <f t="shared" si="24"/>
        <v/>
      </c>
      <c r="T311" s="4" t="str">
        <f>IF($H311&lt;&gt;"",_xlfn.XLOOKUP(H311,Naturezas!B:B,Naturezas!E:E,"",0,1),"")</f>
        <v/>
      </c>
      <c r="U311" s="4" t="str">
        <f>IF($H311&lt;&gt;"",_xlfn.XLOOKUP($H311,Naturezas!B:B,Naturezas!D:D,"",0,1),"")</f>
        <v/>
      </c>
      <c r="V311" s="5" t="str">
        <f>IF(H311&lt;&gt;"",IF(OR(H311=Naturezas!$B$3,H311=Naturezas!$B$4,H311=Naturezas!$B$5,H311=Naturezas!$B$17,H311=Naturezas!$B$18,H311=Naturezas!$B$19),G311,-G311),"")</f>
        <v/>
      </c>
      <c r="W311" s="4" t="str">
        <f t="shared" si="28"/>
        <v/>
      </c>
      <c r="X311" s="4"/>
      <c r="Y311" s="4" t="str">
        <f t="shared" si="29"/>
        <v/>
      </c>
      <c r="Z311" s="6" t="str">
        <f>IF(H311&lt;&gt;"",Tabela1[[#This Row],[Iniciais]],"")</f>
        <v/>
      </c>
      <c r="AB311" s="6" t="str">
        <f>IF($H311&lt;&gt;"",RIGHT(Tabela1[[#This Row],[Ref.]],2),"")</f>
        <v/>
      </c>
      <c r="AC311" s="37" t="str">
        <f>IF($H311&lt;&gt;"",DATE(LEFT(Tabela1[[#This Row],[Ref.]],4),RIGHT(Tabela1[[#This Row],[Ref.]],2),1),"")</f>
        <v/>
      </c>
      <c r="AD311" s="4" t="str">
        <f t="shared" si="25"/>
        <v/>
      </c>
      <c r="AE311" s="5" t="str">
        <f t="shared" si="26"/>
        <v/>
      </c>
      <c r="AF311" s="4"/>
      <c r="AG311" s="6" t="str">
        <f t="shared" si="27"/>
        <v/>
      </c>
    </row>
    <row r="312" spans="1:33" ht="15.75" customHeight="1" x14ac:dyDescent="0.2">
      <c r="A312" s="35"/>
      <c r="B312" s="44"/>
      <c r="C312" s="35"/>
      <c r="D312" s="35"/>
      <c r="E312" s="48"/>
      <c r="F312" s="45"/>
      <c r="G312" s="38"/>
      <c r="H312" s="45"/>
      <c r="I312" s="45"/>
      <c r="L312" s="19"/>
      <c r="N312" s="25"/>
      <c r="O312" s="25"/>
      <c r="P312" s="27"/>
      <c r="R312" s="6" t="str">
        <f>IF($H312&lt;&gt;"",RIGHT(Tabela1[[#This Row],[Ref.]],2),"")</f>
        <v/>
      </c>
      <c r="S312" s="6" t="str">
        <f t="shared" si="24"/>
        <v/>
      </c>
      <c r="T312" s="4" t="str">
        <f>IF($H312&lt;&gt;"",_xlfn.XLOOKUP(H312,Naturezas!B:B,Naturezas!E:E,"",0,1),"")</f>
        <v/>
      </c>
      <c r="U312" s="4" t="str">
        <f>IF($H312&lt;&gt;"",_xlfn.XLOOKUP($H312,Naturezas!B:B,Naturezas!D:D,"",0,1),"")</f>
        <v/>
      </c>
      <c r="V312" s="5" t="str">
        <f>IF(H312&lt;&gt;"",IF(OR(H312=Naturezas!$B$3,H312=Naturezas!$B$4,H312=Naturezas!$B$5,H312=Naturezas!$B$17,H312=Naturezas!$B$18,H312=Naturezas!$B$19),G312,-G312),"")</f>
        <v/>
      </c>
      <c r="W312" s="4" t="str">
        <f t="shared" si="28"/>
        <v/>
      </c>
      <c r="X312" s="4"/>
      <c r="Y312" s="4" t="str">
        <f t="shared" si="29"/>
        <v/>
      </c>
      <c r="Z312" s="6" t="str">
        <f>IF(H312&lt;&gt;"",Tabela1[[#This Row],[Iniciais]],"")</f>
        <v/>
      </c>
      <c r="AB312" s="6" t="str">
        <f>IF($H312&lt;&gt;"",RIGHT(Tabela1[[#This Row],[Ref.]],2),"")</f>
        <v/>
      </c>
      <c r="AC312" s="37" t="str">
        <f>IF($H312&lt;&gt;"",DATE(LEFT(Tabela1[[#This Row],[Ref.]],4),RIGHT(Tabela1[[#This Row],[Ref.]],2),1),"")</f>
        <v/>
      </c>
      <c r="AD312" s="4" t="str">
        <f t="shared" si="25"/>
        <v/>
      </c>
      <c r="AE312" s="5" t="str">
        <f t="shared" si="26"/>
        <v/>
      </c>
      <c r="AF312" s="4"/>
      <c r="AG312" s="6" t="str">
        <f t="shared" si="27"/>
        <v/>
      </c>
    </row>
    <row r="313" spans="1:33" ht="15.75" customHeight="1" x14ac:dyDescent="0.2">
      <c r="A313" s="35"/>
      <c r="B313" s="44"/>
      <c r="C313" s="35"/>
      <c r="D313" s="35"/>
      <c r="E313" s="48"/>
      <c r="F313" s="45"/>
      <c r="G313" s="38"/>
      <c r="H313" s="45"/>
      <c r="I313" s="45"/>
      <c r="L313" s="19"/>
      <c r="N313" s="25"/>
      <c r="O313" s="25"/>
      <c r="P313" s="27"/>
      <c r="R313" s="6" t="str">
        <f>IF($H313&lt;&gt;"",RIGHT(Tabela1[[#This Row],[Ref.]],2),"")</f>
        <v/>
      </c>
      <c r="S313" s="6" t="str">
        <f t="shared" si="24"/>
        <v/>
      </c>
      <c r="T313" s="4" t="str">
        <f>IF($H313&lt;&gt;"",_xlfn.XLOOKUP(H313,Naturezas!B:B,Naturezas!E:E,"",0,1),"")</f>
        <v/>
      </c>
      <c r="U313" s="4" t="str">
        <f>IF($H313&lt;&gt;"",_xlfn.XLOOKUP($H313,Naturezas!B:B,Naturezas!D:D,"",0,1),"")</f>
        <v/>
      </c>
      <c r="V313" s="5" t="str">
        <f>IF(H313&lt;&gt;"",IF(OR(H313=Naturezas!$B$3,H313=Naturezas!$B$4,H313=Naturezas!$B$5,H313=Naturezas!$B$17,H313=Naturezas!$B$18,H313=Naturezas!$B$19),G313,-G313),"")</f>
        <v/>
      </c>
      <c r="W313" s="4" t="str">
        <f t="shared" si="28"/>
        <v/>
      </c>
      <c r="X313" s="4"/>
      <c r="Y313" s="4" t="str">
        <f t="shared" si="29"/>
        <v/>
      </c>
      <c r="Z313" s="6" t="str">
        <f>IF(H313&lt;&gt;"",Tabela1[[#This Row],[Iniciais]],"")</f>
        <v/>
      </c>
      <c r="AB313" s="6" t="str">
        <f>IF($H313&lt;&gt;"",RIGHT(Tabela1[[#This Row],[Ref.]],2),"")</f>
        <v/>
      </c>
      <c r="AC313" s="37" t="str">
        <f>IF($H313&lt;&gt;"",DATE(LEFT(Tabela1[[#This Row],[Ref.]],4),RIGHT(Tabela1[[#This Row],[Ref.]],2),1),"")</f>
        <v/>
      </c>
      <c r="AD313" s="4" t="str">
        <f t="shared" si="25"/>
        <v/>
      </c>
      <c r="AE313" s="5" t="str">
        <f t="shared" si="26"/>
        <v/>
      </c>
      <c r="AF313" s="4"/>
      <c r="AG313" s="6" t="str">
        <f t="shared" si="27"/>
        <v/>
      </c>
    </row>
    <row r="314" spans="1:33" ht="15.75" customHeight="1" x14ac:dyDescent="0.2">
      <c r="A314" s="35"/>
      <c r="B314" s="44"/>
      <c r="C314" s="35"/>
      <c r="D314" s="35"/>
      <c r="E314" s="48"/>
      <c r="F314" s="45"/>
      <c r="G314" s="38"/>
      <c r="H314" s="45"/>
      <c r="I314" s="45"/>
      <c r="L314" s="19"/>
      <c r="N314" s="25"/>
      <c r="O314" s="25"/>
      <c r="P314" s="27"/>
      <c r="R314" s="6" t="str">
        <f>IF($H314&lt;&gt;"",RIGHT(Tabela1[[#This Row],[Ref.]],2),"")</f>
        <v/>
      </c>
      <c r="S314" s="6" t="str">
        <f t="shared" si="24"/>
        <v/>
      </c>
      <c r="T314" s="4" t="str">
        <f>IF($H314&lt;&gt;"",_xlfn.XLOOKUP(H314,Naturezas!B:B,Naturezas!E:E,"",0,1),"")</f>
        <v/>
      </c>
      <c r="U314" s="4" t="str">
        <f>IF($H314&lt;&gt;"",_xlfn.XLOOKUP($H314,Naturezas!B:B,Naturezas!D:D,"",0,1),"")</f>
        <v/>
      </c>
      <c r="V314" s="5" t="str">
        <f>IF(H314&lt;&gt;"",IF(OR(H314=Naturezas!$B$3,H314=Naturezas!$B$4,H314=Naturezas!$B$5,H314=Naturezas!$B$17,H314=Naturezas!$B$18,H314=Naturezas!$B$19),G314,-G314),"")</f>
        <v/>
      </c>
      <c r="W314" s="4" t="str">
        <f t="shared" si="28"/>
        <v/>
      </c>
      <c r="X314" s="4"/>
      <c r="Y314" s="4" t="str">
        <f t="shared" si="29"/>
        <v/>
      </c>
      <c r="Z314" s="6" t="str">
        <f>IF(H314&lt;&gt;"",Tabela1[[#This Row],[Iniciais]],"")</f>
        <v/>
      </c>
      <c r="AB314" s="6" t="str">
        <f>IF($H314&lt;&gt;"",RIGHT(Tabela1[[#This Row],[Ref.]],2),"")</f>
        <v/>
      </c>
      <c r="AC314" s="37" t="str">
        <f>IF($H314&lt;&gt;"",DATE(LEFT(Tabela1[[#This Row],[Ref.]],4),RIGHT(Tabela1[[#This Row],[Ref.]],2),1),"")</f>
        <v/>
      </c>
      <c r="AD314" s="4" t="str">
        <f t="shared" si="25"/>
        <v/>
      </c>
      <c r="AE314" s="5" t="str">
        <f t="shared" si="26"/>
        <v/>
      </c>
      <c r="AF314" s="4"/>
      <c r="AG314" s="6" t="str">
        <f t="shared" si="27"/>
        <v/>
      </c>
    </row>
    <row r="315" spans="1:33" ht="15.75" customHeight="1" x14ac:dyDescent="0.2">
      <c r="A315" s="35"/>
      <c r="B315" s="44"/>
      <c r="C315" s="35"/>
      <c r="D315" s="35"/>
      <c r="E315" s="48"/>
      <c r="F315" s="45"/>
      <c r="G315" s="38"/>
      <c r="H315" s="45"/>
      <c r="I315" s="45"/>
      <c r="L315" s="19"/>
      <c r="N315" s="25"/>
      <c r="O315" s="25"/>
      <c r="P315" s="27"/>
      <c r="R315" s="6" t="str">
        <f>IF($H315&lt;&gt;"",RIGHT(Tabela1[[#This Row],[Ref.]],2),"")</f>
        <v/>
      </c>
      <c r="S315" s="6" t="str">
        <f t="shared" si="24"/>
        <v/>
      </c>
      <c r="T315" s="4" t="str">
        <f>IF($H315&lt;&gt;"",_xlfn.XLOOKUP(H315,Naturezas!B:B,Naturezas!E:E,"",0,1),"")</f>
        <v/>
      </c>
      <c r="U315" s="4" t="str">
        <f>IF($H315&lt;&gt;"",_xlfn.XLOOKUP($H315,Naturezas!B:B,Naturezas!D:D,"",0,1),"")</f>
        <v/>
      </c>
      <c r="V315" s="5" t="str">
        <f>IF(H315&lt;&gt;"",IF(OR(H315=Naturezas!$B$3,H315=Naturezas!$B$4,H315=Naturezas!$B$5,H315=Naturezas!$B$17,H315=Naturezas!$B$18,H315=Naturezas!$B$19),G315,-G315),"")</f>
        <v/>
      </c>
      <c r="W315" s="4" t="str">
        <f t="shared" si="28"/>
        <v/>
      </c>
      <c r="X315" s="4"/>
      <c r="Y315" s="4" t="str">
        <f t="shared" si="29"/>
        <v/>
      </c>
      <c r="Z315" s="6" t="str">
        <f>IF(H315&lt;&gt;"",Tabela1[[#This Row],[Iniciais]],"")</f>
        <v/>
      </c>
      <c r="AB315" s="6" t="str">
        <f>IF($H315&lt;&gt;"",RIGHT(Tabela1[[#This Row],[Ref.]],2),"")</f>
        <v/>
      </c>
      <c r="AC315" s="37" t="str">
        <f>IF($H315&lt;&gt;"",DATE(LEFT(Tabela1[[#This Row],[Ref.]],4),RIGHT(Tabela1[[#This Row],[Ref.]],2),1),"")</f>
        <v/>
      </c>
      <c r="AD315" s="4" t="str">
        <f t="shared" si="25"/>
        <v/>
      </c>
      <c r="AE315" s="5" t="str">
        <f t="shared" si="26"/>
        <v/>
      </c>
      <c r="AF315" s="4"/>
      <c r="AG315" s="6" t="str">
        <f t="shared" si="27"/>
        <v/>
      </c>
    </row>
    <row r="316" spans="1:33" ht="15.75" customHeight="1" x14ac:dyDescent="0.2">
      <c r="A316" s="35"/>
      <c r="B316" s="44"/>
      <c r="C316" s="35"/>
      <c r="D316" s="35"/>
      <c r="E316" s="48"/>
      <c r="F316" s="45"/>
      <c r="G316" s="38"/>
      <c r="H316" s="45"/>
      <c r="I316" s="45"/>
      <c r="L316" s="19"/>
      <c r="N316" s="25"/>
      <c r="O316" s="25"/>
      <c r="P316" s="27"/>
      <c r="R316" s="6" t="str">
        <f>IF($H316&lt;&gt;"",RIGHT(Tabela1[[#This Row],[Ref.]],2),"")</f>
        <v/>
      </c>
      <c r="S316" s="6" t="str">
        <f t="shared" si="24"/>
        <v/>
      </c>
      <c r="T316" s="4" t="str">
        <f>IF($H316&lt;&gt;"",_xlfn.XLOOKUP(H316,Naturezas!B:B,Naturezas!E:E,"",0,1),"")</f>
        <v/>
      </c>
      <c r="U316" s="4" t="str">
        <f>IF($H316&lt;&gt;"",_xlfn.XLOOKUP($H316,Naturezas!B:B,Naturezas!D:D,"",0,1),"")</f>
        <v/>
      </c>
      <c r="V316" s="5" t="str">
        <f>IF(H316&lt;&gt;"",IF(OR(H316=Naturezas!$B$3,H316=Naturezas!$B$4,H316=Naturezas!$B$5,H316=Naturezas!$B$17,H316=Naturezas!$B$18,H316=Naturezas!$B$19),G316,-G316),"")</f>
        <v/>
      </c>
      <c r="W316" s="4" t="str">
        <f t="shared" si="28"/>
        <v/>
      </c>
      <c r="X316" s="4"/>
      <c r="Y316" s="4" t="str">
        <f t="shared" si="29"/>
        <v/>
      </c>
      <c r="Z316" s="6" t="str">
        <f>IF(H316&lt;&gt;"",Tabela1[[#This Row],[Iniciais]],"")</f>
        <v/>
      </c>
      <c r="AB316" s="6" t="str">
        <f>IF($H316&lt;&gt;"",RIGHT(Tabela1[[#This Row],[Ref.]],2),"")</f>
        <v/>
      </c>
      <c r="AC316" s="37" t="str">
        <f>IF($H316&lt;&gt;"",DATE(LEFT(Tabela1[[#This Row],[Ref.]],4),RIGHT(Tabela1[[#This Row],[Ref.]],2),1),"")</f>
        <v/>
      </c>
      <c r="AD316" s="4" t="str">
        <f t="shared" si="25"/>
        <v/>
      </c>
      <c r="AE316" s="5" t="str">
        <f t="shared" si="26"/>
        <v/>
      </c>
      <c r="AF316" s="4"/>
      <c r="AG316" s="6" t="str">
        <f t="shared" si="27"/>
        <v/>
      </c>
    </row>
    <row r="317" spans="1:33" ht="15.75" customHeight="1" x14ac:dyDescent="0.2">
      <c r="A317" s="35"/>
      <c r="B317" s="44"/>
      <c r="C317" s="35"/>
      <c r="D317" s="35"/>
      <c r="E317" s="48"/>
      <c r="F317" s="45"/>
      <c r="G317" s="38"/>
      <c r="H317" s="45"/>
      <c r="I317" s="45"/>
      <c r="L317" s="19"/>
      <c r="N317" s="25"/>
      <c r="O317" s="25"/>
      <c r="P317" s="27"/>
      <c r="R317" s="6" t="str">
        <f>IF($H317&lt;&gt;"",RIGHT(Tabela1[[#This Row],[Ref.]],2),"")</f>
        <v/>
      </c>
      <c r="S317" s="6" t="str">
        <f t="shared" si="24"/>
        <v/>
      </c>
      <c r="T317" s="4" t="str">
        <f>IF($H317&lt;&gt;"",_xlfn.XLOOKUP(H317,Naturezas!B:B,Naturezas!E:E,"",0,1),"")</f>
        <v/>
      </c>
      <c r="U317" s="4" t="str">
        <f>IF($H317&lt;&gt;"",_xlfn.XLOOKUP($H317,Naturezas!B:B,Naturezas!D:D,"",0,1),"")</f>
        <v/>
      </c>
      <c r="V317" s="5" t="str">
        <f>IF(H317&lt;&gt;"",IF(OR(H317=Naturezas!$B$3,H317=Naturezas!$B$4,H317=Naturezas!$B$5,H317=Naturezas!$B$17,H317=Naturezas!$B$18,H317=Naturezas!$B$19),G317,-G317),"")</f>
        <v/>
      </c>
      <c r="W317" s="4" t="str">
        <f t="shared" si="28"/>
        <v/>
      </c>
      <c r="X317" s="4"/>
      <c r="Y317" s="4" t="str">
        <f t="shared" si="29"/>
        <v/>
      </c>
      <c r="Z317" s="6" t="str">
        <f>IF(H317&lt;&gt;"",Tabela1[[#This Row],[Iniciais]],"")</f>
        <v/>
      </c>
      <c r="AB317" s="6" t="str">
        <f>IF($H317&lt;&gt;"",RIGHT(Tabela1[[#This Row],[Ref.]],2),"")</f>
        <v/>
      </c>
      <c r="AC317" s="37" t="str">
        <f>IF($H317&lt;&gt;"",DATE(LEFT(Tabela1[[#This Row],[Ref.]],4),RIGHT(Tabela1[[#This Row],[Ref.]],2),1),"")</f>
        <v/>
      </c>
      <c r="AD317" s="4" t="str">
        <f t="shared" si="25"/>
        <v/>
      </c>
      <c r="AE317" s="5" t="str">
        <f t="shared" si="26"/>
        <v/>
      </c>
      <c r="AF317" s="4"/>
      <c r="AG317" s="6" t="str">
        <f t="shared" si="27"/>
        <v/>
      </c>
    </row>
    <row r="318" spans="1:33" ht="15.75" customHeight="1" x14ac:dyDescent="0.2">
      <c r="A318" s="35"/>
      <c r="B318" s="44"/>
      <c r="C318" s="35"/>
      <c r="D318" s="35"/>
      <c r="E318" s="48"/>
      <c r="F318" s="45"/>
      <c r="G318" s="38"/>
      <c r="H318" s="45"/>
      <c r="I318" s="45"/>
      <c r="L318" s="19"/>
      <c r="N318" s="25"/>
      <c r="O318" s="25"/>
      <c r="P318" s="27"/>
      <c r="R318" s="6" t="str">
        <f>IF($H318&lt;&gt;"",RIGHT(Tabela1[[#This Row],[Ref.]],2),"")</f>
        <v/>
      </c>
      <c r="S318" s="6" t="str">
        <f t="shared" si="24"/>
        <v/>
      </c>
      <c r="T318" s="4" t="str">
        <f>IF($H318&lt;&gt;"",_xlfn.XLOOKUP(H318,Naturezas!B:B,Naturezas!E:E,"",0,1),"")</f>
        <v/>
      </c>
      <c r="U318" s="4" t="str">
        <f>IF($H318&lt;&gt;"",_xlfn.XLOOKUP($H318,Naturezas!B:B,Naturezas!D:D,"",0,1),"")</f>
        <v/>
      </c>
      <c r="V318" s="5" t="str">
        <f>IF(H318&lt;&gt;"",IF(OR(H318=Naturezas!$B$3,H318=Naturezas!$B$4,H318=Naturezas!$B$5,H318=Naturezas!$B$17,H318=Naturezas!$B$18,H318=Naturezas!$B$19),G318,-G318),"")</f>
        <v/>
      </c>
      <c r="W318" s="4" t="str">
        <f t="shared" si="28"/>
        <v/>
      </c>
      <c r="X318" s="4"/>
      <c r="Y318" s="4" t="str">
        <f t="shared" si="29"/>
        <v/>
      </c>
      <c r="Z318" s="6" t="str">
        <f>IF(H318&lt;&gt;"",Tabela1[[#This Row],[Iniciais]],"")</f>
        <v/>
      </c>
      <c r="AB318" s="6" t="str">
        <f>IF($H318&lt;&gt;"",RIGHT(Tabela1[[#This Row],[Ref.]],2),"")</f>
        <v/>
      </c>
      <c r="AC318" s="37" t="str">
        <f>IF($H318&lt;&gt;"",DATE(LEFT(Tabela1[[#This Row],[Ref.]],4),RIGHT(Tabela1[[#This Row],[Ref.]],2),1),"")</f>
        <v/>
      </c>
      <c r="AD318" s="4" t="str">
        <f t="shared" si="25"/>
        <v/>
      </c>
      <c r="AE318" s="5" t="str">
        <f t="shared" si="26"/>
        <v/>
      </c>
      <c r="AF318" s="4"/>
      <c r="AG318" s="6" t="str">
        <f t="shared" si="27"/>
        <v/>
      </c>
    </row>
    <row r="319" spans="1:33" ht="15.75" customHeight="1" x14ac:dyDescent="0.2">
      <c r="A319" s="35"/>
      <c r="B319" s="44"/>
      <c r="C319" s="35"/>
      <c r="D319" s="35"/>
      <c r="E319" s="48"/>
      <c r="F319" s="45"/>
      <c r="G319" s="38"/>
      <c r="H319" s="45"/>
      <c r="I319" s="45"/>
      <c r="L319" s="19"/>
      <c r="N319" s="25"/>
      <c r="O319" s="25"/>
      <c r="P319" s="27"/>
      <c r="R319" s="6" t="str">
        <f>IF($H319&lt;&gt;"",RIGHT(Tabela1[[#This Row],[Ref.]],2),"")</f>
        <v/>
      </c>
      <c r="S319" s="6" t="str">
        <f t="shared" si="24"/>
        <v/>
      </c>
      <c r="T319" s="4" t="str">
        <f>IF($H319&lt;&gt;"",_xlfn.XLOOKUP(H319,Naturezas!B:B,Naturezas!E:E,"",0,1),"")</f>
        <v/>
      </c>
      <c r="U319" s="4" t="str">
        <f>IF($H319&lt;&gt;"",_xlfn.XLOOKUP($H319,Naturezas!B:B,Naturezas!D:D,"",0,1),"")</f>
        <v/>
      </c>
      <c r="V319" s="5" t="str">
        <f>IF(H319&lt;&gt;"",IF(OR(H319=Naturezas!$B$3,H319=Naturezas!$B$4,H319=Naturezas!$B$5,H319=Naturezas!$B$17,H319=Naturezas!$B$18,H319=Naturezas!$B$19),G319,-G319),"")</f>
        <v/>
      </c>
      <c r="W319" s="4" t="str">
        <f t="shared" si="28"/>
        <v/>
      </c>
      <c r="X319" s="4"/>
      <c r="Y319" s="4" t="str">
        <f t="shared" si="29"/>
        <v/>
      </c>
      <c r="Z319" s="6" t="str">
        <f>IF(H319&lt;&gt;"",Tabela1[[#This Row],[Iniciais]],"")</f>
        <v/>
      </c>
      <c r="AB319" s="6" t="str">
        <f>IF($H319&lt;&gt;"",RIGHT(Tabela1[[#This Row],[Ref.]],2),"")</f>
        <v/>
      </c>
      <c r="AC319" s="37" t="str">
        <f>IF($H319&lt;&gt;"",DATE(LEFT(Tabela1[[#This Row],[Ref.]],4),RIGHT(Tabela1[[#This Row],[Ref.]],2),1),"")</f>
        <v/>
      </c>
      <c r="AD319" s="4" t="str">
        <f t="shared" si="25"/>
        <v/>
      </c>
      <c r="AE319" s="5" t="str">
        <f t="shared" si="26"/>
        <v/>
      </c>
      <c r="AF319" s="4"/>
      <c r="AG319" s="6" t="str">
        <f t="shared" si="27"/>
        <v/>
      </c>
    </row>
    <row r="320" spans="1:33" ht="15.75" customHeight="1" x14ac:dyDescent="0.2">
      <c r="A320" s="35"/>
      <c r="B320" s="44"/>
      <c r="C320" s="35"/>
      <c r="D320" s="35"/>
      <c r="E320" s="48"/>
      <c r="F320" s="45"/>
      <c r="G320" s="38"/>
      <c r="H320" s="45"/>
      <c r="I320" s="45"/>
      <c r="L320" s="19"/>
      <c r="N320" s="25"/>
      <c r="O320" s="25"/>
      <c r="P320" s="27"/>
      <c r="R320" s="6" t="str">
        <f>IF($H320&lt;&gt;"",RIGHT(Tabela1[[#This Row],[Ref.]],2),"")</f>
        <v/>
      </c>
      <c r="S320" s="6" t="str">
        <f t="shared" si="24"/>
        <v/>
      </c>
      <c r="T320" s="4" t="str">
        <f>IF($H320&lt;&gt;"",_xlfn.XLOOKUP(H320,Naturezas!B:B,Naturezas!E:E,"",0,1),"")</f>
        <v/>
      </c>
      <c r="U320" s="4" t="str">
        <f>IF($H320&lt;&gt;"",_xlfn.XLOOKUP($H320,Naturezas!B:B,Naturezas!D:D,"",0,1),"")</f>
        <v/>
      </c>
      <c r="V320" s="5" t="str">
        <f>IF(H320&lt;&gt;"",IF(OR(H320=Naturezas!$B$3,H320=Naturezas!$B$4,H320=Naturezas!$B$5,H320=Naturezas!$B$17,H320=Naturezas!$B$18,H320=Naturezas!$B$19),G320,-G320),"")</f>
        <v/>
      </c>
      <c r="W320" s="4" t="str">
        <f t="shared" si="28"/>
        <v/>
      </c>
      <c r="X320" s="4"/>
      <c r="Y320" s="4" t="str">
        <f t="shared" si="29"/>
        <v/>
      </c>
      <c r="Z320" s="6" t="str">
        <f>IF(H320&lt;&gt;"",Tabela1[[#This Row],[Iniciais]],"")</f>
        <v/>
      </c>
      <c r="AB320" s="6" t="str">
        <f>IF($H320&lt;&gt;"",RIGHT(Tabela1[[#This Row],[Ref.]],2),"")</f>
        <v/>
      </c>
      <c r="AC320" s="37" t="str">
        <f>IF($H320&lt;&gt;"",DATE(LEFT(Tabela1[[#This Row],[Ref.]],4),RIGHT(Tabela1[[#This Row],[Ref.]],2),1),"")</f>
        <v/>
      </c>
      <c r="AD320" s="4" t="str">
        <f t="shared" si="25"/>
        <v/>
      </c>
      <c r="AE320" s="5" t="str">
        <f t="shared" si="26"/>
        <v/>
      </c>
      <c r="AF320" s="4"/>
      <c r="AG320" s="6" t="str">
        <f t="shared" si="27"/>
        <v/>
      </c>
    </row>
    <row r="321" spans="1:33" ht="15.75" customHeight="1" x14ac:dyDescent="0.2">
      <c r="A321" s="35"/>
      <c r="B321" s="44"/>
      <c r="C321" s="35"/>
      <c r="D321" s="35"/>
      <c r="E321" s="48"/>
      <c r="F321" s="45"/>
      <c r="G321" s="38"/>
      <c r="H321" s="45"/>
      <c r="I321" s="45"/>
      <c r="L321" s="19"/>
      <c r="N321" s="25"/>
      <c r="O321" s="25"/>
      <c r="P321" s="27"/>
      <c r="R321" s="6" t="str">
        <f>IF($H321&lt;&gt;"",RIGHT(Tabela1[[#This Row],[Ref.]],2),"")</f>
        <v/>
      </c>
      <c r="S321" s="6" t="str">
        <f t="shared" si="24"/>
        <v/>
      </c>
      <c r="T321" s="4" t="str">
        <f>IF($H321&lt;&gt;"",_xlfn.XLOOKUP(H321,Naturezas!B:B,Naturezas!E:E,"",0,1),"")</f>
        <v/>
      </c>
      <c r="U321" s="4" t="str">
        <f>IF($H321&lt;&gt;"",_xlfn.XLOOKUP($H321,Naturezas!B:B,Naturezas!D:D,"",0,1),"")</f>
        <v/>
      </c>
      <c r="V321" s="5" t="str">
        <f>IF(H321&lt;&gt;"",IF(OR(H321=Naturezas!$B$3,H321=Naturezas!$B$4,H321=Naturezas!$B$5,H321=Naturezas!$B$17,H321=Naturezas!$B$18,H321=Naturezas!$B$19),G321,-G321),"")</f>
        <v/>
      </c>
      <c r="W321" s="4" t="str">
        <f t="shared" si="28"/>
        <v/>
      </c>
      <c r="X321" s="4"/>
      <c r="Y321" s="4" t="str">
        <f t="shared" si="29"/>
        <v/>
      </c>
      <c r="Z321" s="6" t="str">
        <f>IF(H321&lt;&gt;"",Tabela1[[#This Row],[Iniciais]],"")</f>
        <v/>
      </c>
      <c r="AB321" s="6" t="str">
        <f>IF($H321&lt;&gt;"",RIGHT(Tabela1[[#This Row],[Ref.]],2),"")</f>
        <v/>
      </c>
      <c r="AC321" s="37" t="str">
        <f>IF($H321&lt;&gt;"",DATE(LEFT(Tabela1[[#This Row],[Ref.]],4),RIGHT(Tabela1[[#This Row],[Ref.]],2),1),"")</f>
        <v/>
      </c>
      <c r="AD321" s="4" t="str">
        <f t="shared" si="25"/>
        <v/>
      </c>
      <c r="AE321" s="5" t="str">
        <f t="shared" si="26"/>
        <v/>
      </c>
      <c r="AF321" s="4"/>
      <c r="AG321" s="6" t="str">
        <f t="shared" si="27"/>
        <v/>
      </c>
    </row>
    <row r="322" spans="1:33" ht="15.75" customHeight="1" x14ac:dyDescent="0.2">
      <c r="A322" s="35"/>
      <c r="B322" s="44"/>
      <c r="C322" s="35"/>
      <c r="D322" s="35"/>
      <c r="E322" s="48"/>
      <c r="F322" s="45"/>
      <c r="G322" s="38"/>
      <c r="H322" s="45"/>
      <c r="I322" s="45"/>
      <c r="L322" s="19"/>
      <c r="N322" s="25"/>
      <c r="O322" s="25"/>
      <c r="P322" s="27"/>
      <c r="R322" s="6" t="str">
        <f>IF($H322&lt;&gt;"",RIGHT(Tabela1[[#This Row],[Ref.]],2),"")</f>
        <v/>
      </c>
      <c r="S322" s="6" t="str">
        <f t="shared" si="24"/>
        <v/>
      </c>
      <c r="T322" s="4" t="str">
        <f>IF($H322&lt;&gt;"",_xlfn.XLOOKUP(H322,Naturezas!B:B,Naturezas!E:E,"",0,1),"")</f>
        <v/>
      </c>
      <c r="U322" s="4" t="str">
        <f>IF($H322&lt;&gt;"",_xlfn.XLOOKUP($H322,Naturezas!B:B,Naturezas!D:D,"",0,1),"")</f>
        <v/>
      </c>
      <c r="V322" s="5" t="str">
        <f>IF(H322&lt;&gt;"",IF(OR(H322=Naturezas!$B$3,H322=Naturezas!$B$4,H322=Naturezas!$B$5,H322=Naturezas!$B$17,H322=Naturezas!$B$18,H322=Naturezas!$B$19),G322,-G322),"")</f>
        <v/>
      </c>
      <c r="W322" s="4" t="str">
        <f t="shared" si="28"/>
        <v/>
      </c>
      <c r="X322" s="4"/>
      <c r="Y322" s="4" t="str">
        <f t="shared" si="29"/>
        <v/>
      </c>
      <c r="Z322" s="6" t="str">
        <f>IF(H322&lt;&gt;"",Tabela1[[#This Row],[Iniciais]],"")</f>
        <v/>
      </c>
      <c r="AB322" s="6" t="str">
        <f>IF($H322&lt;&gt;"",RIGHT(Tabela1[[#This Row],[Ref.]],2),"")</f>
        <v/>
      </c>
      <c r="AC322" s="37" t="str">
        <f>IF($H322&lt;&gt;"",DATE(LEFT(Tabela1[[#This Row],[Ref.]],4),RIGHT(Tabela1[[#This Row],[Ref.]],2),1),"")</f>
        <v/>
      </c>
      <c r="AD322" s="4" t="str">
        <f t="shared" si="25"/>
        <v/>
      </c>
      <c r="AE322" s="5" t="str">
        <f t="shared" si="26"/>
        <v/>
      </c>
      <c r="AF322" s="4"/>
      <c r="AG322" s="6" t="str">
        <f t="shared" si="27"/>
        <v/>
      </c>
    </row>
    <row r="323" spans="1:33" ht="15.75" customHeight="1" x14ac:dyDescent="0.2">
      <c r="A323" s="35"/>
      <c r="B323" s="44"/>
      <c r="C323" s="35"/>
      <c r="D323" s="35"/>
      <c r="E323" s="48"/>
      <c r="F323" s="45"/>
      <c r="G323" s="38"/>
      <c r="H323" s="45"/>
      <c r="I323" s="45"/>
      <c r="L323" s="19"/>
      <c r="N323" s="25"/>
      <c r="O323" s="25"/>
      <c r="P323" s="27"/>
      <c r="R323" s="6" t="str">
        <f>IF($H323&lt;&gt;"",RIGHT(Tabela1[[#This Row],[Ref.]],2),"")</f>
        <v/>
      </c>
      <c r="S323" s="6" t="str">
        <f t="shared" si="24"/>
        <v/>
      </c>
      <c r="T323" s="4" t="str">
        <f>IF($H323&lt;&gt;"",_xlfn.XLOOKUP(H323,Naturezas!B:B,Naturezas!E:E,"",0,1),"")</f>
        <v/>
      </c>
      <c r="U323" s="4" t="str">
        <f>IF($H323&lt;&gt;"",_xlfn.XLOOKUP($H323,Naturezas!B:B,Naturezas!D:D,"",0,1),"")</f>
        <v/>
      </c>
      <c r="V323" s="5" t="str">
        <f>IF(H323&lt;&gt;"",IF(OR(H323=Naturezas!$B$3,H323=Naturezas!$B$4,H323=Naturezas!$B$5,H323=Naturezas!$B$17,H323=Naturezas!$B$18,H323=Naturezas!$B$19),G323,-G323),"")</f>
        <v/>
      </c>
      <c r="W323" s="4" t="str">
        <f t="shared" si="28"/>
        <v/>
      </c>
      <c r="X323" s="4"/>
      <c r="Y323" s="4" t="str">
        <f t="shared" si="29"/>
        <v/>
      </c>
      <c r="Z323" s="6" t="str">
        <f>IF(H323&lt;&gt;"",Tabela1[[#This Row],[Iniciais]],"")</f>
        <v/>
      </c>
      <c r="AB323" s="6" t="str">
        <f>IF($H323&lt;&gt;"",RIGHT(Tabela1[[#This Row],[Ref.]],2),"")</f>
        <v/>
      </c>
      <c r="AC323" s="37" t="str">
        <f>IF($H323&lt;&gt;"",DATE(LEFT(Tabela1[[#This Row],[Ref.]],4),RIGHT(Tabela1[[#This Row],[Ref.]],2),1),"")</f>
        <v/>
      </c>
      <c r="AD323" s="4" t="str">
        <f t="shared" si="25"/>
        <v/>
      </c>
      <c r="AE323" s="5" t="str">
        <f t="shared" si="26"/>
        <v/>
      </c>
      <c r="AF323" s="4"/>
      <c r="AG323" s="6" t="str">
        <f t="shared" si="27"/>
        <v/>
      </c>
    </row>
    <row r="324" spans="1:33" ht="15.75" customHeight="1" x14ac:dyDescent="0.2">
      <c r="A324" s="35"/>
      <c r="B324" s="44"/>
      <c r="C324" s="35"/>
      <c r="D324" s="35"/>
      <c r="E324" s="48"/>
      <c r="F324" s="45"/>
      <c r="G324" s="38"/>
      <c r="H324" s="45"/>
      <c r="I324" s="45"/>
      <c r="L324" s="19"/>
      <c r="N324" s="25"/>
      <c r="O324" s="25"/>
      <c r="P324" s="27"/>
      <c r="R324" s="6" t="str">
        <f>IF($H324&lt;&gt;"",RIGHT(Tabela1[[#This Row],[Ref.]],2),"")</f>
        <v/>
      </c>
      <c r="S324" s="6" t="str">
        <f t="shared" si="24"/>
        <v/>
      </c>
      <c r="T324" s="4" t="str">
        <f>IF($H324&lt;&gt;"",_xlfn.XLOOKUP(H324,Naturezas!B:B,Naturezas!E:E,"",0,1),"")</f>
        <v/>
      </c>
      <c r="U324" s="4" t="str">
        <f>IF($H324&lt;&gt;"",_xlfn.XLOOKUP($H324,Naturezas!B:B,Naturezas!D:D,"",0,1),"")</f>
        <v/>
      </c>
      <c r="V324" s="5" t="str">
        <f>IF(H324&lt;&gt;"",IF(OR(H324=Naturezas!$B$3,H324=Naturezas!$B$4,H324=Naturezas!$B$5,H324=Naturezas!$B$17,H324=Naturezas!$B$18,H324=Naturezas!$B$19),G324,-G324),"")</f>
        <v/>
      </c>
      <c r="W324" s="4" t="str">
        <f t="shared" si="28"/>
        <v/>
      </c>
      <c r="X324" s="4"/>
      <c r="Y324" s="4" t="str">
        <f t="shared" si="29"/>
        <v/>
      </c>
      <c r="Z324" s="6" t="str">
        <f>IF(H324&lt;&gt;"",Tabela1[[#This Row],[Iniciais]],"")</f>
        <v/>
      </c>
      <c r="AB324" s="6" t="str">
        <f>IF($H324&lt;&gt;"",RIGHT(Tabela1[[#This Row],[Ref.]],2),"")</f>
        <v/>
      </c>
      <c r="AC324" s="37" t="str">
        <f>IF($H324&lt;&gt;"",DATE(LEFT(Tabela1[[#This Row],[Ref.]],4),RIGHT(Tabela1[[#This Row],[Ref.]],2),1),"")</f>
        <v/>
      </c>
      <c r="AD324" s="4" t="str">
        <f t="shared" si="25"/>
        <v/>
      </c>
      <c r="AE324" s="5" t="str">
        <f t="shared" si="26"/>
        <v/>
      </c>
      <c r="AF324" s="4"/>
      <c r="AG324" s="6" t="str">
        <f t="shared" si="27"/>
        <v/>
      </c>
    </row>
    <row r="325" spans="1:33" ht="15.75" customHeight="1" x14ac:dyDescent="0.2">
      <c r="A325" s="35"/>
      <c r="B325" s="44"/>
      <c r="C325" s="35"/>
      <c r="D325" s="35"/>
      <c r="E325" s="48"/>
      <c r="F325" s="45"/>
      <c r="G325" s="38"/>
      <c r="H325" s="45"/>
      <c r="I325" s="45"/>
      <c r="L325" s="19"/>
      <c r="N325" s="25"/>
      <c r="O325" s="25"/>
      <c r="P325" s="27"/>
      <c r="R325" s="6" t="str">
        <f>IF($H325&lt;&gt;"",RIGHT(Tabela1[[#This Row],[Ref.]],2),"")</f>
        <v/>
      </c>
      <c r="S325" s="6" t="str">
        <f t="shared" si="24"/>
        <v/>
      </c>
      <c r="T325" s="4" t="str">
        <f>IF($H325&lt;&gt;"",_xlfn.XLOOKUP(H325,Naturezas!B:B,Naturezas!E:E,"",0,1),"")</f>
        <v/>
      </c>
      <c r="U325" s="4" t="str">
        <f>IF($H325&lt;&gt;"",_xlfn.XLOOKUP($H325,Naturezas!B:B,Naturezas!D:D,"",0,1),"")</f>
        <v/>
      </c>
      <c r="V325" s="5" t="str">
        <f>IF(H325&lt;&gt;"",IF(OR(H325=Naturezas!$B$3,H325=Naturezas!$B$4,H325=Naturezas!$B$5,H325=Naturezas!$B$17,H325=Naturezas!$B$18,H325=Naturezas!$B$19),G325,-G325),"")</f>
        <v/>
      </c>
      <c r="W325" s="4" t="str">
        <f t="shared" si="28"/>
        <v/>
      </c>
      <c r="X325" s="4"/>
      <c r="Y325" s="4" t="str">
        <f t="shared" si="29"/>
        <v/>
      </c>
      <c r="Z325" s="6" t="str">
        <f>IF(H325&lt;&gt;"",Tabela1[[#This Row],[Iniciais]],"")</f>
        <v/>
      </c>
      <c r="AB325" s="6" t="str">
        <f>IF($H325&lt;&gt;"",RIGHT(Tabela1[[#This Row],[Ref.]],2),"")</f>
        <v/>
      </c>
      <c r="AC325" s="37" t="str">
        <f>IF($H325&lt;&gt;"",DATE(LEFT(Tabela1[[#This Row],[Ref.]],4),RIGHT(Tabela1[[#This Row],[Ref.]],2),1),"")</f>
        <v/>
      </c>
      <c r="AD325" s="4" t="str">
        <f t="shared" si="25"/>
        <v/>
      </c>
      <c r="AE325" s="5" t="str">
        <f t="shared" si="26"/>
        <v/>
      </c>
      <c r="AF325" s="4"/>
      <c r="AG325" s="6" t="str">
        <f t="shared" si="27"/>
        <v/>
      </c>
    </row>
    <row r="326" spans="1:33" ht="15.75" customHeight="1" x14ac:dyDescent="0.2">
      <c r="A326" s="35"/>
      <c r="B326" s="44"/>
      <c r="C326" s="35"/>
      <c r="D326" s="35"/>
      <c r="E326" s="48"/>
      <c r="F326" s="45"/>
      <c r="G326" s="38"/>
      <c r="H326" s="45"/>
      <c r="I326" s="45"/>
      <c r="L326" s="19"/>
      <c r="N326" s="25"/>
      <c r="O326" s="25"/>
      <c r="P326" s="27"/>
      <c r="R326" s="6" t="str">
        <f>IF($H326&lt;&gt;"",RIGHT(Tabela1[[#This Row],[Ref.]],2),"")</f>
        <v/>
      </c>
      <c r="S326" s="6" t="str">
        <f t="shared" si="24"/>
        <v/>
      </c>
      <c r="T326" s="4" t="str">
        <f>IF($H326&lt;&gt;"",_xlfn.XLOOKUP(H326,Naturezas!B:B,Naturezas!E:E,"",0,1),"")</f>
        <v/>
      </c>
      <c r="U326" s="4" t="str">
        <f>IF($H326&lt;&gt;"",_xlfn.XLOOKUP($H326,Naturezas!B:B,Naturezas!D:D,"",0,1),"")</f>
        <v/>
      </c>
      <c r="V326" s="5" t="str">
        <f>IF(H326&lt;&gt;"",IF(OR(H326=Naturezas!$B$3,H326=Naturezas!$B$4,H326=Naturezas!$B$5,H326=Naturezas!$B$17,H326=Naturezas!$B$18,H326=Naturezas!$B$19),G326,-G326),"")</f>
        <v/>
      </c>
      <c r="W326" s="4" t="str">
        <f t="shared" si="28"/>
        <v/>
      </c>
      <c r="X326" s="4"/>
      <c r="Y326" s="4" t="str">
        <f t="shared" si="29"/>
        <v/>
      </c>
      <c r="Z326" s="6" t="str">
        <f>IF(H326&lt;&gt;"",Tabela1[[#This Row],[Iniciais]],"")</f>
        <v/>
      </c>
      <c r="AB326" s="6" t="str">
        <f>IF($H326&lt;&gt;"",RIGHT(Tabela1[[#This Row],[Ref.]],2),"")</f>
        <v/>
      </c>
      <c r="AC326" s="37" t="str">
        <f>IF($H326&lt;&gt;"",DATE(LEFT(Tabela1[[#This Row],[Ref.]],4),RIGHT(Tabela1[[#This Row],[Ref.]],2),1),"")</f>
        <v/>
      </c>
      <c r="AD326" s="4" t="str">
        <f t="shared" si="25"/>
        <v/>
      </c>
      <c r="AE326" s="5" t="str">
        <f t="shared" si="26"/>
        <v/>
      </c>
      <c r="AF326" s="4"/>
      <c r="AG326" s="6" t="str">
        <f t="shared" si="27"/>
        <v/>
      </c>
    </row>
    <row r="327" spans="1:33" ht="15.75" customHeight="1" x14ac:dyDescent="0.2">
      <c r="A327" s="35"/>
      <c r="B327" s="44"/>
      <c r="C327" s="35"/>
      <c r="D327" s="35"/>
      <c r="E327" s="48"/>
      <c r="F327" s="45"/>
      <c r="G327" s="38"/>
      <c r="H327" s="45"/>
      <c r="I327" s="45"/>
      <c r="L327" s="19"/>
      <c r="N327" s="25"/>
      <c r="O327" s="25"/>
      <c r="P327" s="27"/>
      <c r="R327" s="6" t="str">
        <f>IF($H327&lt;&gt;"",RIGHT(Tabela1[[#This Row],[Ref.]],2),"")</f>
        <v/>
      </c>
      <c r="S327" s="6" t="str">
        <f t="shared" si="24"/>
        <v/>
      </c>
      <c r="T327" s="4" t="str">
        <f>IF($H327&lt;&gt;"",_xlfn.XLOOKUP(H327,Naturezas!B:B,Naturezas!E:E,"",0,1),"")</f>
        <v/>
      </c>
      <c r="U327" s="4" t="str">
        <f>IF($H327&lt;&gt;"",_xlfn.XLOOKUP($H327,Naturezas!B:B,Naturezas!D:D,"",0,1),"")</f>
        <v/>
      </c>
      <c r="V327" s="5" t="str">
        <f>IF(H327&lt;&gt;"",IF(OR(H327=Naturezas!$B$3,H327=Naturezas!$B$4,H327=Naturezas!$B$5,H327=Naturezas!$B$17,H327=Naturezas!$B$18,H327=Naturezas!$B$19),G327,-G327),"")</f>
        <v/>
      </c>
      <c r="W327" s="4" t="str">
        <f t="shared" si="28"/>
        <v/>
      </c>
      <c r="X327" s="4"/>
      <c r="Y327" s="4" t="str">
        <f t="shared" si="29"/>
        <v/>
      </c>
      <c r="Z327" s="6" t="str">
        <f>IF(H327&lt;&gt;"",Tabela1[[#This Row],[Iniciais]],"")</f>
        <v/>
      </c>
      <c r="AB327" s="6" t="str">
        <f>IF($H327&lt;&gt;"",RIGHT(Tabela1[[#This Row],[Ref.]],2),"")</f>
        <v/>
      </c>
      <c r="AC327" s="37" t="str">
        <f>IF($H327&lt;&gt;"",DATE(LEFT(Tabela1[[#This Row],[Ref.]],4),RIGHT(Tabela1[[#This Row],[Ref.]],2),1),"")</f>
        <v/>
      </c>
      <c r="AD327" s="4" t="str">
        <f t="shared" si="25"/>
        <v/>
      </c>
      <c r="AE327" s="5" t="str">
        <f t="shared" si="26"/>
        <v/>
      </c>
      <c r="AF327" s="4"/>
      <c r="AG327" s="6" t="str">
        <f t="shared" si="27"/>
        <v/>
      </c>
    </row>
    <row r="328" spans="1:33" ht="15.75" customHeight="1" x14ac:dyDescent="0.2">
      <c r="A328" s="35"/>
      <c r="B328" s="44"/>
      <c r="C328" s="35"/>
      <c r="D328" s="35"/>
      <c r="E328" s="48"/>
      <c r="F328" s="45"/>
      <c r="G328" s="38"/>
      <c r="H328" s="45"/>
      <c r="I328" s="45"/>
      <c r="L328" s="19"/>
      <c r="N328" s="25"/>
      <c r="O328" s="25"/>
      <c r="P328" s="27"/>
      <c r="R328" s="6" t="str">
        <f>IF($H328&lt;&gt;"",RIGHT(Tabela1[[#This Row],[Ref.]],2),"")</f>
        <v/>
      </c>
      <c r="S328" s="6" t="str">
        <f t="shared" si="24"/>
        <v/>
      </c>
      <c r="T328" s="4" t="str">
        <f>IF($H328&lt;&gt;"",_xlfn.XLOOKUP(H328,Naturezas!B:B,Naturezas!E:E,"",0,1),"")</f>
        <v/>
      </c>
      <c r="U328" s="4" t="str">
        <f>IF($H328&lt;&gt;"",_xlfn.XLOOKUP($H328,Naturezas!B:B,Naturezas!D:D,"",0,1),"")</f>
        <v/>
      </c>
      <c r="V328" s="5" t="str">
        <f>IF(H328&lt;&gt;"",IF(OR(H328=Naturezas!$B$3,H328=Naturezas!$B$4,H328=Naturezas!$B$5,H328=Naturezas!$B$17,H328=Naturezas!$B$18,H328=Naturezas!$B$19),G328,-G328),"")</f>
        <v/>
      </c>
      <c r="W328" s="4" t="str">
        <f t="shared" si="28"/>
        <v/>
      </c>
      <c r="X328" s="4"/>
      <c r="Y328" s="4" t="str">
        <f t="shared" si="29"/>
        <v/>
      </c>
      <c r="Z328" s="6" t="str">
        <f>IF(H328&lt;&gt;"",Tabela1[[#This Row],[Iniciais]],"")</f>
        <v/>
      </c>
      <c r="AB328" s="6" t="str">
        <f>IF($H328&lt;&gt;"",RIGHT(Tabela1[[#This Row],[Ref.]],2),"")</f>
        <v/>
      </c>
      <c r="AC328" s="37" t="str">
        <f>IF($H328&lt;&gt;"",DATE(LEFT(Tabela1[[#This Row],[Ref.]],4),RIGHT(Tabela1[[#This Row],[Ref.]],2),1),"")</f>
        <v/>
      </c>
      <c r="AD328" s="4" t="str">
        <f t="shared" si="25"/>
        <v/>
      </c>
      <c r="AE328" s="5" t="str">
        <f t="shared" si="26"/>
        <v/>
      </c>
      <c r="AF328" s="4"/>
      <c r="AG328" s="6" t="str">
        <f t="shared" si="27"/>
        <v/>
      </c>
    </row>
    <row r="329" spans="1:33" ht="15.75" customHeight="1" x14ac:dyDescent="0.2">
      <c r="A329" s="35"/>
      <c r="B329" s="44"/>
      <c r="C329" s="35"/>
      <c r="D329" s="35"/>
      <c r="E329" s="48"/>
      <c r="F329" s="45"/>
      <c r="G329" s="38"/>
      <c r="H329" s="45"/>
      <c r="I329" s="45"/>
      <c r="L329" s="19"/>
      <c r="N329" s="25"/>
      <c r="O329" s="25"/>
      <c r="P329" s="27"/>
      <c r="R329" s="6" t="str">
        <f>IF($H329&lt;&gt;"",RIGHT(Tabela1[[#This Row],[Ref.]],2),"")</f>
        <v/>
      </c>
      <c r="S329" s="6" t="str">
        <f t="shared" ref="S329:S392" si="30">IF($H329&lt;&gt;"",1,"")</f>
        <v/>
      </c>
      <c r="T329" s="4" t="str">
        <f>IF($H329&lt;&gt;"",_xlfn.XLOOKUP(H329,Naturezas!B:B,Naturezas!E:E,"",0,1),"")</f>
        <v/>
      </c>
      <c r="U329" s="4" t="str">
        <f>IF($H329&lt;&gt;"",_xlfn.XLOOKUP($H329,Naturezas!B:B,Naturezas!D:D,"",0,1),"")</f>
        <v/>
      </c>
      <c r="V329" s="5" t="str">
        <f>IF(H329&lt;&gt;"",IF(OR(H329=Naturezas!$B$3,H329=Naturezas!$B$4,H329=Naturezas!$B$5,H329=Naturezas!$B$17,H329=Naturezas!$B$18,H329=Naturezas!$B$19),G329,-G329),"")</f>
        <v/>
      </c>
      <c r="W329" s="4" t="str">
        <f t="shared" si="28"/>
        <v/>
      </c>
      <c r="X329" s="4"/>
      <c r="Y329" s="4" t="str">
        <f t="shared" si="29"/>
        <v/>
      </c>
      <c r="Z329" s="6" t="str">
        <f>IF(H329&lt;&gt;"",Tabela1[[#This Row],[Iniciais]],"")</f>
        <v/>
      </c>
      <c r="AB329" s="6" t="str">
        <f>IF($H329&lt;&gt;"",RIGHT(Tabela1[[#This Row],[Ref.]],2),"")</f>
        <v/>
      </c>
      <c r="AC329" s="37" t="str">
        <f>IF($H329&lt;&gt;"",DATE(LEFT(Tabela1[[#This Row],[Ref.]],4),RIGHT(Tabela1[[#This Row],[Ref.]],2),1),"")</f>
        <v/>
      </c>
      <c r="AD329" s="4" t="str">
        <f t="shared" ref="AD329:AD392" si="31">IF($H329&lt;&gt;"",$F329,"")</f>
        <v/>
      </c>
      <c r="AE329" s="5" t="str">
        <f t="shared" ref="AE329:AE392" si="32">IF($H329&lt;&gt;"",$G329,"")</f>
        <v/>
      </c>
      <c r="AF329" s="4"/>
      <c r="AG329" s="6" t="str">
        <f t="shared" ref="AG329:AG392" si="33">IF($H329&lt;&gt;"",$B$2,"")</f>
        <v/>
      </c>
    </row>
    <row r="330" spans="1:33" ht="15.75" customHeight="1" x14ac:dyDescent="0.2">
      <c r="A330" s="35"/>
      <c r="B330" s="44"/>
      <c r="C330" s="35"/>
      <c r="D330" s="35"/>
      <c r="E330" s="48"/>
      <c r="F330" s="45"/>
      <c r="G330" s="38"/>
      <c r="H330" s="45"/>
      <c r="I330" s="45"/>
      <c r="L330" s="19"/>
      <c r="N330" s="25"/>
      <c r="O330" s="25"/>
      <c r="P330" s="27"/>
      <c r="R330" s="6" t="str">
        <f>IF($H330&lt;&gt;"",RIGHT(Tabela1[[#This Row],[Ref.]],2),"")</f>
        <v/>
      </c>
      <c r="S330" s="6" t="str">
        <f t="shared" si="30"/>
        <v/>
      </c>
      <c r="T330" s="4" t="str">
        <f>IF($H330&lt;&gt;"",_xlfn.XLOOKUP(H330,Naturezas!B:B,Naturezas!E:E,"",0,1),"")</f>
        <v/>
      </c>
      <c r="U330" s="4" t="str">
        <f>IF($H330&lt;&gt;"",_xlfn.XLOOKUP($H330,Naturezas!B:B,Naturezas!D:D,"",0,1),"")</f>
        <v/>
      </c>
      <c r="V330" s="5" t="str">
        <f>IF(H330&lt;&gt;"",IF(OR(H330=Naturezas!$B$3,H330=Naturezas!$B$4,H330=Naturezas!$B$5,H330=Naturezas!$B$17,H330=Naturezas!$B$18,H330=Naturezas!$B$19),G330,-G330),"")</f>
        <v/>
      </c>
      <c r="W330" s="4" t="str">
        <f t="shared" ref="W330:W393" si="34">IF(H330&lt;&gt;"",H330,"")</f>
        <v/>
      </c>
      <c r="X330" s="4"/>
      <c r="Y330" s="4" t="str">
        <f t="shared" ref="Y330:Y393" si="35">IF(H330&lt;&gt;"",F330,"")</f>
        <v/>
      </c>
      <c r="Z330" s="6" t="str">
        <f>IF(H330&lt;&gt;"",Tabela1[[#This Row],[Iniciais]],"")</f>
        <v/>
      </c>
      <c r="AB330" s="6" t="str">
        <f>IF($H330&lt;&gt;"",RIGHT(Tabela1[[#This Row],[Ref.]],2),"")</f>
        <v/>
      </c>
      <c r="AC330" s="37" t="str">
        <f>IF($H330&lt;&gt;"",DATE(LEFT(Tabela1[[#This Row],[Ref.]],4),RIGHT(Tabela1[[#This Row],[Ref.]],2),1),"")</f>
        <v/>
      </c>
      <c r="AD330" s="4" t="str">
        <f t="shared" si="31"/>
        <v/>
      </c>
      <c r="AE330" s="5" t="str">
        <f t="shared" si="32"/>
        <v/>
      </c>
      <c r="AF330" s="4"/>
      <c r="AG330" s="6" t="str">
        <f t="shared" si="33"/>
        <v/>
      </c>
    </row>
    <row r="331" spans="1:33" ht="15.75" customHeight="1" x14ac:dyDescent="0.2">
      <c r="A331" s="35"/>
      <c r="B331" s="44"/>
      <c r="C331" s="35"/>
      <c r="D331" s="35"/>
      <c r="E331" s="48"/>
      <c r="F331" s="45"/>
      <c r="G331" s="38"/>
      <c r="H331" s="45"/>
      <c r="I331" s="45"/>
      <c r="L331" s="19"/>
      <c r="N331" s="25"/>
      <c r="O331" s="25"/>
      <c r="P331" s="27"/>
      <c r="R331" s="6" t="str">
        <f>IF($H331&lt;&gt;"",RIGHT(Tabela1[[#This Row],[Ref.]],2),"")</f>
        <v/>
      </c>
      <c r="S331" s="6" t="str">
        <f t="shared" si="30"/>
        <v/>
      </c>
      <c r="T331" s="4" t="str">
        <f>IF($H331&lt;&gt;"",_xlfn.XLOOKUP(H331,Naturezas!B:B,Naturezas!E:E,"",0,1),"")</f>
        <v/>
      </c>
      <c r="U331" s="4" t="str">
        <f>IF($H331&lt;&gt;"",_xlfn.XLOOKUP($H331,Naturezas!B:B,Naturezas!D:D,"",0,1),"")</f>
        <v/>
      </c>
      <c r="V331" s="5" t="str">
        <f>IF(H331&lt;&gt;"",IF(OR(H331=Naturezas!$B$3,H331=Naturezas!$B$4,H331=Naturezas!$B$5,H331=Naturezas!$B$17,H331=Naturezas!$B$18,H331=Naturezas!$B$19),G331,-G331),"")</f>
        <v/>
      </c>
      <c r="W331" s="4" t="str">
        <f t="shared" si="34"/>
        <v/>
      </c>
      <c r="X331" s="4"/>
      <c r="Y331" s="4" t="str">
        <f t="shared" si="35"/>
        <v/>
      </c>
      <c r="Z331" s="6" t="str">
        <f>IF(H331&lt;&gt;"",Tabela1[[#This Row],[Iniciais]],"")</f>
        <v/>
      </c>
      <c r="AB331" s="6" t="str">
        <f>IF($H331&lt;&gt;"",RIGHT(Tabela1[[#This Row],[Ref.]],2),"")</f>
        <v/>
      </c>
      <c r="AC331" s="37" t="str">
        <f>IF($H331&lt;&gt;"",DATE(LEFT(Tabela1[[#This Row],[Ref.]],4),RIGHT(Tabela1[[#This Row],[Ref.]],2),1),"")</f>
        <v/>
      </c>
      <c r="AD331" s="4" t="str">
        <f t="shared" si="31"/>
        <v/>
      </c>
      <c r="AE331" s="5" t="str">
        <f t="shared" si="32"/>
        <v/>
      </c>
      <c r="AF331" s="4"/>
      <c r="AG331" s="6" t="str">
        <f t="shared" si="33"/>
        <v/>
      </c>
    </row>
    <row r="332" spans="1:33" ht="15.75" customHeight="1" x14ac:dyDescent="0.2">
      <c r="A332" s="35"/>
      <c r="B332" s="44"/>
      <c r="C332" s="35"/>
      <c r="D332" s="35"/>
      <c r="E332" s="48"/>
      <c r="F332" s="45"/>
      <c r="G332" s="38"/>
      <c r="H332" s="45"/>
      <c r="I332" s="45"/>
      <c r="L332" s="19"/>
      <c r="N332" s="25"/>
      <c r="O332" s="25"/>
      <c r="P332" s="27"/>
      <c r="R332" s="6" t="str">
        <f>IF($H332&lt;&gt;"",RIGHT(Tabela1[[#This Row],[Ref.]],2),"")</f>
        <v/>
      </c>
      <c r="S332" s="6" t="str">
        <f t="shared" si="30"/>
        <v/>
      </c>
      <c r="T332" s="4" t="str">
        <f>IF($H332&lt;&gt;"",_xlfn.XLOOKUP(H332,Naturezas!B:B,Naturezas!E:E,"",0,1),"")</f>
        <v/>
      </c>
      <c r="U332" s="4" t="str">
        <f>IF($H332&lt;&gt;"",_xlfn.XLOOKUP($H332,Naturezas!B:B,Naturezas!D:D,"",0,1),"")</f>
        <v/>
      </c>
      <c r="V332" s="5" t="str">
        <f>IF(H332&lt;&gt;"",IF(OR(H332=Naturezas!$B$3,H332=Naturezas!$B$4,H332=Naturezas!$B$5,H332=Naturezas!$B$17,H332=Naturezas!$B$18,H332=Naturezas!$B$19),G332,-G332),"")</f>
        <v/>
      </c>
      <c r="W332" s="4" t="str">
        <f t="shared" si="34"/>
        <v/>
      </c>
      <c r="X332" s="4"/>
      <c r="Y332" s="4" t="str">
        <f t="shared" si="35"/>
        <v/>
      </c>
      <c r="Z332" s="6" t="str">
        <f>IF(H332&lt;&gt;"",Tabela1[[#This Row],[Iniciais]],"")</f>
        <v/>
      </c>
      <c r="AB332" s="6" t="str">
        <f>IF($H332&lt;&gt;"",RIGHT(Tabela1[[#This Row],[Ref.]],2),"")</f>
        <v/>
      </c>
      <c r="AC332" s="37" t="str">
        <f>IF($H332&lt;&gt;"",DATE(LEFT(Tabela1[[#This Row],[Ref.]],4),RIGHT(Tabela1[[#This Row],[Ref.]],2),1),"")</f>
        <v/>
      </c>
      <c r="AD332" s="4" t="str">
        <f t="shared" si="31"/>
        <v/>
      </c>
      <c r="AE332" s="5" t="str">
        <f t="shared" si="32"/>
        <v/>
      </c>
      <c r="AF332" s="4"/>
      <c r="AG332" s="6" t="str">
        <f t="shared" si="33"/>
        <v/>
      </c>
    </row>
    <row r="333" spans="1:33" ht="15.75" customHeight="1" x14ac:dyDescent="0.2">
      <c r="A333" s="35"/>
      <c r="B333" s="44"/>
      <c r="C333" s="35"/>
      <c r="D333" s="35"/>
      <c r="E333" s="48"/>
      <c r="F333" s="45"/>
      <c r="G333" s="38"/>
      <c r="H333" s="45"/>
      <c r="I333" s="45"/>
      <c r="L333" s="19"/>
      <c r="N333" s="25"/>
      <c r="O333" s="25"/>
      <c r="P333" s="27"/>
      <c r="R333" s="6" t="str">
        <f>IF($H333&lt;&gt;"",RIGHT(Tabela1[[#This Row],[Ref.]],2),"")</f>
        <v/>
      </c>
      <c r="S333" s="6" t="str">
        <f t="shared" si="30"/>
        <v/>
      </c>
      <c r="T333" s="4" t="str">
        <f>IF($H333&lt;&gt;"",_xlfn.XLOOKUP(H333,Naturezas!B:B,Naturezas!E:E,"",0,1),"")</f>
        <v/>
      </c>
      <c r="U333" s="4" t="str">
        <f>IF($H333&lt;&gt;"",_xlfn.XLOOKUP($H333,Naturezas!B:B,Naturezas!D:D,"",0,1),"")</f>
        <v/>
      </c>
      <c r="V333" s="5" t="str">
        <f>IF(H333&lt;&gt;"",IF(OR(H333=Naturezas!$B$3,H333=Naturezas!$B$4,H333=Naturezas!$B$5,H333=Naturezas!$B$17,H333=Naturezas!$B$18,H333=Naturezas!$B$19),G333,-G333),"")</f>
        <v/>
      </c>
      <c r="W333" s="4" t="str">
        <f t="shared" si="34"/>
        <v/>
      </c>
      <c r="X333" s="4"/>
      <c r="Y333" s="4" t="str">
        <f t="shared" si="35"/>
        <v/>
      </c>
      <c r="Z333" s="6" t="str">
        <f>IF(H333&lt;&gt;"",Tabela1[[#This Row],[Iniciais]],"")</f>
        <v/>
      </c>
      <c r="AB333" s="6" t="str">
        <f>IF($H333&lt;&gt;"",RIGHT(Tabela1[[#This Row],[Ref.]],2),"")</f>
        <v/>
      </c>
      <c r="AC333" s="37" t="str">
        <f>IF($H333&lt;&gt;"",DATE(LEFT(Tabela1[[#This Row],[Ref.]],4),RIGHT(Tabela1[[#This Row],[Ref.]],2),1),"")</f>
        <v/>
      </c>
      <c r="AD333" s="4" t="str">
        <f t="shared" si="31"/>
        <v/>
      </c>
      <c r="AE333" s="5" t="str">
        <f t="shared" si="32"/>
        <v/>
      </c>
      <c r="AF333" s="4"/>
      <c r="AG333" s="6" t="str">
        <f t="shared" si="33"/>
        <v/>
      </c>
    </row>
    <row r="334" spans="1:33" ht="15.75" customHeight="1" x14ac:dyDescent="0.2">
      <c r="A334" s="35"/>
      <c r="B334" s="44"/>
      <c r="C334" s="35"/>
      <c r="D334" s="35"/>
      <c r="E334" s="48"/>
      <c r="F334" s="45"/>
      <c r="G334" s="38"/>
      <c r="H334" s="45"/>
      <c r="I334" s="45"/>
      <c r="L334" s="19"/>
      <c r="N334" s="25"/>
      <c r="O334" s="25"/>
      <c r="P334" s="27"/>
      <c r="R334" s="6" t="str">
        <f>IF($H334&lt;&gt;"",RIGHT(Tabela1[[#This Row],[Ref.]],2),"")</f>
        <v/>
      </c>
      <c r="S334" s="6" t="str">
        <f t="shared" si="30"/>
        <v/>
      </c>
      <c r="T334" s="4" t="str">
        <f>IF($H334&lt;&gt;"",_xlfn.XLOOKUP(H334,Naturezas!B:B,Naturezas!E:E,"",0,1),"")</f>
        <v/>
      </c>
      <c r="U334" s="4" t="str">
        <f>IF($H334&lt;&gt;"",_xlfn.XLOOKUP($H334,Naturezas!B:B,Naturezas!D:D,"",0,1),"")</f>
        <v/>
      </c>
      <c r="V334" s="5" t="str">
        <f>IF(H334&lt;&gt;"",IF(OR(H334=Naturezas!$B$3,H334=Naturezas!$B$4,H334=Naturezas!$B$5,H334=Naturezas!$B$17,H334=Naturezas!$B$18,H334=Naturezas!$B$19),G334,-G334),"")</f>
        <v/>
      </c>
      <c r="W334" s="4" t="str">
        <f t="shared" si="34"/>
        <v/>
      </c>
      <c r="X334" s="4"/>
      <c r="Y334" s="4" t="str">
        <f t="shared" si="35"/>
        <v/>
      </c>
      <c r="Z334" s="6" t="str">
        <f>IF(H334&lt;&gt;"",Tabela1[[#This Row],[Iniciais]],"")</f>
        <v/>
      </c>
      <c r="AB334" s="6" t="str">
        <f>IF($H334&lt;&gt;"",RIGHT(Tabela1[[#This Row],[Ref.]],2),"")</f>
        <v/>
      </c>
      <c r="AC334" s="37" t="str">
        <f>IF($H334&lt;&gt;"",DATE(LEFT(Tabela1[[#This Row],[Ref.]],4),RIGHT(Tabela1[[#This Row],[Ref.]],2),1),"")</f>
        <v/>
      </c>
      <c r="AD334" s="4" t="str">
        <f t="shared" si="31"/>
        <v/>
      </c>
      <c r="AE334" s="5" t="str">
        <f t="shared" si="32"/>
        <v/>
      </c>
      <c r="AF334" s="4"/>
      <c r="AG334" s="6" t="str">
        <f t="shared" si="33"/>
        <v/>
      </c>
    </row>
    <row r="335" spans="1:33" ht="15.75" customHeight="1" x14ac:dyDescent="0.2">
      <c r="A335" s="35"/>
      <c r="B335" s="44"/>
      <c r="C335" s="35"/>
      <c r="D335" s="35"/>
      <c r="E335" s="48"/>
      <c r="F335" s="45"/>
      <c r="G335" s="38"/>
      <c r="H335" s="45"/>
      <c r="I335" s="45"/>
      <c r="L335" s="19"/>
      <c r="N335" s="25"/>
      <c r="O335" s="25"/>
      <c r="P335" s="27"/>
      <c r="R335" s="6" t="str">
        <f>IF($H335&lt;&gt;"",RIGHT(Tabela1[[#This Row],[Ref.]],2),"")</f>
        <v/>
      </c>
      <c r="S335" s="6" t="str">
        <f t="shared" si="30"/>
        <v/>
      </c>
      <c r="T335" s="4" t="str">
        <f>IF($H335&lt;&gt;"",_xlfn.XLOOKUP(H335,Naturezas!B:B,Naturezas!E:E,"",0,1),"")</f>
        <v/>
      </c>
      <c r="U335" s="4" t="str">
        <f>IF($H335&lt;&gt;"",_xlfn.XLOOKUP($H335,Naturezas!B:B,Naturezas!D:D,"",0,1),"")</f>
        <v/>
      </c>
      <c r="V335" s="5" t="str">
        <f>IF(H335&lt;&gt;"",IF(OR(H335=Naturezas!$B$3,H335=Naturezas!$B$4,H335=Naturezas!$B$5,H335=Naturezas!$B$17,H335=Naturezas!$B$18,H335=Naturezas!$B$19),G335,-G335),"")</f>
        <v/>
      </c>
      <c r="W335" s="4" t="str">
        <f t="shared" si="34"/>
        <v/>
      </c>
      <c r="X335" s="4"/>
      <c r="Y335" s="4" t="str">
        <f t="shared" si="35"/>
        <v/>
      </c>
      <c r="Z335" s="6" t="str">
        <f>IF(H335&lt;&gt;"",Tabela1[[#This Row],[Iniciais]],"")</f>
        <v/>
      </c>
      <c r="AB335" s="6" t="str">
        <f>IF($H335&lt;&gt;"",RIGHT(Tabela1[[#This Row],[Ref.]],2),"")</f>
        <v/>
      </c>
      <c r="AC335" s="37" t="str">
        <f>IF($H335&lt;&gt;"",DATE(LEFT(Tabela1[[#This Row],[Ref.]],4),RIGHT(Tabela1[[#This Row],[Ref.]],2),1),"")</f>
        <v/>
      </c>
      <c r="AD335" s="4" t="str">
        <f t="shared" si="31"/>
        <v/>
      </c>
      <c r="AE335" s="5" t="str">
        <f t="shared" si="32"/>
        <v/>
      </c>
      <c r="AF335" s="4"/>
      <c r="AG335" s="6" t="str">
        <f t="shared" si="33"/>
        <v/>
      </c>
    </row>
    <row r="336" spans="1:33" ht="15.75" customHeight="1" x14ac:dyDescent="0.2">
      <c r="A336" s="35"/>
      <c r="B336" s="44"/>
      <c r="C336" s="35"/>
      <c r="D336" s="35"/>
      <c r="E336" s="48"/>
      <c r="F336" s="45"/>
      <c r="G336" s="38"/>
      <c r="H336" s="45"/>
      <c r="I336" s="45"/>
      <c r="L336" s="19"/>
      <c r="N336" s="25"/>
      <c r="O336" s="25"/>
      <c r="P336" s="27"/>
      <c r="R336" s="6" t="str">
        <f>IF($H336&lt;&gt;"",RIGHT(Tabela1[[#This Row],[Ref.]],2),"")</f>
        <v/>
      </c>
      <c r="S336" s="6" t="str">
        <f t="shared" si="30"/>
        <v/>
      </c>
      <c r="T336" s="4" t="str">
        <f>IF($H336&lt;&gt;"",_xlfn.XLOOKUP(H336,Naturezas!B:B,Naturezas!E:E,"",0,1),"")</f>
        <v/>
      </c>
      <c r="U336" s="4" t="str">
        <f>IF($H336&lt;&gt;"",_xlfn.XLOOKUP($H336,Naturezas!B:B,Naturezas!D:D,"",0,1),"")</f>
        <v/>
      </c>
      <c r="V336" s="5" t="str">
        <f>IF(H336&lt;&gt;"",IF(OR(H336=Naturezas!$B$3,H336=Naturezas!$B$4,H336=Naturezas!$B$5,H336=Naturezas!$B$17,H336=Naturezas!$B$18,H336=Naturezas!$B$19),G336,-G336),"")</f>
        <v/>
      </c>
      <c r="W336" s="4" t="str">
        <f t="shared" si="34"/>
        <v/>
      </c>
      <c r="X336" s="4"/>
      <c r="Y336" s="4" t="str">
        <f t="shared" si="35"/>
        <v/>
      </c>
      <c r="Z336" s="6" t="str">
        <f>IF(H336&lt;&gt;"",Tabela1[[#This Row],[Iniciais]],"")</f>
        <v/>
      </c>
      <c r="AB336" s="6" t="str">
        <f>IF($H336&lt;&gt;"",RIGHT(Tabela1[[#This Row],[Ref.]],2),"")</f>
        <v/>
      </c>
      <c r="AC336" s="37" t="str">
        <f>IF($H336&lt;&gt;"",DATE(LEFT(Tabela1[[#This Row],[Ref.]],4),RIGHT(Tabela1[[#This Row],[Ref.]],2),1),"")</f>
        <v/>
      </c>
      <c r="AD336" s="4" t="str">
        <f t="shared" si="31"/>
        <v/>
      </c>
      <c r="AE336" s="5" t="str">
        <f t="shared" si="32"/>
        <v/>
      </c>
      <c r="AF336" s="4"/>
      <c r="AG336" s="6" t="str">
        <f t="shared" si="33"/>
        <v/>
      </c>
    </row>
    <row r="337" spans="1:33" ht="15.75" customHeight="1" x14ac:dyDescent="0.2">
      <c r="A337" s="35"/>
      <c r="B337" s="44"/>
      <c r="C337" s="35"/>
      <c r="D337" s="35"/>
      <c r="E337" s="48"/>
      <c r="F337" s="45"/>
      <c r="G337" s="38"/>
      <c r="H337" s="45"/>
      <c r="I337" s="45"/>
      <c r="L337" s="19"/>
      <c r="N337" s="25"/>
      <c r="O337" s="25"/>
      <c r="P337" s="27"/>
      <c r="R337" s="6" t="str">
        <f>IF($H337&lt;&gt;"",RIGHT(Tabela1[[#This Row],[Ref.]],2),"")</f>
        <v/>
      </c>
      <c r="S337" s="6" t="str">
        <f t="shared" si="30"/>
        <v/>
      </c>
      <c r="T337" s="4" t="str">
        <f>IF($H337&lt;&gt;"",_xlfn.XLOOKUP(H337,Naturezas!B:B,Naturezas!E:E,"",0,1),"")</f>
        <v/>
      </c>
      <c r="U337" s="4" t="str">
        <f>IF($H337&lt;&gt;"",_xlfn.XLOOKUP($H337,Naturezas!B:B,Naturezas!D:D,"",0,1),"")</f>
        <v/>
      </c>
      <c r="V337" s="5" t="str">
        <f>IF(H337&lt;&gt;"",IF(OR(H337=Naturezas!$B$3,H337=Naturezas!$B$4,H337=Naturezas!$B$5,H337=Naturezas!$B$17,H337=Naturezas!$B$18,H337=Naturezas!$B$19),G337,-G337),"")</f>
        <v/>
      </c>
      <c r="W337" s="4" t="str">
        <f t="shared" si="34"/>
        <v/>
      </c>
      <c r="X337" s="4"/>
      <c r="Y337" s="4" t="str">
        <f t="shared" si="35"/>
        <v/>
      </c>
      <c r="Z337" s="6" t="str">
        <f>IF(H337&lt;&gt;"",Tabela1[[#This Row],[Iniciais]],"")</f>
        <v/>
      </c>
      <c r="AB337" s="6" t="str">
        <f>IF($H337&lt;&gt;"",RIGHT(Tabela1[[#This Row],[Ref.]],2),"")</f>
        <v/>
      </c>
      <c r="AC337" s="37" t="str">
        <f>IF($H337&lt;&gt;"",DATE(LEFT(Tabela1[[#This Row],[Ref.]],4),RIGHT(Tabela1[[#This Row],[Ref.]],2),1),"")</f>
        <v/>
      </c>
      <c r="AD337" s="4" t="str">
        <f t="shared" si="31"/>
        <v/>
      </c>
      <c r="AE337" s="5" t="str">
        <f t="shared" si="32"/>
        <v/>
      </c>
      <c r="AF337" s="4"/>
      <c r="AG337" s="6" t="str">
        <f t="shared" si="33"/>
        <v/>
      </c>
    </row>
    <row r="338" spans="1:33" ht="15.75" customHeight="1" x14ac:dyDescent="0.2">
      <c r="A338" s="35"/>
      <c r="B338" s="44"/>
      <c r="C338" s="35"/>
      <c r="D338" s="35"/>
      <c r="E338" s="48"/>
      <c r="F338" s="45"/>
      <c r="G338" s="38"/>
      <c r="H338" s="45"/>
      <c r="I338" s="45"/>
      <c r="L338" s="19"/>
      <c r="N338" s="25"/>
      <c r="O338" s="25"/>
      <c r="P338" s="27"/>
      <c r="R338" s="6" t="str">
        <f>IF($H338&lt;&gt;"",RIGHT(Tabela1[[#This Row],[Ref.]],2),"")</f>
        <v/>
      </c>
      <c r="S338" s="6" t="str">
        <f t="shared" si="30"/>
        <v/>
      </c>
      <c r="T338" s="4" t="str">
        <f>IF($H338&lt;&gt;"",_xlfn.XLOOKUP(H338,Naturezas!B:B,Naturezas!E:E,"",0,1),"")</f>
        <v/>
      </c>
      <c r="U338" s="4" t="str">
        <f>IF($H338&lt;&gt;"",_xlfn.XLOOKUP($H338,Naturezas!B:B,Naturezas!D:D,"",0,1),"")</f>
        <v/>
      </c>
      <c r="V338" s="5" t="str">
        <f>IF(H338&lt;&gt;"",IF(OR(H338=Naturezas!$B$3,H338=Naturezas!$B$4,H338=Naturezas!$B$5,H338=Naturezas!$B$17,H338=Naturezas!$B$18,H338=Naturezas!$B$19),G338,-G338),"")</f>
        <v/>
      </c>
      <c r="W338" s="4" t="str">
        <f t="shared" si="34"/>
        <v/>
      </c>
      <c r="X338" s="4"/>
      <c r="Y338" s="4" t="str">
        <f t="shared" si="35"/>
        <v/>
      </c>
      <c r="Z338" s="6" t="str">
        <f>IF(H338&lt;&gt;"",Tabela1[[#This Row],[Iniciais]],"")</f>
        <v/>
      </c>
      <c r="AB338" s="6" t="str">
        <f>IF($H338&lt;&gt;"",RIGHT(Tabela1[[#This Row],[Ref.]],2),"")</f>
        <v/>
      </c>
      <c r="AC338" s="37" t="str">
        <f>IF($H338&lt;&gt;"",DATE(LEFT(Tabela1[[#This Row],[Ref.]],4),RIGHT(Tabela1[[#This Row],[Ref.]],2),1),"")</f>
        <v/>
      </c>
      <c r="AD338" s="4" t="str">
        <f t="shared" si="31"/>
        <v/>
      </c>
      <c r="AE338" s="5" t="str">
        <f t="shared" si="32"/>
        <v/>
      </c>
      <c r="AF338" s="4"/>
      <c r="AG338" s="6" t="str">
        <f t="shared" si="33"/>
        <v/>
      </c>
    </row>
    <row r="339" spans="1:33" ht="15.75" customHeight="1" x14ac:dyDescent="0.2">
      <c r="A339" s="35"/>
      <c r="B339" s="44"/>
      <c r="C339" s="35"/>
      <c r="D339" s="35"/>
      <c r="E339" s="48"/>
      <c r="F339" s="45"/>
      <c r="G339" s="38"/>
      <c r="H339" s="45"/>
      <c r="I339" s="45"/>
      <c r="L339" s="19"/>
      <c r="N339" s="25"/>
      <c r="O339" s="25"/>
      <c r="P339" s="27"/>
      <c r="R339" s="6" t="str">
        <f>IF($H339&lt;&gt;"",RIGHT(Tabela1[[#This Row],[Ref.]],2),"")</f>
        <v/>
      </c>
      <c r="S339" s="6" t="str">
        <f t="shared" si="30"/>
        <v/>
      </c>
      <c r="T339" s="4" t="str">
        <f>IF($H339&lt;&gt;"",_xlfn.XLOOKUP(H339,Naturezas!B:B,Naturezas!E:E,"",0,1),"")</f>
        <v/>
      </c>
      <c r="U339" s="4" t="str">
        <f>IF($H339&lt;&gt;"",_xlfn.XLOOKUP($H339,Naturezas!B:B,Naturezas!D:D,"",0,1),"")</f>
        <v/>
      </c>
      <c r="V339" s="5" t="str">
        <f>IF(H339&lt;&gt;"",IF(OR(H339=Naturezas!$B$3,H339=Naturezas!$B$4,H339=Naturezas!$B$5,H339=Naturezas!$B$17,H339=Naturezas!$B$18,H339=Naturezas!$B$19),G339,-G339),"")</f>
        <v/>
      </c>
      <c r="W339" s="4" t="str">
        <f t="shared" si="34"/>
        <v/>
      </c>
      <c r="X339" s="4"/>
      <c r="Y339" s="4" t="str">
        <f t="shared" si="35"/>
        <v/>
      </c>
      <c r="Z339" s="6" t="str">
        <f>IF(H339&lt;&gt;"",Tabela1[[#This Row],[Iniciais]],"")</f>
        <v/>
      </c>
      <c r="AB339" s="6" t="str">
        <f>IF($H339&lt;&gt;"",RIGHT(Tabela1[[#This Row],[Ref.]],2),"")</f>
        <v/>
      </c>
      <c r="AC339" s="37" t="str">
        <f>IF($H339&lt;&gt;"",DATE(LEFT(Tabela1[[#This Row],[Ref.]],4),RIGHT(Tabela1[[#This Row],[Ref.]],2),1),"")</f>
        <v/>
      </c>
      <c r="AD339" s="4" t="str">
        <f t="shared" si="31"/>
        <v/>
      </c>
      <c r="AE339" s="5" t="str">
        <f t="shared" si="32"/>
        <v/>
      </c>
      <c r="AF339" s="4"/>
      <c r="AG339" s="6" t="str">
        <f t="shared" si="33"/>
        <v/>
      </c>
    </row>
    <row r="340" spans="1:33" ht="15.75" customHeight="1" x14ac:dyDescent="0.2">
      <c r="A340" s="35"/>
      <c r="B340" s="44"/>
      <c r="C340" s="35"/>
      <c r="D340" s="35"/>
      <c r="E340" s="48"/>
      <c r="F340" s="45"/>
      <c r="G340" s="38"/>
      <c r="H340" s="45"/>
      <c r="I340" s="45"/>
      <c r="L340" s="19"/>
      <c r="N340" s="25"/>
      <c r="O340" s="25"/>
      <c r="P340" s="27"/>
      <c r="R340" s="6" t="str">
        <f>IF($H340&lt;&gt;"",RIGHT(Tabela1[[#This Row],[Ref.]],2),"")</f>
        <v/>
      </c>
      <c r="S340" s="6" t="str">
        <f t="shared" si="30"/>
        <v/>
      </c>
      <c r="T340" s="4" t="str">
        <f>IF($H340&lt;&gt;"",_xlfn.XLOOKUP(H340,Naturezas!B:B,Naturezas!E:E,"",0,1),"")</f>
        <v/>
      </c>
      <c r="U340" s="4" t="str">
        <f>IF($H340&lt;&gt;"",_xlfn.XLOOKUP($H340,Naturezas!B:B,Naturezas!D:D,"",0,1),"")</f>
        <v/>
      </c>
      <c r="V340" s="5" t="str">
        <f>IF(H340&lt;&gt;"",IF(OR(H340=Naturezas!$B$3,H340=Naturezas!$B$4,H340=Naturezas!$B$5,H340=Naturezas!$B$17,H340=Naturezas!$B$18,H340=Naturezas!$B$19),G340,-G340),"")</f>
        <v/>
      </c>
      <c r="W340" s="4" t="str">
        <f t="shared" si="34"/>
        <v/>
      </c>
      <c r="X340" s="4"/>
      <c r="Y340" s="4" t="str">
        <f t="shared" si="35"/>
        <v/>
      </c>
      <c r="Z340" s="6" t="str">
        <f>IF(H340&lt;&gt;"",Tabela1[[#This Row],[Iniciais]],"")</f>
        <v/>
      </c>
      <c r="AB340" s="6" t="str">
        <f>IF($H340&lt;&gt;"",RIGHT(Tabela1[[#This Row],[Ref.]],2),"")</f>
        <v/>
      </c>
      <c r="AC340" s="37" t="str">
        <f>IF($H340&lt;&gt;"",DATE(LEFT(Tabela1[[#This Row],[Ref.]],4),RIGHT(Tabela1[[#This Row],[Ref.]],2),1),"")</f>
        <v/>
      </c>
      <c r="AD340" s="4" t="str">
        <f t="shared" si="31"/>
        <v/>
      </c>
      <c r="AE340" s="5" t="str">
        <f t="shared" si="32"/>
        <v/>
      </c>
      <c r="AF340" s="4"/>
      <c r="AG340" s="6" t="str">
        <f t="shared" si="33"/>
        <v/>
      </c>
    </row>
    <row r="341" spans="1:33" ht="15.75" customHeight="1" x14ac:dyDescent="0.2">
      <c r="A341" s="35"/>
      <c r="B341" s="44"/>
      <c r="C341" s="35"/>
      <c r="D341" s="35"/>
      <c r="E341" s="48"/>
      <c r="F341" s="45"/>
      <c r="G341" s="38"/>
      <c r="H341" s="45"/>
      <c r="I341" s="45"/>
      <c r="L341" s="19"/>
      <c r="N341" s="25"/>
      <c r="O341" s="25"/>
      <c r="P341" s="27"/>
      <c r="R341" s="6" t="str">
        <f>IF($H341&lt;&gt;"",RIGHT(Tabela1[[#This Row],[Ref.]],2),"")</f>
        <v/>
      </c>
      <c r="S341" s="6" t="str">
        <f t="shared" si="30"/>
        <v/>
      </c>
      <c r="T341" s="4" t="str">
        <f>IF($H341&lt;&gt;"",_xlfn.XLOOKUP(H341,Naturezas!B:B,Naturezas!E:E,"",0,1),"")</f>
        <v/>
      </c>
      <c r="U341" s="4" t="str">
        <f>IF($H341&lt;&gt;"",_xlfn.XLOOKUP($H341,Naturezas!B:B,Naturezas!D:D,"",0,1),"")</f>
        <v/>
      </c>
      <c r="V341" s="5" t="str">
        <f>IF(H341&lt;&gt;"",IF(OR(H341=Naturezas!$B$3,H341=Naturezas!$B$4,H341=Naturezas!$B$5,H341=Naturezas!$B$17,H341=Naturezas!$B$18,H341=Naturezas!$B$19),G341,-G341),"")</f>
        <v/>
      </c>
      <c r="W341" s="4" t="str">
        <f t="shared" si="34"/>
        <v/>
      </c>
      <c r="X341" s="4"/>
      <c r="Y341" s="4" t="str">
        <f t="shared" si="35"/>
        <v/>
      </c>
      <c r="Z341" s="6" t="str">
        <f>IF(H341&lt;&gt;"",Tabela1[[#This Row],[Iniciais]],"")</f>
        <v/>
      </c>
      <c r="AB341" s="6" t="str">
        <f>IF($H341&lt;&gt;"",RIGHT(Tabela1[[#This Row],[Ref.]],2),"")</f>
        <v/>
      </c>
      <c r="AC341" s="37" t="str">
        <f>IF($H341&lt;&gt;"",DATE(LEFT(Tabela1[[#This Row],[Ref.]],4),RIGHT(Tabela1[[#This Row],[Ref.]],2),1),"")</f>
        <v/>
      </c>
      <c r="AD341" s="4" t="str">
        <f t="shared" si="31"/>
        <v/>
      </c>
      <c r="AE341" s="5" t="str">
        <f t="shared" si="32"/>
        <v/>
      </c>
      <c r="AF341" s="4"/>
      <c r="AG341" s="6" t="str">
        <f t="shared" si="33"/>
        <v/>
      </c>
    </row>
    <row r="342" spans="1:33" ht="15.75" customHeight="1" x14ac:dyDescent="0.2">
      <c r="A342" s="35"/>
      <c r="B342" s="44"/>
      <c r="C342" s="35"/>
      <c r="D342" s="35"/>
      <c r="E342" s="48"/>
      <c r="F342" s="45"/>
      <c r="G342" s="38"/>
      <c r="H342" s="45"/>
      <c r="I342" s="45"/>
      <c r="L342" s="19"/>
      <c r="N342" s="25"/>
      <c r="O342" s="25"/>
      <c r="P342" s="27"/>
      <c r="R342" s="6" t="str">
        <f>IF($H342&lt;&gt;"",RIGHT(Tabela1[[#This Row],[Ref.]],2),"")</f>
        <v/>
      </c>
      <c r="S342" s="6" t="str">
        <f t="shared" si="30"/>
        <v/>
      </c>
      <c r="T342" s="4" t="str">
        <f>IF($H342&lt;&gt;"",_xlfn.XLOOKUP(H342,Naturezas!B:B,Naturezas!E:E,"",0,1),"")</f>
        <v/>
      </c>
      <c r="U342" s="4" t="str">
        <f>IF($H342&lt;&gt;"",_xlfn.XLOOKUP($H342,Naturezas!B:B,Naturezas!D:D,"",0,1),"")</f>
        <v/>
      </c>
      <c r="V342" s="5" t="str">
        <f>IF(H342&lt;&gt;"",IF(OR(H342=Naturezas!$B$3,H342=Naturezas!$B$4,H342=Naturezas!$B$5,H342=Naturezas!$B$17,H342=Naturezas!$B$18,H342=Naturezas!$B$19),G342,-G342),"")</f>
        <v/>
      </c>
      <c r="W342" s="4" t="str">
        <f t="shared" si="34"/>
        <v/>
      </c>
      <c r="X342" s="4"/>
      <c r="Y342" s="4" t="str">
        <f t="shared" si="35"/>
        <v/>
      </c>
      <c r="Z342" s="6" t="str">
        <f>IF(H342&lt;&gt;"",Tabela1[[#This Row],[Iniciais]],"")</f>
        <v/>
      </c>
      <c r="AB342" s="6" t="str">
        <f>IF($H342&lt;&gt;"",RIGHT(Tabela1[[#This Row],[Ref.]],2),"")</f>
        <v/>
      </c>
      <c r="AC342" s="37" t="str">
        <f>IF($H342&lt;&gt;"",DATE(LEFT(Tabela1[[#This Row],[Ref.]],4),RIGHT(Tabela1[[#This Row],[Ref.]],2),1),"")</f>
        <v/>
      </c>
      <c r="AD342" s="4" t="str">
        <f t="shared" si="31"/>
        <v/>
      </c>
      <c r="AE342" s="5" t="str">
        <f t="shared" si="32"/>
        <v/>
      </c>
      <c r="AF342" s="4"/>
      <c r="AG342" s="6" t="str">
        <f t="shared" si="33"/>
        <v/>
      </c>
    </row>
    <row r="343" spans="1:33" ht="15.75" customHeight="1" x14ac:dyDescent="0.2">
      <c r="A343" s="35"/>
      <c r="B343" s="44"/>
      <c r="C343" s="35"/>
      <c r="D343" s="35"/>
      <c r="E343" s="48"/>
      <c r="F343" s="45"/>
      <c r="G343" s="38"/>
      <c r="H343" s="45"/>
      <c r="I343" s="45"/>
      <c r="L343" s="19"/>
      <c r="N343" s="25"/>
      <c r="O343" s="25"/>
      <c r="P343" s="27"/>
      <c r="R343" s="6" t="str">
        <f>IF($H343&lt;&gt;"",RIGHT(Tabela1[[#This Row],[Ref.]],2),"")</f>
        <v/>
      </c>
      <c r="S343" s="6" t="str">
        <f t="shared" si="30"/>
        <v/>
      </c>
      <c r="T343" s="4" t="str">
        <f>IF($H343&lt;&gt;"",_xlfn.XLOOKUP(H343,Naturezas!B:B,Naturezas!E:E,"",0,1),"")</f>
        <v/>
      </c>
      <c r="U343" s="4" t="str">
        <f>IF($H343&lt;&gt;"",_xlfn.XLOOKUP($H343,Naturezas!B:B,Naturezas!D:D,"",0,1),"")</f>
        <v/>
      </c>
      <c r="V343" s="5" t="str">
        <f>IF(H343&lt;&gt;"",IF(OR(H343=Naturezas!$B$3,H343=Naturezas!$B$4,H343=Naturezas!$B$5,H343=Naturezas!$B$17,H343=Naturezas!$B$18,H343=Naturezas!$B$19),G343,-G343),"")</f>
        <v/>
      </c>
      <c r="W343" s="4" t="str">
        <f t="shared" si="34"/>
        <v/>
      </c>
      <c r="X343" s="4"/>
      <c r="Y343" s="4" t="str">
        <f t="shared" si="35"/>
        <v/>
      </c>
      <c r="Z343" s="6" t="str">
        <f>IF(H343&lt;&gt;"",Tabela1[[#This Row],[Iniciais]],"")</f>
        <v/>
      </c>
      <c r="AB343" s="6" t="str">
        <f>IF($H343&lt;&gt;"",RIGHT(Tabela1[[#This Row],[Ref.]],2),"")</f>
        <v/>
      </c>
      <c r="AC343" s="37" t="str">
        <f>IF($H343&lt;&gt;"",DATE(LEFT(Tabela1[[#This Row],[Ref.]],4),RIGHT(Tabela1[[#This Row],[Ref.]],2),1),"")</f>
        <v/>
      </c>
      <c r="AD343" s="4" t="str">
        <f t="shared" si="31"/>
        <v/>
      </c>
      <c r="AE343" s="5" t="str">
        <f t="shared" si="32"/>
        <v/>
      </c>
      <c r="AF343" s="4"/>
      <c r="AG343" s="6" t="str">
        <f t="shared" si="33"/>
        <v/>
      </c>
    </row>
    <row r="344" spans="1:33" ht="15.75" customHeight="1" x14ac:dyDescent="0.2">
      <c r="A344" s="35"/>
      <c r="B344" s="44"/>
      <c r="C344" s="35"/>
      <c r="D344" s="35"/>
      <c r="E344" s="48"/>
      <c r="F344" s="45"/>
      <c r="G344" s="38"/>
      <c r="H344" s="45"/>
      <c r="I344" s="45"/>
      <c r="L344" s="19"/>
      <c r="N344" s="25"/>
      <c r="O344" s="25"/>
      <c r="P344" s="27"/>
      <c r="R344" s="6" t="str">
        <f>IF($H344&lt;&gt;"",RIGHT(Tabela1[[#This Row],[Ref.]],2),"")</f>
        <v/>
      </c>
      <c r="S344" s="6" t="str">
        <f t="shared" si="30"/>
        <v/>
      </c>
      <c r="T344" s="4" t="str">
        <f>IF($H344&lt;&gt;"",_xlfn.XLOOKUP(H344,Naturezas!B:B,Naturezas!E:E,"",0,1),"")</f>
        <v/>
      </c>
      <c r="U344" s="4" t="str">
        <f>IF($H344&lt;&gt;"",_xlfn.XLOOKUP($H344,Naturezas!B:B,Naturezas!D:D,"",0,1),"")</f>
        <v/>
      </c>
      <c r="V344" s="5" t="str">
        <f>IF(H344&lt;&gt;"",IF(OR(H344=Naturezas!$B$3,H344=Naturezas!$B$4,H344=Naturezas!$B$5,H344=Naturezas!$B$17,H344=Naturezas!$B$18,H344=Naturezas!$B$19),G344,-G344),"")</f>
        <v/>
      </c>
      <c r="W344" s="4" t="str">
        <f t="shared" si="34"/>
        <v/>
      </c>
      <c r="X344" s="4"/>
      <c r="Y344" s="4" t="str">
        <f t="shared" si="35"/>
        <v/>
      </c>
      <c r="Z344" s="6" t="str">
        <f>IF(H344&lt;&gt;"",Tabela1[[#This Row],[Iniciais]],"")</f>
        <v/>
      </c>
      <c r="AB344" s="6" t="str">
        <f>IF($H344&lt;&gt;"",RIGHT(Tabela1[[#This Row],[Ref.]],2),"")</f>
        <v/>
      </c>
      <c r="AC344" s="37" t="str">
        <f>IF($H344&lt;&gt;"",DATE(LEFT(Tabela1[[#This Row],[Ref.]],4),RIGHT(Tabela1[[#This Row],[Ref.]],2),1),"")</f>
        <v/>
      </c>
      <c r="AD344" s="4" t="str">
        <f t="shared" si="31"/>
        <v/>
      </c>
      <c r="AE344" s="5" t="str">
        <f t="shared" si="32"/>
        <v/>
      </c>
      <c r="AF344" s="4"/>
      <c r="AG344" s="6" t="str">
        <f t="shared" si="33"/>
        <v/>
      </c>
    </row>
    <row r="345" spans="1:33" ht="15.75" customHeight="1" x14ac:dyDescent="0.2">
      <c r="A345" s="35"/>
      <c r="B345" s="44"/>
      <c r="C345" s="35"/>
      <c r="D345" s="35"/>
      <c r="E345" s="48"/>
      <c r="F345" s="45"/>
      <c r="G345" s="38"/>
      <c r="H345" s="45"/>
      <c r="I345" s="45"/>
      <c r="L345" s="19"/>
      <c r="N345" s="25"/>
      <c r="O345" s="25"/>
      <c r="P345" s="27"/>
      <c r="R345" s="6" t="str">
        <f>IF($H345&lt;&gt;"",RIGHT(Tabela1[[#This Row],[Ref.]],2),"")</f>
        <v/>
      </c>
      <c r="S345" s="6" t="str">
        <f t="shared" si="30"/>
        <v/>
      </c>
      <c r="T345" s="4" t="str">
        <f>IF($H345&lt;&gt;"",_xlfn.XLOOKUP(H345,Naturezas!B:B,Naturezas!E:E,"",0,1),"")</f>
        <v/>
      </c>
      <c r="U345" s="4" t="str">
        <f>IF($H345&lt;&gt;"",_xlfn.XLOOKUP($H345,Naturezas!B:B,Naturezas!D:D,"",0,1),"")</f>
        <v/>
      </c>
      <c r="V345" s="5" t="str">
        <f>IF(H345&lt;&gt;"",IF(OR(H345=Naturezas!$B$3,H345=Naturezas!$B$4,H345=Naturezas!$B$5,H345=Naturezas!$B$17,H345=Naturezas!$B$18,H345=Naturezas!$B$19),G345,-G345),"")</f>
        <v/>
      </c>
      <c r="W345" s="4" t="str">
        <f t="shared" si="34"/>
        <v/>
      </c>
      <c r="X345" s="4"/>
      <c r="Y345" s="4" t="str">
        <f t="shared" si="35"/>
        <v/>
      </c>
      <c r="Z345" s="6" t="str">
        <f>IF(H345&lt;&gt;"",Tabela1[[#This Row],[Iniciais]],"")</f>
        <v/>
      </c>
      <c r="AB345" s="6" t="str">
        <f>IF($H345&lt;&gt;"",RIGHT(Tabela1[[#This Row],[Ref.]],2),"")</f>
        <v/>
      </c>
      <c r="AC345" s="37" t="str">
        <f>IF($H345&lt;&gt;"",DATE(LEFT(Tabela1[[#This Row],[Ref.]],4),RIGHT(Tabela1[[#This Row],[Ref.]],2),1),"")</f>
        <v/>
      </c>
      <c r="AD345" s="4" t="str">
        <f t="shared" si="31"/>
        <v/>
      </c>
      <c r="AE345" s="5" t="str">
        <f t="shared" si="32"/>
        <v/>
      </c>
      <c r="AF345" s="4"/>
      <c r="AG345" s="6" t="str">
        <f t="shared" si="33"/>
        <v/>
      </c>
    </row>
    <row r="346" spans="1:33" ht="15.75" customHeight="1" x14ac:dyDescent="0.2">
      <c r="A346" s="35"/>
      <c r="B346" s="44"/>
      <c r="C346" s="35"/>
      <c r="D346" s="35"/>
      <c r="E346" s="48"/>
      <c r="F346" s="45"/>
      <c r="G346" s="38"/>
      <c r="H346" s="45"/>
      <c r="I346" s="45"/>
      <c r="L346" s="19"/>
      <c r="N346" s="25"/>
      <c r="O346" s="25"/>
      <c r="P346" s="27"/>
      <c r="R346" s="6" t="str">
        <f>IF($H346&lt;&gt;"",RIGHT(Tabela1[[#This Row],[Ref.]],2),"")</f>
        <v/>
      </c>
      <c r="S346" s="6" t="str">
        <f t="shared" si="30"/>
        <v/>
      </c>
      <c r="T346" s="4" t="str">
        <f>IF($H346&lt;&gt;"",_xlfn.XLOOKUP(H346,Naturezas!B:B,Naturezas!E:E,"",0,1),"")</f>
        <v/>
      </c>
      <c r="U346" s="4" t="str">
        <f>IF($H346&lt;&gt;"",_xlfn.XLOOKUP($H346,Naturezas!B:B,Naturezas!D:D,"",0,1),"")</f>
        <v/>
      </c>
      <c r="V346" s="5" t="str">
        <f>IF(H346&lt;&gt;"",IF(OR(H346=Naturezas!$B$3,H346=Naturezas!$B$4,H346=Naturezas!$B$5,H346=Naturezas!$B$17,H346=Naturezas!$B$18,H346=Naturezas!$B$19),G346,-G346),"")</f>
        <v/>
      </c>
      <c r="W346" s="4" t="str">
        <f t="shared" si="34"/>
        <v/>
      </c>
      <c r="X346" s="4"/>
      <c r="Y346" s="4" t="str">
        <f t="shared" si="35"/>
        <v/>
      </c>
      <c r="Z346" s="6" t="str">
        <f>IF(H346&lt;&gt;"",Tabela1[[#This Row],[Iniciais]],"")</f>
        <v/>
      </c>
      <c r="AB346" s="6" t="str">
        <f>IF($H346&lt;&gt;"",RIGHT(Tabela1[[#This Row],[Ref.]],2),"")</f>
        <v/>
      </c>
      <c r="AC346" s="37" t="str">
        <f>IF($H346&lt;&gt;"",DATE(LEFT(Tabela1[[#This Row],[Ref.]],4),RIGHT(Tabela1[[#This Row],[Ref.]],2),1),"")</f>
        <v/>
      </c>
      <c r="AD346" s="4" t="str">
        <f t="shared" si="31"/>
        <v/>
      </c>
      <c r="AE346" s="5" t="str">
        <f t="shared" si="32"/>
        <v/>
      </c>
      <c r="AF346" s="4"/>
      <c r="AG346" s="6" t="str">
        <f t="shared" si="33"/>
        <v/>
      </c>
    </row>
    <row r="347" spans="1:33" ht="15.75" customHeight="1" x14ac:dyDescent="0.2">
      <c r="A347" s="35"/>
      <c r="B347" s="44"/>
      <c r="C347" s="35"/>
      <c r="D347" s="35"/>
      <c r="E347" s="48"/>
      <c r="F347" s="45"/>
      <c r="G347" s="38"/>
      <c r="H347" s="45"/>
      <c r="I347" s="45"/>
      <c r="L347" s="19"/>
      <c r="N347" s="25"/>
      <c r="O347" s="25"/>
      <c r="P347" s="27"/>
      <c r="R347" s="6" t="str">
        <f>IF($H347&lt;&gt;"",RIGHT(Tabela1[[#This Row],[Ref.]],2),"")</f>
        <v/>
      </c>
      <c r="S347" s="6" t="str">
        <f t="shared" si="30"/>
        <v/>
      </c>
      <c r="T347" s="4" t="str">
        <f>IF($H347&lt;&gt;"",_xlfn.XLOOKUP(H347,Naturezas!B:B,Naturezas!E:E,"",0,1),"")</f>
        <v/>
      </c>
      <c r="U347" s="4" t="str">
        <f>IF($H347&lt;&gt;"",_xlfn.XLOOKUP($H347,Naturezas!B:B,Naturezas!D:D,"",0,1),"")</f>
        <v/>
      </c>
      <c r="V347" s="5" t="str">
        <f>IF(H347&lt;&gt;"",IF(OR(H347=Naturezas!$B$3,H347=Naturezas!$B$4,H347=Naturezas!$B$5,H347=Naturezas!$B$17,H347=Naturezas!$B$18,H347=Naturezas!$B$19),G347,-G347),"")</f>
        <v/>
      </c>
      <c r="W347" s="4" t="str">
        <f t="shared" si="34"/>
        <v/>
      </c>
      <c r="X347" s="4"/>
      <c r="Y347" s="4" t="str">
        <f t="shared" si="35"/>
        <v/>
      </c>
      <c r="Z347" s="6" t="str">
        <f>IF(H347&lt;&gt;"",Tabela1[[#This Row],[Iniciais]],"")</f>
        <v/>
      </c>
      <c r="AB347" s="6" t="str">
        <f>IF($H347&lt;&gt;"",RIGHT(Tabela1[[#This Row],[Ref.]],2),"")</f>
        <v/>
      </c>
      <c r="AC347" s="37" t="str">
        <f>IF($H347&lt;&gt;"",DATE(LEFT(Tabela1[[#This Row],[Ref.]],4),RIGHT(Tabela1[[#This Row],[Ref.]],2),1),"")</f>
        <v/>
      </c>
      <c r="AD347" s="4" t="str">
        <f t="shared" si="31"/>
        <v/>
      </c>
      <c r="AE347" s="5" t="str">
        <f t="shared" si="32"/>
        <v/>
      </c>
      <c r="AF347" s="4"/>
      <c r="AG347" s="6" t="str">
        <f t="shared" si="33"/>
        <v/>
      </c>
    </row>
    <row r="348" spans="1:33" ht="15.75" customHeight="1" x14ac:dyDescent="0.2">
      <c r="A348" s="35"/>
      <c r="B348" s="44"/>
      <c r="C348" s="35"/>
      <c r="D348" s="35"/>
      <c r="E348" s="48"/>
      <c r="F348" s="45"/>
      <c r="G348" s="38"/>
      <c r="H348" s="45"/>
      <c r="I348" s="45"/>
      <c r="L348" s="19"/>
      <c r="N348" s="25"/>
      <c r="O348" s="25"/>
      <c r="P348" s="27"/>
      <c r="R348" s="6" t="str">
        <f>IF($H348&lt;&gt;"",RIGHT(Tabela1[[#This Row],[Ref.]],2),"")</f>
        <v/>
      </c>
      <c r="S348" s="6" t="str">
        <f t="shared" si="30"/>
        <v/>
      </c>
      <c r="T348" s="4" t="str">
        <f>IF($H348&lt;&gt;"",_xlfn.XLOOKUP(H348,Naturezas!B:B,Naturezas!E:E,"",0,1),"")</f>
        <v/>
      </c>
      <c r="U348" s="4" t="str">
        <f>IF($H348&lt;&gt;"",_xlfn.XLOOKUP($H348,Naturezas!B:B,Naturezas!D:D,"",0,1),"")</f>
        <v/>
      </c>
      <c r="V348" s="5" t="str">
        <f>IF(H348&lt;&gt;"",IF(OR(H348=Naturezas!$B$3,H348=Naturezas!$B$4,H348=Naturezas!$B$5,H348=Naturezas!$B$17,H348=Naturezas!$B$18,H348=Naturezas!$B$19),G348,-G348),"")</f>
        <v/>
      </c>
      <c r="W348" s="4" t="str">
        <f t="shared" si="34"/>
        <v/>
      </c>
      <c r="X348" s="4"/>
      <c r="Y348" s="4" t="str">
        <f t="shared" si="35"/>
        <v/>
      </c>
      <c r="Z348" s="6" t="str">
        <f>IF(H348&lt;&gt;"",Tabela1[[#This Row],[Iniciais]],"")</f>
        <v/>
      </c>
      <c r="AB348" s="6" t="str">
        <f>IF($H348&lt;&gt;"",RIGHT(Tabela1[[#This Row],[Ref.]],2),"")</f>
        <v/>
      </c>
      <c r="AC348" s="37" t="str">
        <f>IF($H348&lt;&gt;"",DATE(LEFT(Tabela1[[#This Row],[Ref.]],4),RIGHT(Tabela1[[#This Row],[Ref.]],2),1),"")</f>
        <v/>
      </c>
      <c r="AD348" s="4" t="str">
        <f t="shared" si="31"/>
        <v/>
      </c>
      <c r="AE348" s="5" t="str">
        <f t="shared" si="32"/>
        <v/>
      </c>
      <c r="AF348" s="4"/>
      <c r="AG348" s="6" t="str">
        <f t="shared" si="33"/>
        <v/>
      </c>
    </row>
    <row r="349" spans="1:33" ht="15.75" customHeight="1" x14ac:dyDescent="0.2">
      <c r="A349" s="35"/>
      <c r="B349" s="44"/>
      <c r="C349" s="35"/>
      <c r="D349" s="35"/>
      <c r="E349" s="48"/>
      <c r="F349" s="45"/>
      <c r="G349" s="38"/>
      <c r="H349" s="45"/>
      <c r="I349" s="45"/>
      <c r="L349" s="19"/>
      <c r="N349" s="25"/>
      <c r="O349" s="25"/>
      <c r="P349" s="27"/>
      <c r="R349" s="6" t="str">
        <f>IF($H349&lt;&gt;"",RIGHT(Tabela1[[#This Row],[Ref.]],2),"")</f>
        <v/>
      </c>
      <c r="S349" s="6" t="str">
        <f t="shared" si="30"/>
        <v/>
      </c>
      <c r="T349" s="4" t="str">
        <f>IF($H349&lt;&gt;"",_xlfn.XLOOKUP(H349,Naturezas!B:B,Naturezas!E:E,"",0,1),"")</f>
        <v/>
      </c>
      <c r="U349" s="4" t="str">
        <f>IF($H349&lt;&gt;"",_xlfn.XLOOKUP($H349,Naturezas!B:B,Naturezas!D:D,"",0,1),"")</f>
        <v/>
      </c>
      <c r="V349" s="5" t="str">
        <f>IF(H349&lt;&gt;"",IF(OR(H349=Naturezas!$B$3,H349=Naturezas!$B$4,H349=Naturezas!$B$5,H349=Naturezas!$B$17,H349=Naturezas!$B$18,H349=Naturezas!$B$19),G349,-G349),"")</f>
        <v/>
      </c>
      <c r="W349" s="4" t="str">
        <f t="shared" si="34"/>
        <v/>
      </c>
      <c r="X349" s="4"/>
      <c r="Y349" s="4" t="str">
        <f t="shared" si="35"/>
        <v/>
      </c>
      <c r="Z349" s="6" t="str">
        <f>IF(H349&lt;&gt;"",Tabela1[[#This Row],[Iniciais]],"")</f>
        <v/>
      </c>
      <c r="AB349" s="6" t="str">
        <f>IF($H349&lt;&gt;"",RIGHT(Tabela1[[#This Row],[Ref.]],2),"")</f>
        <v/>
      </c>
      <c r="AC349" s="37" t="str">
        <f>IF($H349&lt;&gt;"",DATE(LEFT(Tabela1[[#This Row],[Ref.]],4),RIGHT(Tabela1[[#This Row],[Ref.]],2),1),"")</f>
        <v/>
      </c>
      <c r="AD349" s="4" t="str">
        <f t="shared" si="31"/>
        <v/>
      </c>
      <c r="AE349" s="5" t="str">
        <f t="shared" si="32"/>
        <v/>
      </c>
      <c r="AF349" s="4"/>
      <c r="AG349" s="6" t="str">
        <f t="shared" si="33"/>
        <v/>
      </c>
    </row>
    <row r="350" spans="1:33" ht="15.75" customHeight="1" x14ac:dyDescent="0.2">
      <c r="A350" s="35"/>
      <c r="B350" s="44"/>
      <c r="C350" s="35"/>
      <c r="D350" s="35"/>
      <c r="E350" s="48"/>
      <c r="F350" s="45"/>
      <c r="G350" s="38"/>
      <c r="H350" s="45"/>
      <c r="I350" s="45"/>
      <c r="L350" s="19"/>
      <c r="N350" s="25"/>
      <c r="O350" s="25"/>
      <c r="P350" s="27"/>
      <c r="R350" s="6" t="str">
        <f>IF($H350&lt;&gt;"",RIGHT(Tabela1[[#This Row],[Ref.]],2),"")</f>
        <v/>
      </c>
      <c r="S350" s="6" t="str">
        <f t="shared" si="30"/>
        <v/>
      </c>
      <c r="T350" s="4" t="str">
        <f>IF($H350&lt;&gt;"",_xlfn.XLOOKUP(H350,Naturezas!B:B,Naturezas!E:E,"",0,1),"")</f>
        <v/>
      </c>
      <c r="U350" s="4" t="str">
        <f>IF($H350&lt;&gt;"",_xlfn.XLOOKUP($H350,Naturezas!B:B,Naturezas!D:D,"",0,1),"")</f>
        <v/>
      </c>
      <c r="V350" s="5" t="str">
        <f>IF(H350&lt;&gt;"",IF(OR(H350=Naturezas!$B$3,H350=Naturezas!$B$4,H350=Naturezas!$B$5,H350=Naturezas!$B$17,H350=Naturezas!$B$18,H350=Naturezas!$B$19),G350,-G350),"")</f>
        <v/>
      </c>
      <c r="W350" s="4" t="str">
        <f t="shared" si="34"/>
        <v/>
      </c>
      <c r="X350" s="4"/>
      <c r="Y350" s="4" t="str">
        <f t="shared" si="35"/>
        <v/>
      </c>
      <c r="Z350" s="6" t="str">
        <f>IF(H350&lt;&gt;"",Tabela1[[#This Row],[Iniciais]],"")</f>
        <v/>
      </c>
      <c r="AB350" s="6" t="str">
        <f>IF($H350&lt;&gt;"",RIGHT(Tabela1[[#This Row],[Ref.]],2),"")</f>
        <v/>
      </c>
      <c r="AC350" s="37" t="str">
        <f>IF($H350&lt;&gt;"",DATE(LEFT(Tabela1[[#This Row],[Ref.]],4),RIGHT(Tabela1[[#This Row],[Ref.]],2),1),"")</f>
        <v/>
      </c>
      <c r="AD350" s="4" t="str">
        <f t="shared" si="31"/>
        <v/>
      </c>
      <c r="AE350" s="5" t="str">
        <f t="shared" si="32"/>
        <v/>
      </c>
      <c r="AF350" s="4"/>
      <c r="AG350" s="6" t="str">
        <f t="shared" si="33"/>
        <v/>
      </c>
    </row>
    <row r="351" spans="1:33" ht="15.75" customHeight="1" x14ac:dyDescent="0.2">
      <c r="A351" s="35"/>
      <c r="B351" s="44"/>
      <c r="C351" s="35"/>
      <c r="D351" s="35"/>
      <c r="E351" s="48"/>
      <c r="F351" s="45"/>
      <c r="G351" s="38"/>
      <c r="H351" s="45"/>
      <c r="I351" s="45"/>
      <c r="L351" s="19"/>
      <c r="N351" s="25"/>
      <c r="O351" s="25"/>
      <c r="P351" s="27"/>
      <c r="R351" s="6" t="str">
        <f>IF($H351&lt;&gt;"",RIGHT(Tabela1[[#This Row],[Ref.]],2),"")</f>
        <v/>
      </c>
      <c r="S351" s="6" t="str">
        <f t="shared" si="30"/>
        <v/>
      </c>
      <c r="T351" s="4" t="str">
        <f>IF($H351&lt;&gt;"",_xlfn.XLOOKUP(H351,Naturezas!B:B,Naturezas!E:E,"",0,1),"")</f>
        <v/>
      </c>
      <c r="U351" s="4" t="str">
        <f>IF($H351&lt;&gt;"",_xlfn.XLOOKUP($H351,Naturezas!B:B,Naturezas!D:D,"",0,1),"")</f>
        <v/>
      </c>
      <c r="V351" s="5" t="str">
        <f>IF(H351&lt;&gt;"",IF(OR(H351=Naturezas!$B$3,H351=Naturezas!$B$4,H351=Naturezas!$B$5,H351=Naturezas!$B$17,H351=Naturezas!$B$18,H351=Naturezas!$B$19),G351,-G351),"")</f>
        <v/>
      </c>
      <c r="W351" s="4" t="str">
        <f t="shared" si="34"/>
        <v/>
      </c>
      <c r="X351" s="4"/>
      <c r="Y351" s="4" t="str">
        <f t="shared" si="35"/>
        <v/>
      </c>
      <c r="Z351" s="6" t="str">
        <f>IF(H351&lt;&gt;"",Tabela1[[#This Row],[Iniciais]],"")</f>
        <v/>
      </c>
      <c r="AB351" s="6" t="str">
        <f>IF($H351&lt;&gt;"",RIGHT(Tabela1[[#This Row],[Ref.]],2),"")</f>
        <v/>
      </c>
      <c r="AC351" s="37" t="str">
        <f>IF($H351&lt;&gt;"",DATE(LEFT(Tabela1[[#This Row],[Ref.]],4),RIGHT(Tabela1[[#This Row],[Ref.]],2),1),"")</f>
        <v/>
      </c>
      <c r="AD351" s="4" t="str">
        <f t="shared" si="31"/>
        <v/>
      </c>
      <c r="AE351" s="5" t="str">
        <f t="shared" si="32"/>
        <v/>
      </c>
      <c r="AF351" s="4"/>
      <c r="AG351" s="6" t="str">
        <f t="shared" si="33"/>
        <v/>
      </c>
    </row>
    <row r="352" spans="1:33" ht="15.75" customHeight="1" x14ac:dyDescent="0.2">
      <c r="A352" s="35"/>
      <c r="B352" s="44"/>
      <c r="C352" s="35"/>
      <c r="D352" s="35"/>
      <c r="E352" s="48"/>
      <c r="F352" s="45"/>
      <c r="G352" s="38"/>
      <c r="H352" s="45"/>
      <c r="I352" s="45"/>
      <c r="L352" s="19"/>
      <c r="N352" s="25"/>
      <c r="O352" s="25"/>
      <c r="P352" s="27"/>
      <c r="R352" s="6" t="str">
        <f>IF($H352&lt;&gt;"",RIGHT(Tabela1[[#This Row],[Ref.]],2),"")</f>
        <v/>
      </c>
      <c r="S352" s="6" t="str">
        <f t="shared" si="30"/>
        <v/>
      </c>
      <c r="T352" s="4" t="str">
        <f>IF($H352&lt;&gt;"",_xlfn.XLOOKUP(H352,Naturezas!B:B,Naturezas!E:E,"",0,1),"")</f>
        <v/>
      </c>
      <c r="U352" s="4" t="str">
        <f>IF($H352&lt;&gt;"",_xlfn.XLOOKUP($H352,Naturezas!B:B,Naturezas!D:D,"",0,1),"")</f>
        <v/>
      </c>
      <c r="V352" s="5" t="str">
        <f>IF(H352&lt;&gt;"",IF(OR(H352=Naturezas!$B$3,H352=Naturezas!$B$4,H352=Naturezas!$B$5,H352=Naturezas!$B$17,H352=Naturezas!$B$18,H352=Naturezas!$B$19),G352,-G352),"")</f>
        <v/>
      </c>
      <c r="W352" s="4" t="str">
        <f t="shared" si="34"/>
        <v/>
      </c>
      <c r="X352" s="4"/>
      <c r="Y352" s="4" t="str">
        <f t="shared" si="35"/>
        <v/>
      </c>
      <c r="Z352" s="6" t="str">
        <f>IF(H352&lt;&gt;"",Tabela1[[#This Row],[Iniciais]],"")</f>
        <v/>
      </c>
      <c r="AB352" s="6" t="str">
        <f>IF($H352&lt;&gt;"",RIGHT(Tabela1[[#This Row],[Ref.]],2),"")</f>
        <v/>
      </c>
      <c r="AC352" s="37" t="str">
        <f>IF($H352&lt;&gt;"",DATE(LEFT(Tabela1[[#This Row],[Ref.]],4),RIGHT(Tabela1[[#This Row],[Ref.]],2),1),"")</f>
        <v/>
      </c>
      <c r="AD352" s="4" t="str">
        <f t="shared" si="31"/>
        <v/>
      </c>
      <c r="AE352" s="5" t="str">
        <f t="shared" si="32"/>
        <v/>
      </c>
      <c r="AF352" s="4"/>
      <c r="AG352" s="6" t="str">
        <f t="shared" si="33"/>
        <v/>
      </c>
    </row>
    <row r="353" spans="1:33" ht="15.75" customHeight="1" x14ac:dyDescent="0.2">
      <c r="A353" s="35"/>
      <c r="B353" s="44"/>
      <c r="C353" s="35"/>
      <c r="D353" s="35"/>
      <c r="E353" s="48"/>
      <c r="F353" s="45"/>
      <c r="G353" s="38"/>
      <c r="H353" s="45"/>
      <c r="I353" s="45"/>
      <c r="L353" s="19"/>
      <c r="N353" s="25"/>
      <c r="O353" s="25"/>
      <c r="P353" s="27"/>
      <c r="R353" s="6" t="str">
        <f>IF($H353&lt;&gt;"",RIGHT(Tabela1[[#This Row],[Ref.]],2),"")</f>
        <v/>
      </c>
      <c r="S353" s="6" t="str">
        <f t="shared" si="30"/>
        <v/>
      </c>
      <c r="T353" s="4" t="str">
        <f>IF($H353&lt;&gt;"",_xlfn.XLOOKUP(H353,Naturezas!B:B,Naturezas!E:E,"",0,1),"")</f>
        <v/>
      </c>
      <c r="U353" s="4" t="str">
        <f>IF($H353&lt;&gt;"",_xlfn.XLOOKUP($H353,Naturezas!B:B,Naturezas!D:D,"",0,1),"")</f>
        <v/>
      </c>
      <c r="V353" s="5" t="str">
        <f>IF(H353&lt;&gt;"",IF(OR(H353=Naturezas!$B$3,H353=Naturezas!$B$4,H353=Naturezas!$B$5,H353=Naturezas!$B$17,H353=Naturezas!$B$18,H353=Naturezas!$B$19),G353,-G353),"")</f>
        <v/>
      </c>
      <c r="W353" s="4" t="str">
        <f t="shared" si="34"/>
        <v/>
      </c>
      <c r="X353" s="4"/>
      <c r="Y353" s="4" t="str">
        <f t="shared" si="35"/>
        <v/>
      </c>
      <c r="Z353" s="6" t="str">
        <f>IF(H353&lt;&gt;"",Tabela1[[#This Row],[Iniciais]],"")</f>
        <v/>
      </c>
      <c r="AB353" s="6" t="str">
        <f>IF($H353&lt;&gt;"",RIGHT(Tabela1[[#This Row],[Ref.]],2),"")</f>
        <v/>
      </c>
      <c r="AC353" s="37" t="str">
        <f>IF($H353&lt;&gt;"",DATE(LEFT(Tabela1[[#This Row],[Ref.]],4),RIGHT(Tabela1[[#This Row],[Ref.]],2),1),"")</f>
        <v/>
      </c>
      <c r="AD353" s="4" t="str">
        <f t="shared" si="31"/>
        <v/>
      </c>
      <c r="AE353" s="5" t="str">
        <f t="shared" si="32"/>
        <v/>
      </c>
      <c r="AF353" s="4"/>
      <c r="AG353" s="6" t="str">
        <f t="shared" si="33"/>
        <v/>
      </c>
    </row>
    <row r="354" spans="1:33" ht="15.75" customHeight="1" x14ac:dyDescent="0.2">
      <c r="A354" s="35"/>
      <c r="B354" s="44"/>
      <c r="C354" s="35"/>
      <c r="D354" s="35"/>
      <c r="E354" s="48"/>
      <c r="F354" s="45"/>
      <c r="G354" s="38"/>
      <c r="H354" s="45"/>
      <c r="I354" s="45"/>
      <c r="L354" s="19"/>
      <c r="N354" s="25"/>
      <c r="O354" s="25"/>
      <c r="P354" s="27"/>
      <c r="R354" s="6" t="str">
        <f>IF($H354&lt;&gt;"",RIGHT(Tabela1[[#This Row],[Ref.]],2),"")</f>
        <v/>
      </c>
      <c r="S354" s="6" t="str">
        <f t="shared" si="30"/>
        <v/>
      </c>
      <c r="T354" s="4" t="str">
        <f>IF($H354&lt;&gt;"",_xlfn.XLOOKUP(H354,Naturezas!B:B,Naturezas!E:E,"",0,1),"")</f>
        <v/>
      </c>
      <c r="U354" s="4" t="str">
        <f>IF($H354&lt;&gt;"",_xlfn.XLOOKUP($H354,Naturezas!B:B,Naturezas!D:D,"",0,1),"")</f>
        <v/>
      </c>
      <c r="V354" s="5" t="str">
        <f>IF(H354&lt;&gt;"",IF(OR(H354=Naturezas!$B$3,H354=Naturezas!$B$4,H354=Naturezas!$B$5,H354=Naturezas!$B$17,H354=Naturezas!$B$18,H354=Naturezas!$B$19),G354,-G354),"")</f>
        <v/>
      </c>
      <c r="W354" s="4" t="str">
        <f t="shared" si="34"/>
        <v/>
      </c>
      <c r="X354" s="4"/>
      <c r="Y354" s="4" t="str">
        <f t="shared" si="35"/>
        <v/>
      </c>
      <c r="Z354" s="6" t="str">
        <f>IF(H354&lt;&gt;"",Tabela1[[#This Row],[Iniciais]],"")</f>
        <v/>
      </c>
      <c r="AB354" s="6" t="str">
        <f>IF($H354&lt;&gt;"",RIGHT(Tabela1[[#This Row],[Ref.]],2),"")</f>
        <v/>
      </c>
      <c r="AC354" s="37" t="str">
        <f>IF($H354&lt;&gt;"",DATE(LEFT(Tabela1[[#This Row],[Ref.]],4),RIGHT(Tabela1[[#This Row],[Ref.]],2),1),"")</f>
        <v/>
      </c>
      <c r="AD354" s="4" t="str">
        <f t="shared" si="31"/>
        <v/>
      </c>
      <c r="AE354" s="5" t="str">
        <f t="shared" si="32"/>
        <v/>
      </c>
      <c r="AF354" s="4"/>
      <c r="AG354" s="6" t="str">
        <f t="shared" si="33"/>
        <v/>
      </c>
    </row>
    <row r="355" spans="1:33" ht="15.75" customHeight="1" x14ac:dyDescent="0.2">
      <c r="A355" s="35"/>
      <c r="B355" s="44"/>
      <c r="C355" s="35"/>
      <c r="D355" s="35"/>
      <c r="E355" s="48"/>
      <c r="F355" s="45"/>
      <c r="G355" s="38"/>
      <c r="H355" s="45"/>
      <c r="I355" s="45"/>
      <c r="L355" s="19"/>
      <c r="N355" s="25"/>
      <c r="O355" s="25"/>
      <c r="P355" s="27"/>
      <c r="R355" s="6" t="str">
        <f>IF($H355&lt;&gt;"",RIGHT(Tabela1[[#This Row],[Ref.]],2),"")</f>
        <v/>
      </c>
      <c r="S355" s="6" t="str">
        <f t="shared" si="30"/>
        <v/>
      </c>
      <c r="T355" s="4" t="str">
        <f>IF($H355&lt;&gt;"",_xlfn.XLOOKUP(H355,Naturezas!B:B,Naturezas!E:E,"",0,1),"")</f>
        <v/>
      </c>
      <c r="U355" s="4" t="str">
        <f>IF($H355&lt;&gt;"",_xlfn.XLOOKUP($H355,Naturezas!B:B,Naturezas!D:D,"",0,1),"")</f>
        <v/>
      </c>
      <c r="V355" s="5" t="str">
        <f>IF(H355&lt;&gt;"",IF(OR(H355=Naturezas!$B$3,H355=Naturezas!$B$4,H355=Naturezas!$B$5,H355=Naturezas!$B$17,H355=Naturezas!$B$18,H355=Naturezas!$B$19),G355,-G355),"")</f>
        <v/>
      </c>
      <c r="W355" s="4" t="str">
        <f t="shared" si="34"/>
        <v/>
      </c>
      <c r="X355" s="4"/>
      <c r="Y355" s="4" t="str">
        <f t="shared" si="35"/>
        <v/>
      </c>
      <c r="Z355" s="6" t="str">
        <f>IF(H355&lt;&gt;"",Tabela1[[#This Row],[Iniciais]],"")</f>
        <v/>
      </c>
      <c r="AB355" s="6" t="str">
        <f>IF($H355&lt;&gt;"",RIGHT(Tabela1[[#This Row],[Ref.]],2),"")</f>
        <v/>
      </c>
      <c r="AC355" s="37" t="str">
        <f>IF($H355&lt;&gt;"",DATE(LEFT(Tabela1[[#This Row],[Ref.]],4),RIGHT(Tabela1[[#This Row],[Ref.]],2),1),"")</f>
        <v/>
      </c>
      <c r="AD355" s="4" t="str">
        <f t="shared" si="31"/>
        <v/>
      </c>
      <c r="AE355" s="5" t="str">
        <f t="shared" si="32"/>
        <v/>
      </c>
      <c r="AF355" s="4"/>
      <c r="AG355" s="6" t="str">
        <f t="shared" si="33"/>
        <v/>
      </c>
    </row>
    <row r="356" spans="1:33" ht="15.75" customHeight="1" x14ac:dyDescent="0.2">
      <c r="A356" s="35"/>
      <c r="B356" s="44"/>
      <c r="C356" s="35"/>
      <c r="D356" s="35"/>
      <c r="E356" s="48"/>
      <c r="F356" s="45"/>
      <c r="G356" s="38"/>
      <c r="H356" s="45"/>
      <c r="I356" s="45"/>
      <c r="L356" s="19"/>
      <c r="N356" s="25"/>
      <c r="O356" s="25"/>
      <c r="P356" s="27"/>
      <c r="R356" s="6" t="str">
        <f>IF($H356&lt;&gt;"",RIGHT(Tabela1[[#This Row],[Ref.]],2),"")</f>
        <v/>
      </c>
      <c r="S356" s="6" t="str">
        <f t="shared" si="30"/>
        <v/>
      </c>
      <c r="T356" s="4" t="str">
        <f>IF($H356&lt;&gt;"",_xlfn.XLOOKUP(H356,Naturezas!B:B,Naturezas!E:E,"",0,1),"")</f>
        <v/>
      </c>
      <c r="U356" s="4" t="str">
        <f>IF($H356&lt;&gt;"",_xlfn.XLOOKUP($H356,Naturezas!B:B,Naturezas!D:D,"",0,1),"")</f>
        <v/>
      </c>
      <c r="V356" s="5" t="str">
        <f>IF(H356&lt;&gt;"",IF(OR(H356=Naturezas!$B$3,H356=Naturezas!$B$4,H356=Naturezas!$B$5,H356=Naturezas!$B$17,H356=Naturezas!$B$18,H356=Naturezas!$B$19),G356,-G356),"")</f>
        <v/>
      </c>
      <c r="W356" s="4" t="str">
        <f t="shared" si="34"/>
        <v/>
      </c>
      <c r="X356" s="4"/>
      <c r="Y356" s="4" t="str">
        <f t="shared" si="35"/>
        <v/>
      </c>
      <c r="Z356" s="6" t="str">
        <f>IF(H356&lt;&gt;"",Tabela1[[#This Row],[Iniciais]],"")</f>
        <v/>
      </c>
      <c r="AB356" s="6" t="str">
        <f>IF($H356&lt;&gt;"",RIGHT(Tabela1[[#This Row],[Ref.]],2),"")</f>
        <v/>
      </c>
      <c r="AC356" s="37" t="str">
        <f>IF($H356&lt;&gt;"",DATE(LEFT(Tabela1[[#This Row],[Ref.]],4),RIGHT(Tabela1[[#This Row],[Ref.]],2),1),"")</f>
        <v/>
      </c>
      <c r="AD356" s="4" t="str">
        <f t="shared" si="31"/>
        <v/>
      </c>
      <c r="AE356" s="5" t="str">
        <f t="shared" si="32"/>
        <v/>
      </c>
      <c r="AF356" s="4"/>
      <c r="AG356" s="6" t="str">
        <f t="shared" si="33"/>
        <v/>
      </c>
    </row>
    <row r="357" spans="1:33" ht="15.75" customHeight="1" x14ac:dyDescent="0.2">
      <c r="A357" s="35"/>
      <c r="B357" s="44"/>
      <c r="C357" s="35"/>
      <c r="D357" s="35"/>
      <c r="E357" s="48"/>
      <c r="F357" s="45"/>
      <c r="G357" s="38"/>
      <c r="H357" s="45"/>
      <c r="I357" s="45"/>
      <c r="L357" s="19"/>
      <c r="N357" s="25"/>
      <c r="O357" s="25"/>
      <c r="P357" s="27"/>
      <c r="R357" s="6" t="str">
        <f>IF($H357&lt;&gt;"",RIGHT(Tabela1[[#This Row],[Ref.]],2),"")</f>
        <v/>
      </c>
      <c r="S357" s="6" t="str">
        <f t="shared" si="30"/>
        <v/>
      </c>
      <c r="T357" s="4" t="str">
        <f>IF($H357&lt;&gt;"",_xlfn.XLOOKUP(H357,Naturezas!B:B,Naturezas!E:E,"",0,1),"")</f>
        <v/>
      </c>
      <c r="U357" s="4" t="str">
        <f>IF($H357&lt;&gt;"",_xlfn.XLOOKUP($H357,Naturezas!B:B,Naturezas!D:D,"",0,1),"")</f>
        <v/>
      </c>
      <c r="V357" s="5" t="str">
        <f>IF(H357&lt;&gt;"",IF(OR(H357=Naturezas!$B$3,H357=Naturezas!$B$4,H357=Naturezas!$B$5,H357=Naturezas!$B$17,H357=Naturezas!$B$18,H357=Naturezas!$B$19),G357,-G357),"")</f>
        <v/>
      </c>
      <c r="W357" s="4" t="str">
        <f t="shared" si="34"/>
        <v/>
      </c>
      <c r="X357" s="4"/>
      <c r="Y357" s="4" t="str">
        <f t="shared" si="35"/>
        <v/>
      </c>
      <c r="Z357" s="6" t="str">
        <f>IF(H357&lt;&gt;"",Tabela1[[#This Row],[Iniciais]],"")</f>
        <v/>
      </c>
      <c r="AB357" s="6" t="str">
        <f>IF($H357&lt;&gt;"",RIGHT(Tabela1[[#This Row],[Ref.]],2),"")</f>
        <v/>
      </c>
      <c r="AC357" s="37" t="str">
        <f>IF($H357&lt;&gt;"",DATE(LEFT(Tabela1[[#This Row],[Ref.]],4),RIGHT(Tabela1[[#This Row],[Ref.]],2),1),"")</f>
        <v/>
      </c>
      <c r="AD357" s="4" t="str">
        <f t="shared" si="31"/>
        <v/>
      </c>
      <c r="AE357" s="5" t="str">
        <f t="shared" si="32"/>
        <v/>
      </c>
      <c r="AF357" s="4"/>
      <c r="AG357" s="6" t="str">
        <f t="shared" si="33"/>
        <v/>
      </c>
    </row>
    <row r="358" spans="1:33" ht="15.75" customHeight="1" x14ac:dyDescent="0.2">
      <c r="A358" s="35"/>
      <c r="B358" s="44"/>
      <c r="C358" s="35"/>
      <c r="D358" s="35"/>
      <c r="E358" s="48"/>
      <c r="F358" s="45"/>
      <c r="G358" s="38"/>
      <c r="H358" s="45"/>
      <c r="I358" s="45"/>
      <c r="L358" s="19"/>
      <c r="N358" s="25"/>
      <c r="O358" s="25"/>
      <c r="P358" s="27"/>
      <c r="R358" s="6" t="str">
        <f>IF($H358&lt;&gt;"",RIGHT(Tabela1[[#This Row],[Ref.]],2),"")</f>
        <v/>
      </c>
      <c r="S358" s="6" t="str">
        <f t="shared" si="30"/>
        <v/>
      </c>
      <c r="T358" s="4" t="str">
        <f>IF($H358&lt;&gt;"",_xlfn.XLOOKUP(H358,Naturezas!B:B,Naturezas!E:E,"",0,1),"")</f>
        <v/>
      </c>
      <c r="U358" s="4" t="str">
        <f>IF($H358&lt;&gt;"",_xlfn.XLOOKUP($H358,Naturezas!B:B,Naturezas!D:D,"",0,1),"")</f>
        <v/>
      </c>
      <c r="V358" s="5" t="str">
        <f>IF(H358&lt;&gt;"",IF(OR(H358=Naturezas!$B$3,H358=Naturezas!$B$4,H358=Naturezas!$B$5,H358=Naturezas!$B$17,H358=Naturezas!$B$18,H358=Naturezas!$B$19),G358,-G358),"")</f>
        <v/>
      </c>
      <c r="W358" s="4" t="str">
        <f t="shared" si="34"/>
        <v/>
      </c>
      <c r="X358" s="4"/>
      <c r="Y358" s="4" t="str">
        <f t="shared" si="35"/>
        <v/>
      </c>
      <c r="Z358" s="6" t="str">
        <f>IF(H358&lt;&gt;"",Tabela1[[#This Row],[Iniciais]],"")</f>
        <v/>
      </c>
      <c r="AB358" s="6" t="str">
        <f>IF($H358&lt;&gt;"",RIGHT(Tabela1[[#This Row],[Ref.]],2),"")</f>
        <v/>
      </c>
      <c r="AC358" s="37" t="str">
        <f>IF($H358&lt;&gt;"",DATE(LEFT(Tabela1[[#This Row],[Ref.]],4),RIGHT(Tabela1[[#This Row],[Ref.]],2),1),"")</f>
        <v/>
      </c>
      <c r="AD358" s="4" t="str">
        <f t="shared" si="31"/>
        <v/>
      </c>
      <c r="AE358" s="5" t="str">
        <f t="shared" si="32"/>
        <v/>
      </c>
      <c r="AF358" s="4"/>
      <c r="AG358" s="6" t="str">
        <f t="shared" si="33"/>
        <v/>
      </c>
    </row>
    <row r="359" spans="1:33" ht="15.75" customHeight="1" x14ac:dyDescent="0.2">
      <c r="A359" s="35"/>
      <c r="B359" s="44"/>
      <c r="C359" s="35"/>
      <c r="D359" s="35"/>
      <c r="E359" s="48"/>
      <c r="F359" s="45"/>
      <c r="G359" s="38"/>
      <c r="H359" s="45"/>
      <c r="I359" s="45"/>
      <c r="L359" s="19"/>
      <c r="N359" s="25"/>
      <c r="O359" s="25"/>
      <c r="P359" s="27"/>
      <c r="R359" s="6" t="str">
        <f>IF($H359&lt;&gt;"",RIGHT(Tabela1[[#This Row],[Ref.]],2),"")</f>
        <v/>
      </c>
      <c r="S359" s="6" t="str">
        <f t="shared" si="30"/>
        <v/>
      </c>
      <c r="T359" s="4" t="str">
        <f>IF($H359&lt;&gt;"",_xlfn.XLOOKUP(H359,Naturezas!B:B,Naturezas!E:E,"",0,1),"")</f>
        <v/>
      </c>
      <c r="U359" s="4" t="str">
        <f>IF($H359&lt;&gt;"",_xlfn.XLOOKUP($H359,Naturezas!B:B,Naturezas!D:D,"",0,1),"")</f>
        <v/>
      </c>
      <c r="V359" s="5" t="str">
        <f>IF(H359&lt;&gt;"",IF(OR(H359=Naturezas!$B$3,H359=Naturezas!$B$4,H359=Naturezas!$B$5,H359=Naturezas!$B$17,H359=Naturezas!$B$18,H359=Naturezas!$B$19),G359,-G359),"")</f>
        <v/>
      </c>
      <c r="W359" s="4" t="str">
        <f t="shared" si="34"/>
        <v/>
      </c>
      <c r="X359" s="4"/>
      <c r="Y359" s="4" t="str">
        <f t="shared" si="35"/>
        <v/>
      </c>
      <c r="Z359" s="6" t="str">
        <f>IF(H359&lt;&gt;"",Tabela1[[#This Row],[Iniciais]],"")</f>
        <v/>
      </c>
      <c r="AB359" s="6" t="str">
        <f>IF($H359&lt;&gt;"",RIGHT(Tabela1[[#This Row],[Ref.]],2),"")</f>
        <v/>
      </c>
      <c r="AC359" s="37" t="str">
        <f>IF($H359&lt;&gt;"",DATE(LEFT(Tabela1[[#This Row],[Ref.]],4),RIGHT(Tabela1[[#This Row],[Ref.]],2),1),"")</f>
        <v/>
      </c>
      <c r="AD359" s="4" t="str">
        <f t="shared" si="31"/>
        <v/>
      </c>
      <c r="AE359" s="5" t="str">
        <f t="shared" si="32"/>
        <v/>
      </c>
      <c r="AF359" s="4"/>
      <c r="AG359" s="6" t="str">
        <f t="shared" si="33"/>
        <v/>
      </c>
    </row>
    <row r="360" spans="1:33" ht="15.75" customHeight="1" x14ac:dyDescent="0.2">
      <c r="A360" s="35"/>
      <c r="B360" s="44"/>
      <c r="C360" s="35"/>
      <c r="D360" s="35"/>
      <c r="E360" s="48"/>
      <c r="F360" s="45"/>
      <c r="G360" s="38"/>
      <c r="H360" s="45"/>
      <c r="I360" s="45"/>
      <c r="L360" s="19"/>
      <c r="N360" s="25"/>
      <c r="O360" s="25"/>
      <c r="P360" s="27"/>
      <c r="R360" s="6" t="str">
        <f>IF($H360&lt;&gt;"",RIGHT(Tabela1[[#This Row],[Ref.]],2),"")</f>
        <v/>
      </c>
      <c r="S360" s="6" t="str">
        <f t="shared" si="30"/>
        <v/>
      </c>
      <c r="T360" s="4" t="str">
        <f>IF($H360&lt;&gt;"",_xlfn.XLOOKUP(H360,Naturezas!B:B,Naturezas!E:E,"",0,1),"")</f>
        <v/>
      </c>
      <c r="U360" s="4" t="str">
        <f>IF($H360&lt;&gt;"",_xlfn.XLOOKUP($H360,Naturezas!B:B,Naturezas!D:D,"",0,1),"")</f>
        <v/>
      </c>
      <c r="V360" s="5" t="str">
        <f>IF(H360&lt;&gt;"",IF(OR(H360=Naturezas!$B$3,H360=Naturezas!$B$4,H360=Naturezas!$B$5,H360=Naturezas!$B$17,H360=Naturezas!$B$18,H360=Naturezas!$B$19),G360,-G360),"")</f>
        <v/>
      </c>
      <c r="W360" s="4" t="str">
        <f t="shared" si="34"/>
        <v/>
      </c>
      <c r="X360" s="4"/>
      <c r="Y360" s="4" t="str">
        <f t="shared" si="35"/>
        <v/>
      </c>
      <c r="Z360" s="6" t="str">
        <f>IF(H360&lt;&gt;"",Tabela1[[#This Row],[Iniciais]],"")</f>
        <v/>
      </c>
      <c r="AB360" s="6" t="str">
        <f>IF($H360&lt;&gt;"",RIGHT(Tabela1[[#This Row],[Ref.]],2),"")</f>
        <v/>
      </c>
      <c r="AC360" s="37" t="str">
        <f>IF($H360&lt;&gt;"",DATE(LEFT(Tabela1[[#This Row],[Ref.]],4),RIGHT(Tabela1[[#This Row],[Ref.]],2),1),"")</f>
        <v/>
      </c>
      <c r="AD360" s="4" t="str">
        <f t="shared" si="31"/>
        <v/>
      </c>
      <c r="AE360" s="5" t="str">
        <f t="shared" si="32"/>
        <v/>
      </c>
      <c r="AF360" s="4"/>
      <c r="AG360" s="6" t="str">
        <f t="shared" si="33"/>
        <v/>
      </c>
    </row>
    <row r="361" spans="1:33" ht="15.75" customHeight="1" x14ac:dyDescent="0.2">
      <c r="A361" s="35"/>
      <c r="B361" s="44"/>
      <c r="C361" s="35"/>
      <c r="D361" s="35"/>
      <c r="E361" s="48"/>
      <c r="F361" s="45"/>
      <c r="G361" s="38"/>
      <c r="H361" s="45"/>
      <c r="I361" s="45"/>
      <c r="L361" s="19"/>
      <c r="N361" s="25"/>
      <c r="O361" s="25"/>
      <c r="P361" s="27"/>
      <c r="R361" s="6" t="str">
        <f>IF($H361&lt;&gt;"",RIGHT(Tabela1[[#This Row],[Ref.]],2),"")</f>
        <v/>
      </c>
      <c r="S361" s="6" t="str">
        <f t="shared" si="30"/>
        <v/>
      </c>
      <c r="T361" s="4" t="str">
        <f>IF($H361&lt;&gt;"",_xlfn.XLOOKUP(H361,Naturezas!B:B,Naturezas!E:E,"",0,1),"")</f>
        <v/>
      </c>
      <c r="U361" s="4" t="str">
        <f>IF($H361&lt;&gt;"",_xlfn.XLOOKUP($H361,Naturezas!B:B,Naturezas!D:D,"",0,1),"")</f>
        <v/>
      </c>
      <c r="V361" s="5" t="str">
        <f>IF(H361&lt;&gt;"",IF(OR(H361=Naturezas!$B$3,H361=Naturezas!$B$4,H361=Naturezas!$B$5,H361=Naturezas!$B$17,H361=Naturezas!$B$18,H361=Naturezas!$B$19),G361,-G361),"")</f>
        <v/>
      </c>
      <c r="W361" s="4" t="str">
        <f t="shared" si="34"/>
        <v/>
      </c>
      <c r="X361" s="4"/>
      <c r="Y361" s="4" t="str">
        <f t="shared" si="35"/>
        <v/>
      </c>
      <c r="Z361" s="6" t="str">
        <f>IF(H361&lt;&gt;"",Tabela1[[#This Row],[Iniciais]],"")</f>
        <v/>
      </c>
      <c r="AB361" s="6" t="str">
        <f>IF($H361&lt;&gt;"",RIGHT(Tabela1[[#This Row],[Ref.]],2),"")</f>
        <v/>
      </c>
      <c r="AC361" s="37" t="str">
        <f>IF($H361&lt;&gt;"",DATE(LEFT(Tabela1[[#This Row],[Ref.]],4),RIGHT(Tabela1[[#This Row],[Ref.]],2),1),"")</f>
        <v/>
      </c>
      <c r="AD361" s="4" t="str">
        <f t="shared" si="31"/>
        <v/>
      </c>
      <c r="AE361" s="5" t="str">
        <f t="shared" si="32"/>
        <v/>
      </c>
      <c r="AF361" s="4"/>
      <c r="AG361" s="6" t="str">
        <f t="shared" si="33"/>
        <v/>
      </c>
    </row>
    <row r="362" spans="1:33" ht="15.75" customHeight="1" x14ac:dyDescent="0.2">
      <c r="A362" s="35"/>
      <c r="B362" s="44"/>
      <c r="C362" s="35"/>
      <c r="D362" s="35"/>
      <c r="E362" s="48"/>
      <c r="F362" s="45"/>
      <c r="G362" s="38"/>
      <c r="H362" s="45"/>
      <c r="I362" s="45"/>
      <c r="L362" s="19"/>
      <c r="N362" s="25"/>
      <c r="O362" s="25"/>
      <c r="P362" s="27"/>
      <c r="R362" s="6" t="str">
        <f>IF($H362&lt;&gt;"",RIGHT(Tabela1[[#This Row],[Ref.]],2),"")</f>
        <v/>
      </c>
      <c r="S362" s="6" t="str">
        <f t="shared" si="30"/>
        <v/>
      </c>
      <c r="T362" s="4" t="str">
        <f>IF($H362&lt;&gt;"",_xlfn.XLOOKUP(H362,Naturezas!B:B,Naturezas!E:E,"",0,1),"")</f>
        <v/>
      </c>
      <c r="U362" s="4" t="str">
        <f>IF($H362&lt;&gt;"",_xlfn.XLOOKUP($H362,Naturezas!B:B,Naturezas!D:D,"",0,1),"")</f>
        <v/>
      </c>
      <c r="V362" s="5" t="str">
        <f>IF(H362&lt;&gt;"",IF(OR(H362=Naturezas!$B$3,H362=Naturezas!$B$4,H362=Naturezas!$B$5,H362=Naturezas!$B$17,H362=Naturezas!$B$18,H362=Naturezas!$B$19),G362,-G362),"")</f>
        <v/>
      </c>
      <c r="W362" s="4" t="str">
        <f t="shared" si="34"/>
        <v/>
      </c>
      <c r="X362" s="4"/>
      <c r="Y362" s="4" t="str">
        <f t="shared" si="35"/>
        <v/>
      </c>
      <c r="Z362" s="6" t="str">
        <f>IF(H362&lt;&gt;"",Tabela1[[#This Row],[Iniciais]],"")</f>
        <v/>
      </c>
      <c r="AB362" s="6" t="str">
        <f>IF($H362&lt;&gt;"",RIGHT(Tabela1[[#This Row],[Ref.]],2),"")</f>
        <v/>
      </c>
      <c r="AC362" s="37" t="str">
        <f>IF($H362&lt;&gt;"",DATE(LEFT(Tabela1[[#This Row],[Ref.]],4),RIGHT(Tabela1[[#This Row],[Ref.]],2),1),"")</f>
        <v/>
      </c>
      <c r="AD362" s="4" t="str">
        <f t="shared" si="31"/>
        <v/>
      </c>
      <c r="AE362" s="5" t="str">
        <f t="shared" si="32"/>
        <v/>
      </c>
      <c r="AF362" s="4"/>
      <c r="AG362" s="6" t="str">
        <f t="shared" si="33"/>
        <v/>
      </c>
    </row>
    <row r="363" spans="1:33" ht="15.75" customHeight="1" x14ac:dyDescent="0.2">
      <c r="A363" s="35"/>
      <c r="B363" s="44"/>
      <c r="C363" s="35"/>
      <c r="D363" s="35"/>
      <c r="E363" s="48"/>
      <c r="F363" s="45"/>
      <c r="G363" s="38"/>
      <c r="H363" s="45"/>
      <c r="I363" s="45"/>
      <c r="L363" s="19"/>
      <c r="N363" s="25"/>
      <c r="O363" s="25"/>
      <c r="P363" s="27"/>
      <c r="R363" s="6" t="str">
        <f>IF($H363&lt;&gt;"",RIGHT(Tabela1[[#This Row],[Ref.]],2),"")</f>
        <v/>
      </c>
      <c r="S363" s="6" t="str">
        <f t="shared" si="30"/>
        <v/>
      </c>
      <c r="T363" s="4" t="str">
        <f>IF($H363&lt;&gt;"",_xlfn.XLOOKUP(H363,Naturezas!B:B,Naturezas!E:E,"",0,1),"")</f>
        <v/>
      </c>
      <c r="U363" s="4" t="str">
        <f>IF($H363&lt;&gt;"",_xlfn.XLOOKUP($H363,Naturezas!B:B,Naturezas!D:D,"",0,1),"")</f>
        <v/>
      </c>
      <c r="V363" s="5" t="str">
        <f>IF(H363&lt;&gt;"",IF(OR(H363=Naturezas!$B$3,H363=Naturezas!$B$4,H363=Naturezas!$B$5,H363=Naturezas!$B$17,H363=Naturezas!$B$18,H363=Naturezas!$B$19),G363,-G363),"")</f>
        <v/>
      </c>
      <c r="W363" s="4" t="str">
        <f t="shared" si="34"/>
        <v/>
      </c>
      <c r="X363" s="4"/>
      <c r="Y363" s="4" t="str">
        <f t="shared" si="35"/>
        <v/>
      </c>
      <c r="Z363" s="6" t="str">
        <f>IF(H363&lt;&gt;"",Tabela1[[#This Row],[Iniciais]],"")</f>
        <v/>
      </c>
      <c r="AB363" s="6" t="str">
        <f>IF($H363&lt;&gt;"",RIGHT(Tabela1[[#This Row],[Ref.]],2),"")</f>
        <v/>
      </c>
      <c r="AC363" s="37" t="str">
        <f>IF($H363&lt;&gt;"",DATE(LEFT(Tabela1[[#This Row],[Ref.]],4),RIGHT(Tabela1[[#This Row],[Ref.]],2),1),"")</f>
        <v/>
      </c>
      <c r="AD363" s="4" t="str">
        <f t="shared" si="31"/>
        <v/>
      </c>
      <c r="AE363" s="5" t="str">
        <f t="shared" si="32"/>
        <v/>
      </c>
      <c r="AF363" s="4"/>
      <c r="AG363" s="6" t="str">
        <f t="shared" si="33"/>
        <v/>
      </c>
    </row>
    <row r="364" spans="1:33" ht="15.75" customHeight="1" x14ac:dyDescent="0.2">
      <c r="A364" s="35"/>
      <c r="B364" s="44"/>
      <c r="C364" s="35"/>
      <c r="D364" s="35"/>
      <c r="E364" s="48"/>
      <c r="F364" s="45"/>
      <c r="G364" s="38"/>
      <c r="H364" s="45"/>
      <c r="I364" s="45"/>
      <c r="L364" s="19"/>
      <c r="N364" s="25"/>
      <c r="O364" s="25"/>
      <c r="P364" s="27"/>
      <c r="R364" s="6" t="str">
        <f>IF($H364&lt;&gt;"",RIGHT(Tabela1[[#This Row],[Ref.]],2),"")</f>
        <v/>
      </c>
      <c r="S364" s="6" t="str">
        <f t="shared" si="30"/>
        <v/>
      </c>
      <c r="T364" s="4" t="str">
        <f>IF($H364&lt;&gt;"",_xlfn.XLOOKUP(H364,Naturezas!B:B,Naturezas!E:E,"",0,1),"")</f>
        <v/>
      </c>
      <c r="U364" s="4" t="str">
        <f>IF($H364&lt;&gt;"",_xlfn.XLOOKUP($H364,Naturezas!B:B,Naturezas!D:D,"",0,1),"")</f>
        <v/>
      </c>
      <c r="V364" s="5" t="str">
        <f>IF(H364&lt;&gt;"",IF(OR(H364=Naturezas!$B$3,H364=Naturezas!$B$4,H364=Naturezas!$B$5,H364=Naturezas!$B$17,H364=Naturezas!$B$18,H364=Naturezas!$B$19),G364,-G364),"")</f>
        <v/>
      </c>
      <c r="W364" s="4" t="str">
        <f t="shared" si="34"/>
        <v/>
      </c>
      <c r="X364" s="4"/>
      <c r="Y364" s="4" t="str">
        <f t="shared" si="35"/>
        <v/>
      </c>
      <c r="Z364" s="6" t="str">
        <f>IF(H364&lt;&gt;"",Tabela1[[#This Row],[Iniciais]],"")</f>
        <v/>
      </c>
      <c r="AB364" s="6" t="str">
        <f>IF($H364&lt;&gt;"",RIGHT(Tabela1[[#This Row],[Ref.]],2),"")</f>
        <v/>
      </c>
      <c r="AC364" s="37" t="str">
        <f>IF($H364&lt;&gt;"",DATE(LEFT(Tabela1[[#This Row],[Ref.]],4),RIGHT(Tabela1[[#This Row],[Ref.]],2),1),"")</f>
        <v/>
      </c>
      <c r="AD364" s="4" t="str">
        <f t="shared" si="31"/>
        <v/>
      </c>
      <c r="AE364" s="5" t="str">
        <f t="shared" si="32"/>
        <v/>
      </c>
      <c r="AF364" s="4"/>
      <c r="AG364" s="6" t="str">
        <f t="shared" si="33"/>
        <v/>
      </c>
    </row>
    <row r="365" spans="1:33" ht="15.75" customHeight="1" x14ac:dyDescent="0.2">
      <c r="A365" s="35"/>
      <c r="B365" s="44"/>
      <c r="C365" s="35"/>
      <c r="D365" s="35"/>
      <c r="E365" s="48"/>
      <c r="F365" s="45"/>
      <c r="G365" s="38"/>
      <c r="H365" s="45"/>
      <c r="I365" s="45"/>
      <c r="L365" s="19"/>
      <c r="N365" s="25"/>
      <c r="O365" s="25"/>
      <c r="P365" s="27"/>
      <c r="R365" s="6" t="str">
        <f>IF($H365&lt;&gt;"",RIGHT(Tabela1[[#This Row],[Ref.]],2),"")</f>
        <v/>
      </c>
      <c r="S365" s="6" t="str">
        <f t="shared" si="30"/>
        <v/>
      </c>
      <c r="T365" s="4" t="str">
        <f>IF($H365&lt;&gt;"",_xlfn.XLOOKUP(H365,Naturezas!B:B,Naturezas!E:E,"",0,1),"")</f>
        <v/>
      </c>
      <c r="U365" s="4" t="str">
        <f>IF($H365&lt;&gt;"",_xlfn.XLOOKUP($H365,Naturezas!B:B,Naturezas!D:D,"",0,1),"")</f>
        <v/>
      </c>
      <c r="V365" s="5" t="str">
        <f>IF(H365&lt;&gt;"",IF(OR(H365=Naturezas!$B$3,H365=Naturezas!$B$4,H365=Naturezas!$B$5,H365=Naturezas!$B$17,H365=Naturezas!$B$18,H365=Naturezas!$B$19),G365,-G365),"")</f>
        <v/>
      </c>
      <c r="W365" s="4" t="str">
        <f t="shared" si="34"/>
        <v/>
      </c>
      <c r="X365" s="4"/>
      <c r="Y365" s="4" t="str">
        <f t="shared" si="35"/>
        <v/>
      </c>
      <c r="Z365" s="6" t="str">
        <f>IF(H365&lt;&gt;"",Tabela1[[#This Row],[Iniciais]],"")</f>
        <v/>
      </c>
      <c r="AB365" s="6" t="str">
        <f>IF($H365&lt;&gt;"",RIGHT(Tabela1[[#This Row],[Ref.]],2),"")</f>
        <v/>
      </c>
      <c r="AC365" s="37" t="str">
        <f>IF($H365&lt;&gt;"",DATE(LEFT(Tabela1[[#This Row],[Ref.]],4),RIGHT(Tabela1[[#This Row],[Ref.]],2),1),"")</f>
        <v/>
      </c>
      <c r="AD365" s="4" t="str">
        <f t="shared" si="31"/>
        <v/>
      </c>
      <c r="AE365" s="5" t="str">
        <f t="shared" si="32"/>
        <v/>
      </c>
      <c r="AF365" s="4"/>
      <c r="AG365" s="6" t="str">
        <f t="shared" si="33"/>
        <v/>
      </c>
    </row>
    <row r="366" spans="1:33" ht="15.75" customHeight="1" x14ac:dyDescent="0.2">
      <c r="A366" s="35"/>
      <c r="B366" s="44"/>
      <c r="C366" s="35"/>
      <c r="D366" s="35"/>
      <c r="E366" s="48"/>
      <c r="F366" s="45"/>
      <c r="G366" s="38"/>
      <c r="H366" s="45"/>
      <c r="I366" s="45"/>
      <c r="L366" s="19"/>
      <c r="N366" s="25"/>
      <c r="O366" s="25"/>
      <c r="P366" s="27"/>
      <c r="R366" s="6" t="str">
        <f>IF($H366&lt;&gt;"",RIGHT(Tabela1[[#This Row],[Ref.]],2),"")</f>
        <v/>
      </c>
      <c r="S366" s="6" t="str">
        <f t="shared" si="30"/>
        <v/>
      </c>
      <c r="T366" s="4" t="str">
        <f>IF($H366&lt;&gt;"",_xlfn.XLOOKUP(H366,Naturezas!B:B,Naturezas!E:E,"",0,1),"")</f>
        <v/>
      </c>
      <c r="U366" s="4" t="str">
        <f>IF($H366&lt;&gt;"",_xlfn.XLOOKUP($H366,Naturezas!B:B,Naturezas!D:D,"",0,1),"")</f>
        <v/>
      </c>
      <c r="V366" s="5" t="str">
        <f>IF(H366&lt;&gt;"",IF(OR(H366=Naturezas!$B$3,H366=Naturezas!$B$4,H366=Naturezas!$B$5,H366=Naturezas!$B$17,H366=Naturezas!$B$18,H366=Naturezas!$B$19),G366,-G366),"")</f>
        <v/>
      </c>
      <c r="W366" s="4" t="str">
        <f t="shared" si="34"/>
        <v/>
      </c>
      <c r="X366" s="4"/>
      <c r="Y366" s="4" t="str">
        <f t="shared" si="35"/>
        <v/>
      </c>
      <c r="Z366" s="6" t="str">
        <f>IF(H366&lt;&gt;"",Tabela1[[#This Row],[Iniciais]],"")</f>
        <v/>
      </c>
      <c r="AB366" s="6" t="str">
        <f>IF($H366&lt;&gt;"",RIGHT(Tabela1[[#This Row],[Ref.]],2),"")</f>
        <v/>
      </c>
      <c r="AC366" s="37" t="str">
        <f>IF($H366&lt;&gt;"",DATE(LEFT(Tabela1[[#This Row],[Ref.]],4),RIGHT(Tabela1[[#This Row],[Ref.]],2),1),"")</f>
        <v/>
      </c>
      <c r="AD366" s="4" t="str">
        <f t="shared" si="31"/>
        <v/>
      </c>
      <c r="AE366" s="5" t="str">
        <f t="shared" si="32"/>
        <v/>
      </c>
      <c r="AF366" s="4"/>
      <c r="AG366" s="6" t="str">
        <f t="shared" si="33"/>
        <v/>
      </c>
    </row>
    <row r="367" spans="1:33" ht="15.75" customHeight="1" x14ac:dyDescent="0.2">
      <c r="A367" s="35"/>
      <c r="B367" s="44"/>
      <c r="C367" s="35"/>
      <c r="D367" s="35"/>
      <c r="E367" s="48"/>
      <c r="F367" s="45"/>
      <c r="G367" s="38"/>
      <c r="H367" s="45"/>
      <c r="I367" s="45"/>
      <c r="L367" s="19"/>
      <c r="N367" s="25"/>
      <c r="O367" s="25"/>
      <c r="P367" s="27"/>
      <c r="R367" s="6" t="str">
        <f>IF($H367&lt;&gt;"",RIGHT(Tabela1[[#This Row],[Ref.]],2),"")</f>
        <v/>
      </c>
      <c r="S367" s="6" t="str">
        <f t="shared" si="30"/>
        <v/>
      </c>
      <c r="T367" s="4" t="str">
        <f>IF($H367&lt;&gt;"",_xlfn.XLOOKUP(H367,Naturezas!B:B,Naturezas!E:E,"",0,1),"")</f>
        <v/>
      </c>
      <c r="U367" s="4" t="str">
        <f>IF($H367&lt;&gt;"",_xlfn.XLOOKUP($H367,Naturezas!B:B,Naturezas!D:D,"",0,1),"")</f>
        <v/>
      </c>
      <c r="V367" s="5" t="str">
        <f>IF(H367&lt;&gt;"",IF(OR(H367=Naturezas!$B$3,H367=Naturezas!$B$4,H367=Naturezas!$B$5,H367=Naturezas!$B$17,H367=Naturezas!$B$18,H367=Naturezas!$B$19),G367,-G367),"")</f>
        <v/>
      </c>
      <c r="W367" s="4" t="str">
        <f t="shared" si="34"/>
        <v/>
      </c>
      <c r="X367" s="4"/>
      <c r="Y367" s="4" t="str">
        <f t="shared" si="35"/>
        <v/>
      </c>
      <c r="Z367" s="6" t="str">
        <f>IF(H367&lt;&gt;"",Tabela1[[#This Row],[Iniciais]],"")</f>
        <v/>
      </c>
      <c r="AB367" s="6" t="str">
        <f>IF($H367&lt;&gt;"",RIGHT(Tabela1[[#This Row],[Ref.]],2),"")</f>
        <v/>
      </c>
      <c r="AC367" s="37" t="str">
        <f>IF($H367&lt;&gt;"",DATE(LEFT(Tabela1[[#This Row],[Ref.]],4),RIGHT(Tabela1[[#This Row],[Ref.]],2),1),"")</f>
        <v/>
      </c>
      <c r="AD367" s="4" t="str">
        <f t="shared" si="31"/>
        <v/>
      </c>
      <c r="AE367" s="5" t="str">
        <f t="shared" si="32"/>
        <v/>
      </c>
      <c r="AF367" s="4"/>
      <c r="AG367" s="6" t="str">
        <f t="shared" si="33"/>
        <v/>
      </c>
    </row>
    <row r="368" spans="1:33" ht="15.75" customHeight="1" x14ac:dyDescent="0.2">
      <c r="A368" s="35"/>
      <c r="B368" s="44"/>
      <c r="C368" s="35"/>
      <c r="D368" s="35"/>
      <c r="E368" s="48"/>
      <c r="F368" s="45"/>
      <c r="G368" s="38"/>
      <c r="H368" s="45"/>
      <c r="I368" s="45"/>
      <c r="L368" s="19"/>
      <c r="N368" s="25"/>
      <c r="O368" s="25"/>
      <c r="P368" s="27"/>
      <c r="R368" s="6" t="str">
        <f>IF($H368&lt;&gt;"",RIGHT(Tabela1[[#This Row],[Ref.]],2),"")</f>
        <v/>
      </c>
      <c r="S368" s="6" t="str">
        <f t="shared" si="30"/>
        <v/>
      </c>
      <c r="T368" s="4" t="str">
        <f>IF($H368&lt;&gt;"",_xlfn.XLOOKUP(H368,Naturezas!B:B,Naturezas!E:E,"",0,1),"")</f>
        <v/>
      </c>
      <c r="U368" s="4" t="str">
        <f>IF($H368&lt;&gt;"",_xlfn.XLOOKUP($H368,Naturezas!B:B,Naturezas!D:D,"",0,1),"")</f>
        <v/>
      </c>
      <c r="V368" s="5" t="str">
        <f>IF(H368&lt;&gt;"",IF(OR(H368=Naturezas!$B$3,H368=Naturezas!$B$4,H368=Naturezas!$B$5,H368=Naturezas!$B$17,H368=Naturezas!$B$18,H368=Naturezas!$B$19),G368,-G368),"")</f>
        <v/>
      </c>
      <c r="W368" s="4" t="str">
        <f t="shared" si="34"/>
        <v/>
      </c>
      <c r="X368" s="4"/>
      <c r="Y368" s="4" t="str">
        <f t="shared" si="35"/>
        <v/>
      </c>
      <c r="Z368" s="6" t="str">
        <f>IF(H368&lt;&gt;"",Tabela1[[#This Row],[Iniciais]],"")</f>
        <v/>
      </c>
      <c r="AB368" s="6" t="str">
        <f>IF($H368&lt;&gt;"",RIGHT(Tabela1[[#This Row],[Ref.]],2),"")</f>
        <v/>
      </c>
      <c r="AC368" s="37" t="str">
        <f>IF($H368&lt;&gt;"",DATE(LEFT(Tabela1[[#This Row],[Ref.]],4),RIGHT(Tabela1[[#This Row],[Ref.]],2),1),"")</f>
        <v/>
      </c>
      <c r="AD368" s="4" t="str">
        <f t="shared" si="31"/>
        <v/>
      </c>
      <c r="AE368" s="5" t="str">
        <f t="shared" si="32"/>
        <v/>
      </c>
      <c r="AF368" s="4"/>
      <c r="AG368" s="6" t="str">
        <f t="shared" si="33"/>
        <v/>
      </c>
    </row>
    <row r="369" spans="1:33" ht="15.75" customHeight="1" x14ac:dyDescent="0.2">
      <c r="A369" s="35"/>
      <c r="B369" s="44"/>
      <c r="C369" s="35"/>
      <c r="D369" s="35"/>
      <c r="E369" s="48"/>
      <c r="F369" s="45"/>
      <c r="G369" s="38"/>
      <c r="H369" s="45"/>
      <c r="I369" s="45"/>
      <c r="L369" s="19"/>
      <c r="N369" s="25"/>
      <c r="O369" s="25"/>
      <c r="P369" s="27"/>
      <c r="R369" s="6" t="str">
        <f>IF($H369&lt;&gt;"",RIGHT(Tabela1[[#This Row],[Ref.]],2),"")</f>
        <v/>
      </c>
      <c r="S369" s="6" t="str">
        <f t="shared" si="30"/>
        <v/>
      </c>
      <c r="T369" s="4" t="str">
        <f>IF($H369&lt;&gt;"",_xlfn.XLOOKUP(H369,Naturezas!B:B,Naturezas!E:E,"",0,1),"")</f>
        <v/>
      </c>
      <c r="U369" s="4" t="str">
        <f>IF($H369&lt;&gt;"",_xlfn.XLOOKUP($H369,Naturezas!B:B,Naturezas!D:D,"",0,1),"")</f>
        <v/>
      </c>
      <c r="V369" s="5" t="str">
        <f>IF(H369&lt;&gt;"",IF(OR(H369=Naturezas!$B$3,H369=Naturezas!$B$4,H369=Naturezas!$B$5,H369=Naturezas!$B$17,H369=Naturezas!$B$18,H369=Naturezas!$B$19),G369,-G369),"")</f>
        <v/>
      </c>
      <c r="W369" s="4" t="str">
        <f t="shared" si="34"/>
        <v/>
      </c>
      <c r="X369" s="4"/>
      <c r="Y369" s="4" t="str">
        <f t="shared" si="35"/>
        <v/>
      </c>
      <c r="Z369" s="6" t="str">
        <f>IF(H369&lt;&gt;"",Tabela1[[#This Row],[Iniciais]],"")</f>
        <v/>
      </c>
      <c r="AB369" s="6" t="str">
        <f>IF($H369&lt;&gt;"",RIGHT(Tabela1[[#This Row],[Ref.]],2),"")</f>
        <v/>
      </c>
      <c r="AC369" s="37" t="str">
        <f>IF($H369&lt;&gt;"",DATE(LEFT(Tabela1[[#This Row],[Ref.]],4),RIGHT(Tabela1[[#This Row],[Ref.]],2),1),"")</f>
        <v/>
      </c>
      <c r="AD369" s="4" t="str">
        <f t="shared" si="31"/>
        <v/>
      </c>
      <c r="AE369" s="5" t="str">
        <f t="shared" si="32"/>
        <v/>
      </c>
      <c r="AF369" s="4"/>
      <c r="AG369" s="6" t="str">
        <f t="shared" si="33"/>
        <v/>
      </c>
    </row>
    <row r="370" spans="1:33" ht="15.75" customHeight="1" x14ac:dyDescent="0.2">
      <c r="A370" s="35"/>
      <c r="B370" s="44"/>
      <c r="C370" s="35"/>
      <c r="D370" s="35"/>
      <c r="E370" s="48"/>
      <c r="F370" s="45"/>
      <c r="G370" s="38"/>
      <c r="H370" s="45"/>
      <c r="I370" s="45"/>
      <c r="L370" s="19"/>
      <c r="N370" s="25"/>
      <c r="O370" s="25"/>
      <c r="P370" s="27"/>
      <c r="R370" s="6" t="str">
        <f>IF($H370&lt;&gt;"",RIGHT(Tabela1[[#This Row],[Ref.]],2),"")</f>
        <v/>
      </c>
      <c r="S370" s="6" t="str">
        <f t="shared" si="30"/>
        <v/>
      </c>
      <c r="T370" s="4" t="str">
        <f>IF($H370&lt;&gt;"",_xlfn.XLOOKUP(H370,Naturezas!B:B,Naturezas!E:E,"",0,1),"")</f>
        <v/>
      </c>
      <c r="U370" s="4" t="str">
        <f>IF($H370&lt;&gt;"",_xlfn.XLOOKUP($H370,Naturezas!B:B,Naturezas!D:D,"",0,1),"")</f>
        <v/>
      </c>
      <c r="V370" s="5" t="str">
        <f>IF(H370&lt;&gt;"",IF(OR(H370=Naturezas!$B$3,H370=Naturezas!$B$4,H370=Naturezas!$B$5,H370=Naturezas!$B$17,H370=Naturezas!$B$18,H370=Naturezas!$B$19),G370,-G370),"")</f>
        <v/>
      </c>
      <c r="W370" s="4" t="str">
        <f t="shared" si="34"/>
        <v/>
      </c>
      <c r="X370" s="4"/>
      <c r="Y370" s="4" t="str">
        <f t="shared" si="35"/>
        <v/>
      </c>
      <c r="Z370" s="6" t="str">
        <f>IF(H370&lt;&gt;"",Tabela1[[#This Row],[Iniciais]],"")</f>
        <v/>
      </c>
      <c r="AB370" s="6" t="str">
        <f>IF($H370&lt;&gt;"",RIGHT(Tabela1[[#This Row],[Ref.]],2),"")</f>
        <v/>
      </c>
      <c r="AC370" s="37" t="str">
        <f>IF($H370&lt;&gt;"",DATE(LEFT(Tabela1[[#This Row],[Ref.]],4),RIGHT(Tabela1[[#This Row],[Ref.]],2),1),"")</f>
        <v/>
      </c>
      <c r="AD370" s="4" t="str">
        <f t="shared" si="31"/>
        <v/>
      </c>
      <c r="AE370" s="5" t="str">
        <f t="shared" si="32"/>
        <v/>
      </c>
      <c r="AF370" s="4"/>
      <c r="AG370" s="6" t="str">
        <f t="shared" si="33"/>
        <v/>
      </c>
    </row>
    <row r="371" spans="1:33" ht="15.75" customHeight="1" x14ac:dyDescent="0.2">
      <c r="A371" s="35"/>
      <c r="B371" s="44"/>
      <c r="C371" s="35"/>
      <c r="D371" s="35"/>
      <c r="E371" s="48"/>
      <c r="F371" s="45"/>
      <c r="G371" s="38"/>
      <c r="H371" s="45"/>
      <c r="I371" s="45"/>
      <c r="L371" s="19"/>
      <c r="N371" s="25"/>
      <c r="O371" s="25"/>
      <c r="P371" s="27"/>
      <c r="R371" s="6" t="str">
        <f>IF($H371&lt;&gt;"",RIGHT(Tabela1[[#This Row],[Ref.]],2),"")</f>
        <v/>
      </c>
      <c r="S371" s="6" t="str">
        <f t="shared" si="30"/>
        <v/>
      </c>
      <c r="T371" s="4" t="str">
        <f>IF($H371&lt;&gt;"",_xlfn.XLOOKUP(H371,Naturezas!B:B,Naturezas!E:E,"",0,1),"")</f>
        <v/>
      </c>
      <c r="U371" s="4" t="str">
        <f>IF($H371&lt;&gt;"",_xlfn.XLOOKUP($H371,Naturezas!B:B,Naturezas!D:D,"",0,1),"")</f>
        <v/>
      </c>
      <c r="V371" s="5" t="str">
        <f>IF(H371&lt;&gt;"",IF(OR(H371=Naturezas!$B$3,H371=Naturezas!$B$4,H371=Naturezas!$B$5,H371=Naturezas!$B$17,H371=Naturezas!$B$18,H371=Naturezas!$B$19),G371,-G371),"")</f>
        <v/>
      </c>
      <c r="W371" s="4" t="str">
        <f t="shared" si="34"/>
        <v/>
      </c>
      <c r="X371" s="4"/>
      <c r="Y371" s="4" t="str">
        <f t="shared" si="35"/>
        <v/>
      </c>
      <c r="Z371" s="6" t="str">
        <f>IF(H371&lt;&gt;"",Tabela1[[#This Row],[Iniciais]],"")</f>
        <v/>
      </c>
      <c r="AB371" s="6" t="str">
        <f>IF($H371&lt;&gt;"",RIGHT(Tabela1[[#This Row],[Ref.]],2),"")</f>
        <v/>
      </c>
      <c r="AC371" s="37" t="str">
        <f>IF($H371&lt;&gt;"",DATE(LEFT(Tabela1[[#This Row],[Ref.]],4),RIGHT(Tabela1[[#This Row],[Ref.]],2),1),"")</f>
        <v/>
      </c>
      <c r="AD371" s="4" t="str">
        <f t="shared" si="31"/>
        <v/>
      </c>
      <c r="AE371" s="5" t="str">
        <f t="shared" si="32"/>
        <v/>
      </c>
      <c r="AF371" s="4"/>
      <c r="AG371" s="6" t="str">
        <f t="shared" si="33"/>
        <v/>
      </c>
    </row>
    <row r="372" spans="1:33" ht="15.75" customHeight="1" x14ac:dyDescent="0.2">
      <c r="A372" s="35"/>
      <c r="B372" s="44"/>
      <c r="C372" s="35"/>
      <c r="D372" s="35"/>
      <c r="E372" s="48"/>
      <c r="F372" s="45"/>
      <c r="G372" s="38"/>
      <c r="H372" s="45"/>
      <c r="I372" s="45"/>
      <c r="L372" s="19"/>
      <c r="N372" s="25"/>
      <c r="O372" s="25"/>
      <c r="P372" s="27"/>
      <c r="R372" s="6" t="str">
        <f>IF($H372&lt;&gt;"",RIGHT(Tabela1[[#This Row],[Ref.]],2),"")</f>
        <v/>
      </c>
      <c r="S372" s="6" t="str">
        <f t="shared" si="30"/>
        <v/>
      </c>
      <c r="T372" s="4" t="str">
        <f>IF($H372&lt;&gt;"",_xlfn.XLOOKUP(H372,Naturezas!B:B,Naturezas!E:E,"",0,1),"")</f>
        <v/>
      </c>
      <c r="U372" s="4" t="str">
        <f>IF($H372&lt;&gt;"",_xlfn.XLOOKUP($H372,Naturezas!B:B,Naturezas!D:D,"",0,1),"")</f>
        <v/>
      </c>
      <c r="V372" s="5" t="str">
        <f>IF(H372&lt;&gt;"",IF(OR(H372=Naturezas!$B$3,H372=Naturezas!$B$4,H372=Naturezas!$B$5,H372=Naturezas!$B$17,H372=Naturezas!$B$18,H372=Naturezas!$B$19),G372,-G372),"")</f>
        <v/>
      </c>
      <c r="W372" s="4" t="str">
        <f t="shared" si="34"/>
        <v/>
      </c>
      <c r="X372" s="4"/>
      <c r="Y372" s="4" t="str">
        <f t="shared" si="35"/>
        <v/>
      </c>
      <c r="Z372" s="6" t="str">
        <f>IF(H372&lt;&gt;"",Tabela1[[#This Row],[Iniciais]],"")</f>
        <v/>
      </c>
      <c r="AB372" s="6" t="str">
        <f>IF($H372&lt;&gt;"",RIGHT(Tabela1[[#This Row],[Ref.]],2),"")</f>
        <v/>
      </c>
      <c r="AC372" s="37" t="str">
        <f>IF($H372&lt;&gt;"",DATE(LEFT(Tabela1[[#This Row],[Ref.]],4),RIGHT(Tabela1[[#This Row],[Ref.]],2),1),"")</f>
        <v/>
      </c>
      <c r="AD372" s="4" t="str">
        <f t="shared" si="31"/>
        <v/>
      </c>
      <c r="AE372" s="5" t="str">
        <f t="shared" si="32"/>
        <v/>
      </c>
      <c r="AF372" s="4"/>
      <c r="AG372" s="6" t="str">
        <f t="shared" si="33"/>
        <v/>
      </c>
    </row>
    <row r="373" spans="1:33" ht="15.75" customHeight="1" x14ac:dyDescent="0.2">
      <c r="A373" s="35"/>
      <c r="B373" s="44"/>
      <c r="C373" s="35"/>
      <c r="D373" s="35"/>
      <c r="E373" s="48"/>
      <c r="F373" s="45"/>
      <c r="G373" s="38"/>
      <c r="H373" s="45"/>
      <c r="I373" s="45"/>
      <c r="L373" s="19"/>
      <c r="N373" s="25"/>
      <c r="O373" s="25"/>
      <c r="P373" s="27"/>
      <c r="R373" s="6" t="str">
        <f>IF($H373&lt;&gt;"",RIGHT(Tabela1[[#This Row],[Ref.]],2),"")</f>
        <v/>
      </c>
      <c r="S373" s="6" t="str">
        <f t="shared" si="30"/>
        <v/>
      </c>
      <c r="T373" s="4" t="str">
        <f>IF($H373&lt;&gt;"",_xlfn.XLOOKUP(H373,Naturezas!B:B,Naturezas!E:E,"",0,1),"")</f>
        <v/>
      </c>
      <c r="U373" s="4" t="str">
        <f>IF($H373&lt;&gt;"",_xlfn.XLOOKUP($H373,Naturezas!B:B,Naturezas!D:D,"",0,1),"")</f>
        <v/>
      </c>
      <c r="V373" s="5" t="str">
        <f>IF(H373&lt;&gt;"",IF(OR(H373=Naturezas!$B$3,H373=Naturezas!$B$4,H373=Naturezas!$B$5,H373=Naturezas!$B$17,H373=Naturezas!$B$18,H373=Naturezas!$B$19),G373,-G373),"")</f>
        <v/>
      </c>
      <c r="W373" s="4" t="str">
        <f t="shared" si="34"/>
        <v/>
      </c>
      <c r="X373" s="4"/>
      <c r="Y373" s="4" t="str">
        <f t="shared" si="35"/>
        <v/>
      </c>
      <c r="Z373" s="6" t="str">
        <f>IF(H373&lt;&gt;"",Tabela1[[#This Row],[Iniciais]],"")</f>
        <v/>
      </c>
      <c r="AB373" s="6" t="str">
        <f>IF($H373&lt;&gt;"",RIGHT(Tabela1[[#This Row],[Ref.]],2),"")</f>
        <v/>
      </c>
      <c r="AC373" s="37" t="str">
        <f>IF($H373&lt;&gt;"",DATE(LEFT(Tabela1[[#This Row],[Ref.]],4),RIGHT(Tabela1[[#This Row],[Ref.]],2),1),"")</f>
        <v/>
      </c>
      <c r="AD373" s="4" t="str">
        <f t="shared" si="31"/>
        <v/>
      </c>
      <c r="AE373" s="5" t="str">
        <f t="shared" si="32"/>
        <v/>
      </c>
      <c r="AF373" s="4"/>
      <c r="AG373" s="6" t="str">
        <f t="shared" si="33"/>
        <v/>
      </c>
    </row>
    <row r="374" spans="1:33" ht="15.75" customHeight="1" x14ac:dyDescent="0.2">
      <c r="A374" s="35"/>
      <c r="B374" s="44"/>
      <c r="C374" s="35"/>
      <c r="D374" s="35"/>
      <c r="E374" s="48"/>
      <c r="F374" s="45"/>
      <c r="G374" s="38"/>
      <c r="H374" s="45"/>
      <c r="I374" s="45"/>
      <c r="L374" s="19"/>
      <c r="N374" s="25"/>
      <c r="O374" s="25"/>
      <c r="P374" s="27"/>
      <c r="R374" s="6" t="str">
        <f>IF($H374&lt;&gt;"",RIGHT(Tabela1[[#This Row],[Ref.]],2),"")</f>
        <v/>
      </c>
      <c r="S374" s="6" t="str">
        <f t="shared" si="30"/>
        <v/>
      </c>
      <c r="T374" s="4" t="str">
        <f>IF($H374&lt;&gt;"",_xlfn.XLOOKUP(H374,Naturezas!B:B,Naturezas!E:E,"",0,1),"")</f>
        <v/>
      </c>
      <c r="U374" s="4" t="str">
        <f>IF($H374&lt;&gt;"",_xlfn.XLOOKUP($H374,Naturezas!B:B,Naturezas!D:D,"",0,1),"")</f>
        <v/>
      </c>
      <c r="V374" s="5" t="str">
        <f>IF(H374&lt;&gt;"",IF(OR(H374=Naturezas!$B$3,H374=Naturezas!$B$4,H374=Naturezas!$B$5,H374=Naturezas!$B$17,H374=Naturezas!$B$18,H374=Naturezas!$B$19),G374,-G374),"")</f>
        <v/>
      </c>
      <c r="W374" s="4" t="str">
        <f t="shared" si="34"/>
        <v/>
      </c>
      <c r="X374" s="4"/>
      <c r="Y374" s="4" t="str">
        <f t="shared" si="35"/>
        <v/>
      </c>
      <c r="Z374" s="6" t="str">
        <f>IF(H374&lt;&gt;"",Tabela1[[#This Row],[Iniciais]],"")</f>
        <v/>
      </c>
      <c r="AB374" s="6" t="str">
        <f>IF($H374&lt;&gt;"",RIGHT(Tabela1[[#This Row],[Ref.]],2),"")</f>
        <v/>
      </c>
      <c r="AC374" s="37" t="str">
        <f>IF($H374&lt;&gt;"",DATE(LEFT(Tabela1[[#This Row],[Ref.]],4),RIGHT(Tabela1[[#This Row],[Ref.]],2),1),"")</f>
        <v/>
      </c>
      <c r="AD374" s="4" t="str">
        <f t="shared" si="31"/>
        <v/>
      </c>
      <c r="AE374" s="5" t="str">
        <f t="shared" si="32"/>
        <v/>
      </c>
      <c r="AF374" s="4"/>
      <c r="AG374" s="6" t="str">
        <f t="shared" si="33"/>
        <v/>
      </c>
    </row>
    <row r="375" spans="1:33" ht="15.75" customHeight="1" x14ac:dyDescent="0.2">
      <c r="A375" s="35"/>
      <c r="B375" s="44"/>
      <c r="C375" s="35"/>
      <c r="D375" s="35"/>
      <c r="E375" s="48"/>
      <c r="F375" s="45"/>
      <c r="G375" s="38"/>
      <c r="H375" s="45"/>
      <c r="I375" s="45"/>
      <c r="L375" s="19"/>
      <c r="N375" s="25"/>
      <c r="O375" s="25"/>
      <c r="P375" s="27"/>
      <c r="R375" s="6" t="str">
        <f>IF($H375&lt;&gt;"",RIGHT(Tabela1[[#This Row],[Ref.]],2),"")</f>
        <v/>
      </c>
      <c r="S375" s="6" t="str">
        <f t="shared" si="30"/>
        <v/>
      </c>
      <c r="T375" s="4" t="str">
        <f>IF($H375&lt;&gt;"",_xlfn.XLOOKUP(H375,Naturezas!B:B,Naturezas!E:E,"",0,1),"")</f>
        <v/>
      </c>
      <c r="U375" s="4" t="str">
        <f>IF($H375&lt;&gt;"",_xlfn.XLOOKUP($H375,Naturezas!B:B,Naturezas!D:D,"",0,1),"")</f>
        <v/>
      </c>
      <c r="V375" s="5" t="str">
        <f>IF(H375&lt;&gt;"",IF(OR(H375=Naturezas!$B$3,H375=Naturezas!$B$4,H375=Naturezas!$B$5,H375=Naturezas!$B$17,H375=Naturezas!$B$18,H375=Naturezas!$B$19),G375,-G375),"")</f>
        <v/>
      </c>
      <c r="W375" s="4" t="str">
        <f t="shared" si="34"/>
        <v/>
      </c>
      <c r="X375" s="4"/>
      <c r="Y375" s="4" t="str">
        <f t="shared" si="35"/>
        <v/>
      </c>
      <c r="Z375" s="6" t="str">
        <f>IF(H375&lt;&gt;"",Tabela1[[#This Row],[Iniciais]],"")</f>
        <v/>
      </c>
      <c r="AB375" s="6" t="str">
        <f>IF($H375&lt;&gt;"",RIGHT(Tabela1[[#This Row],[Ref.]],2),"")</f>
        <v/>
      </c>
      <c r="AC375" s="37" t="str">
        <f>IF($H375&lt;&gt;"",DATE(LEFT(Tabela1[[#This Row],[Ref.]],4),RIGHT(Tabela1[[#This Row],[Ref.]],2),1),"")</f>
        <v/>
      </c>
      <c r="AD375" s="4" t="str">
        <f t="shared" si="31"/>
        <v/>
      </c>
      <c r="AE375" s="5" t="str">
        <f t="shared" si="32"/>
        <v/>
      </c>
      <c r="AF375" s="4"/>
      <c r="AG375" s="6" t="str">
        <f t="shared" si="33"/>
        <v/>
      </c>
    </row>
    <row r="376" spans="1:33" ht="15.75" customHeight="1" x14ac:dyDescent="0.2">
      <c r="A376" s="35"/>
      <c r="B376" s="44"/>
      <c r="C376" s="35"/>
      <c r="D376" s="35"/>
      <c r="E376" s="48"/>
      <c r="F376" s="45"/>
      <c r="G376" s="38"/>
      <c r="H376" s="45"/>
      <c r="I376" s="45"/>
      <c r="L376" s="19"/>
      <c r="N376" s="25"/>
      <c r="O376" s="25"/>
      <c r="P376" s="27"/>
      <c r="R376" s="6" t="str">
        <f>IF($H376&lt;&gt;"",RIGHT(Tabela1[[#This Row],[Ref.]],2),"")</f>
        <v/>
      </c>
      <c r="S376" s="6" t="str">
        <f t="shared" si="30"/>
        <v/>
      </c>
      <c r="T376" s="4" t="str">
        <f>IF($H376&lt;&gt;"",_xlfn.XLOOKUP(H376,Naturezas!B:B,Naturezas!E:E,"",0,1),"")</f>
        <v/>
      </c>
      <c r="U376" s="4" t="str">
        <f>IF($H376&lt;&gt;"",_xlfn.XLOOKUP($H376,Naturezas!B:B,Naturezas!D:D,"",0,1),"")</f>
        <v/>
      </c>
      <c r="V376" s="5" t="str">
        <f>IF(H376&lt;&gt;"",IF(OR(H376=Naturezas!$B$3,H376=Naturezas!$B$4,H376=Naturezas!$B$5,H376=Naturezas!$B$17,H376=Naturezas!$B$18,H376=Naturezas!$B$19),G376,-G376),"")</f>
        <v/>
      </c>
      <c r="W376" s="4" t="str">
        <f t="shared" si="34"/>
        <v/>
      </c>
      <c r="X376" s="4"/>
      <c r="Y376" s="4" t="str">
        <f t="shared" si="35"/>
        <v/>
      </c>
      <c r="Z376" s="6" t="str">
        <f>IF(H376&lt;&gt;"",Tabela1[[#This Row],[Iniciais]],"")</f>
        <v/>
      </c>
      <c r="AB376" s="6" t="str">
        <f>IF($H376&lt;&gt;"",RIGHT(Tabela1[[#This Row],[Ref.]],2),"")</f>
        <v/>
      </c>
      <c r="AC376" s="37" t="str">
        <f>IF($H376&lt;&gt;"",DATE(LEFT(Tabela1[[#This Row],[Ref.]],4),RIGHT(Tabela1[[#This Row],[Ref.]],2),1),"")</f>
        <v/>
      </c>
      <c r="AD376" s="4" t="str">
        <f t="shared" si="31"/>
        <v/>
      </c>
      <c r="AE376" s="5" t="str">
        <f t="shared" si="32"/>
        <v/>
      </c>
      <c r="AF376" s="4"/>
      <c r="AG376" s="6" t="str">
        <f t="shared" si="33"/>
        <v/>
      </c>
    </row>
    <row r="377" spans="1:33" ht="15.75" customHeight="1" x14ac:dyDescent="0.2">
      <c r="A377" s="35"/>
      <c r="B377" s="44"/>
      <c r="C377" s="35"/>
      <c r="D377" s="35"/>
      <c r="E377" s="48"/>
      <c r="F377" s="45"/>
      <c r="G377" s="38"/>
      <c r="H377" s="45"/>
      <c r="I377" s="45"/>
      <c r="L377" s="19"/>
      <c r="N377" s="25"/>
      <c r="O377" s="25"/>
      <c r="P377" s="27"/>
      <c r="R377" s="6" t="str">
        <f>IF($H377&lt;&gt;"",RIGHT(Tabela1[[#This Row],[Ref.]],2),"")</f>
        <v/>
      </c>
      <c r="S377" s="6" t="str">
        <f t="shared" si="30"/>
        <v/>
      </c>
      <c r="T377" s="4" t="str">
        <f>IF($H377&lt;&gt;"",_xlfn.XLOOKUP(H377,Naturezas!B:B,Naturezas!E:E,"",0,1),"")</f>
        <v/>
      </c>
      <c r="U377" s="4" t="str">
        <f>IF($H377&lt;&gt;"",_xlfn.XLOOKUP($H377,Naturezas!B:B,Naturezas!D:D,"",0,1),"")</f>
        <v/>
      </c>
      <c r="V377" s="5" t="str">
        <f>IF(H377&lt;&gt;"",IF(OR(H377=Naturezas!$B$3,H377=Naturezas!$B$4,H377=Naturezas!$B$5,H377=Naturezas!$B$17,H377=Naturezas!$B$18,H377=Naturezas!$B$19),G377,-G377),"")</f>
        <v/>
      </c>
      <c r="W377" s="4" t="str">
        <f t="shared" si="34"/>
        <v/>
      </c>
      <c r="X377" s="4"/>
      <c r="Y377" s="4" t="str">
        <f t="shared" si="35"/>
        <v/>
      </c>
      <c r="Z377" s="6" t="str">
        <f>IF(H377&lt;&gt;"",Tabela1[[#This Row],[Iniciais]],"")</f>
        <v/>
      </c>
      <c r="AB377" s="6" t="str">
        <f>IF($H377&lt;&gt;"",RIGHT(Tabela1[[#This Row],[Ref.]],2),"")</f>
        <v/>
      </c>
      <c r="AC377" s="37" t="str">
        <f>IF($H377&lt;&gt;"",DATE(LEFT(Tabela1[[#This Row],[Ref.]],4),RIGHT(Tabela1[[#This Row],[Ref.]],2),1),"")</f>
        <v/>
      </c>
      <c r="AD377" s="4" t="str">
        <f t="shared" si="31"/>
        <v/>
      </c>
      <c r="AE377" s="5" t="str">
        <f t="shared" si="32"/>
        <v/>
      </c>
      <c r="AF377" s="4"/>
      <c r="AG377" s="6" t="str">
        <f t="shared" si="33"/>
        <v/>
      </c>
    </row>
    <row r="378" spans="1:33" ht="15.75" customHeight="1" x14ac:dyDescent="0.2">
      <c r="A378" s="35"/>
      <c r="B378" s="44"/>
      <c r="C378" s="35"/>
      <c r="D378" s="35"/>
      <c r="E378" s="48"/>
      <c r="F378" s="45"/>
      <c r="G378" s="38"/>
      <c r="H378" s="45"/>
      <c r="I378" s="45"/>
      <c r="L378" s="19"/>
      <c r="N378" s="25"/>
      <c r="O378" s="25"/>
      <c r="P378" s="27"/>
      <c r="R378" s="6" t="str">
        <f>IF($H378&lt;&gt;"",RIGHT(Tabela1[[#This Row],[Ref.]],2),"")</f>
        <v/>
      </c>
      <c r="S378" s="6" t="str">
        <f t="shared" si="30"/>
        <v/>
      </c>
      <c r="T378" s="4" t="str">
        <f>IF($H378&lt;&gt;"",_xlfn.XLOOKUP(H378,Naturezas!B:B,Naturezas!E:E,"",0,1),"")</f>
        <v/>
      </c>
      <c r="U378" s="4" t="str">
        <f>IF($H378&lt;&gt;"",_xlfn.XLOOKUP($H378,Naturezas!B:B,Naturezas!D:D,"",0,1),"")</f>
        <v/>
      </c>
      <c r="V378" s="5" t="str">
        <f>IF(H378&lt;&gt;"",IF(OR(H378=Naturezas!$B$3,H378=Naturezas!$B$4,H378=Naturezas!$B$5,H378=Naturezas!$B$17,H378=Naturezas!$B$18,H378=Naturezas!$B$19),G378,-G378),"")</f>
        <v/>
      </c>
      <c r="W378" s="4" t="str">
        <f t="shared" si="34"/>
        <v/>
      </c>
      <c r="X378" s="4"/>
      <c r="Y378" s="4" t="str">
        <f t="shared" si="35"/>
        <v/>
      </c>
      <c r="Z378" s="6" t="str">
        <f>IF(H378&lt;&gt;"",Tabela1[[#This Row],[Iniciais]],"")</f>
        <v/>
      </c>
      <c r="AB378" s="6" t="str">
        <f>IF($H378&lt;&gt;"",RIGHT(Tabela1[[#This Row],[Ref.]],2),"")</f>
        <v/>
      </c>
      <c r="AC378" s="37" t="str">
        <f>IF($H378&lt;&gt;"",DATE(LEFT(Tabela1[[#This Row],[Ref.]],4),RIGHT(Tabela1[[#This Row],[Ref.]],2),1),"")</f>
        <v/>
      </c>
      <c r="AD378" s="4" t="str">
        <f t="shared" si="31"/>
        <v/>
      </c>
      <c r="AE378" s="5" t="str">
        <f t="shared" si="32"/>
        <v/>
      </c>
      <c r="AF378" s="4"/>
      <c r="AG378" s="6" t="str">
        <f t="shared" si="33"/>
        <v/>
      </c>
    </row>
    <row r="379" spans="1:33" ht="15.75" customHeight="1" x14ac:dyDescent="0.2">
      <c r="A379" s="35"/>
      <c r="B379" s="44"/>
      <c r="C379" s="35"/>
      <c r="D379" s="35"/>
      <c r="E379" s="48"/>
      <c r="F379" s="45"/>
      <c r="G379" s="38"/>
      <c r="H379" s="45"/>
      <c r="I379" s="45"/>
      <c r="L379" s="19"/>
      <c r="N379" s="25"/>
      <c r="O379" s="25"/>
      <c r="P379" s="27"/>
      <c r="R379" s="6" t="str">
        <f>IF($H379&lt;&gt;"",RIGHT(Tabela1[[#This Row],[Ref.]],2),"")</f>
        <v/>
      </c>
      <c r="S379" s="6" t="str">
        <f t="shared" si="30"/>
        <v/>
      </c>
      <c r="T379" s="4" t="str">
        <f>IF($H379&lt;&gt;"",_xlfn.XLOOKUP(H379,Naturezas!B:B,Naturezas!E:E,"",0,1),"")</f>
        <v/>
      </c>
      <c r="U379" s="4" t="str">
        <f>IF($H379&lt;&gt;"",_xlfn.XLOOKUP($H379,Naturezas!B:B,Naturezas!D:D,"",0,1),"")</f>
        <v/>
      </c>
      <c r="V379" s="5" t="str">
        <f>IF(H379&lt;&gt;"",IF(OR(H379=Naturezas!$B$3,H379=Naturezas!$B$4,H379=Naturezas!$B$5,H379=Naturezas!$B$17,H379=Naturezas!$B$18,H379=Naturezas!$B$19),G379,-G379),"")</f>
        <v/>
      </c>
      <c r="W379" s="4" t="str">
        <f t="shared" si="34"/>
        <v/>
      </c>
      <c r="X379" s="4"/>
      <c r="Y379" s="4" t="str">
        <f t="shared" si="35"/>
        <v/>
      </c>
      <c r="Z379" s="6" t="str">
        <f>IF(H379&lt;&gt;"",Tabela1[[#This Row],[Iniciais]],"")</f>
        <v/>
      </c>
      <c r="AB379" s="6" t="str">
        <f>IF($H379&lt;&gt;"",RIGHT(Tabela1[[#This Row],[Ref.]],2),"")</f>
        <v/>
      </c>
      <c r="AC379" s="37" t="str">
        <f>IF($H379&lt;&gt;"",DATE(LEFT(Tabela1[[#This Row],[Ref.]],4),RIGHT(Tabela1[[#This Row],[Ref.]],2),1),"")</f>
        <v/>
      </c>
      <c r="AD379" s="4" t="str">
        <f t="shared" si="31"/>
        <v/>
      </c>
      <c r="AE379" s="5" t="str">
        <f t="shared" si="32"/>
        <v/>
      </c>
      <c r="AF379" s="4"/>
      <c r="AG379" s="6" t="str">
        <f t="shared" si="33"/>
        <v/>
      </c>
    </row>
    <row r="380" spans="1:33" ht="15.75" customHeight="1" x14ac:dyDescent="0.2">
      <c r="A380" s="35"/>
      <c r="B380" s="44"/>
      <c r="C380" s="35"/>
      <c r="D380" s="35"/>
      <c r="E380" s="48"/>
      <c r="F380" s="45"/>
      <c r="G380" s="38"/>
      <c r="H380" s="45"/>
      <c r="I380" s="45"/>
      <c r="L380" s="19"/>
      <c r="N380" s="25"/>
      <c r="O380" s="25"/>
      <c r="P380" s="27"/>
      <c r="R380" s="6" t="str">
        <f>IF($H380&lt;&gt;"",RIGHT(Tabela1[[#This Row],[Ref.]],2),"")</f>
        <v/>
      </c>
      <c r="S380" s="6" t="str">
        <f t="shared" si="30"/>
        <v/>
      </c>
      <c r="T380" s="4" t="str">
        <f>IF($H380&lt;&gt;"",_xlfn.XLOOKUP(H380,Naturezas!B:B,Naturezas!E:E,"",0,1),"")</f>
        <v/>
      </c>
      <c r="U380" s="4" t="str">
        <f>IF($H380&lt;&gt;"",_xlfn.XLOOKUP($H380,Naturezas!B:B,Naturezas!D:D,"",0,1),"")</f>
        <v/>
      </c>
      <c r="V380" s="5" t="str">
        <f>IF(H380&lt;&gt;"",IF(OR(H380=Naturezas!$B$3,H380=Naturezas!$B$4,H380=Naturezas!$B$5,H380=Naturezas!$B$17,H380=Naturezas!$B$18,H380=Naturezas!$B$19),G380,-G380),"")</f>
        <v/>
      </c>
      <c r="W380" s="4" t="str">
        <f t="shared" si="34"/>
        <v/>
      </c>
      <c r="X380" s="4"/>
      <c r="Y380" s="4" t="str">
        <f t="shared" si="35"/>
        <v/>
      </c>
      <c r="Z380" s="6" t="str">
        <f>IF(H380&lt;&gt;"",Tabela1[[#This Row],[Iniciais]],"")</f>
        <v/>
      </c>
      <c r="AB380" s="6" t="str">
        <f>IF($H380&lt;&gt;"",RIGHT(Tabela1[[#This Row],[Ref.]],2),"")</f>
        <v/>
      </c>
      <c r="AC380" s="37" t="str">
        <f>IF($H380&lt;&gt;"",DATE(LEFT(Tabela1[[#This Row],[Ref.]],4),RIGHT(Tabela1[[#This Row],[Ref.]],2),1),"")</f>
        <v/>
      </c>
      <c r="AD380" s="4" t="str">
        <f t="shared" si="31"/>
        <v/>
      </c>
      <c r="AE380" s="5" t="str">
        <f t="shared" si="32"/>
        <v/>
      </c>
      <c r="AF380" s="4"/>
      <c r="AG380" s="6" t="str">
        <f t="shared" si="33"/>
        <v/>
      </c>
    </row>
    <row r="381" spans="1:33" ht="15.75" customHeight="1" x14ac:dyDescent="0.2">
      <c r="A381" s="35"/>
      <c r="B381" s="44"/>
      <c r="C381" s="35"/>
      <c r="D381" s="35"/>
      <c r="E381" s="48"/>
      <c r="F381" s="45"/>
      <c r="G381" s="38"/>
      <c r="H381" s="45"/>
      <c r="I381" s="45"/>
      <c r="L381" s="19"/>
      <c r="N381" s="25"/>
      <c r="O381" s="25"/>
      <c r="P381" s="27"/>
      <c r="R381" s="6" t="str">
        <f>IF($H381&lt;&gt;"",RIGHT(Tabela1[[#This Row],[Ref.]],2),"")</f>
        <v/>
      </c>
      <c r="S381" s="6" t="str">
        <f t="shared" si="30"/>
        <v/>
      </c>
      <c r="T381" s="4" t="str">
        <f>IF($H381&lt;&gt;"",_xlfn.XLOOKUP(H381,Naturezas!B:B,Naturezas!E:E,"",0,1),"")</f>
        <v/>
      </c>
      <c r="U381" s="4" t="str">
        <f>IF($H381&lt;&gt;"",_xlfn.XLOOKUP($H381,Naturezas!B:B,Naturezas!D:D,"",0,1),"")</f>
        <v/>
      </c>
      <c r="V381" s="5" t="str">
        <f>IF(H381&lt;&gt;"",IF(OR(H381=Naturezas!$B$3,H381=Naturezas!$B$4,H381=Naturezas!$B$5,H381=Naturezas!$B$17,H381=Naturezas!$B$18,H381=Naturezas!$B$19),G381,-G381),"")</f>
        <v/>
      </c>
      <c r="W381" s="4" t="str">
        <f t="shared" si="34"/>
        <v/>
      </c>
      <c r="X381" s="4"/>
      <c r="Y381" s="4" t="str">
        <f t="shared" si="35"/>
        <v/>
      </c>
      <c r="Z381" s="6" t="str">
        <f>IF(H381&lt;&gt;"",Tabela1[[#This Row],[Iniciais]],"")</f>
        <v/>
      </c>
      <c r="AB381" s="6" t="str">
        <f>IF($H381&lt;&gt;"",RIGHT(Tabela1[[#This Row],[Ref.]],2),"")</f>
        <v/>
      </c>
      <c r="AC381" s="37" t="str">
        <f>IF($H381&lt;&gt;"",DATE(LEFT(Tabela1[[#This Row],[Ref.]],4),RIGHT(Tabela1[[#This Row],[Ref.]],2),1),"")</f>
        <v/>
      </c>
      <c r="AD381" s="4" t="str">
        <f t="shared" si="31"/>
        <v/>
      </c>
      <c r="AE381" s="5" t="str">
        <f t="shared" si="32"/>
        <v/>
      </c>
      <c r="AF381" s="4"/>
      <c r="AG381" s="6" t="str">
        <f t="shared" si="33"/>
        <v/>
      </c>
    </row>
    <row r="382" spans="1:33" ht="15.75" customHeight="1" x14ac:dyDescent="0.2">
      <c r="A382" s="35"/>
      <c r="B382" s="44"/>
      <c r="C382" s="35"/>
      <c r="D382" s="35"/>
      <c r="E382" s="48"/>
      <c r="F382" s="45"/>
      <c r="G382" s="38"/>
      <c r="H382" s="45"/>
      <c r="I382" s="45"/>
      <c r="L382" s="19"/>
      <c r="N382" s="25"/>
      <c r="O382" s="25"/>
      <c r="P382" s="27"/>
      <c r="R382" s="6" t="str">
        <f>IF($H382&lt;&gt;"",RIGHT(Tabela1[[#This Row],[Ref.]],2),"")</f>
        <v/>
      </c>
      <c r="S382" s="6" t="str">
        <f t="shared" si="30"/>
        <v/>
      </c>
      <c r="T382" s="4" t="str">
        <f>IF($H382&lt;&gt;"",_xlfn.XLOOKUP(H382,Naturezas!B:B,Naturezas!E:E,"",0,1),"")</f>
        <v/>
      </c>
      <c r="U382" s="4" t="str">
        <f>IF($H382&lt;&gt;"",_xlfn.XLOOKUP($H382,Naturezas!B:B,Naturezas!D:D,"",0,1),"")</f>
        <v/>
      </c>
      <c r="V382" s="5" t="str">
        <f>IF(H382&lt;&gt;"",IF(OR(H382=Naturezas!$B$3,H382=Naturezas!$B$4,H382=Naturezas!$B$5,H382=Naturezas!$B$17,H382=Naturezas!$B$18,H382=Naturezas!$B$19),G382,-G382),"")</f>
        <v/>
      </c>
      <c r="W382" s="4" t="str">
        <f t="shared" si="34"/>
        <v/>
      </c>
      <c r="X382" s="4"/>
      <c r="Y382" s="4" t="str">
        <f t="shared" si="35"/>
        <v/>
      </c>
      <c r="Z382" s="6" t="str">
        <f>IF(H382&lt;&gt;"",Tabela1[[#This Row],[Iniciais]],"")</f>
        <v/>
      </c>
      <c r="AB382" s="6" t="str">
        <f>IF($H382&lt;&gt;"",RIGHT(Tabela1[[#This Row],[Ref.]],2),"")</f>
        <v/>
      </c>
      <c r="AC382" s="37" t="str">
        <f>IF($H382&lt;&gt;"",DATE(LEFT(Tabela1[[#This Row],[Ref.]],4),RIGHT(Tabela1[[#This Row],[Ref.]],2),1),"")</f>
        <v/>
      </c>
      <c r="AD382" s="4" t="str">
        <f t="shared" si="31"/>
        <v/>
      </c>
      <c r="AE382" s="5" t="str">
        <f t="shared" si="32"/>
        <v/>
      </c>
      <c r="AF382" s="4"/>
      <c r="AG382" s="6" t="str">
        <f t="shared" si="33"/>
        <v/>
      </c>
    </row>
    <row r="383" spans="1:33" ht="15.75" customHeight="1" x14ac:dyDescent="0.2">
      <c r="A383" s="35"/>
      <c r="B383" s="44"/>
      <c r="C383" s="35"/>
      <c r="D383" s="35"/>
      <c r="E383" s="48"/>
      <c r="F383" s="45"/>
      <c r="G383" s="38"/>
      <c r="H383" s="45"/>
      <c r="I383" s="45"/>
      <c r="L383" s="19"/>
      <c r="N383" s="25"/>
      <c r="O383" s="25"/>
      <c r="P383" s="27"/>
      <c r="R383" s="6" t="str">
        <f>IF($H383&lt;&gt;"",RIGHT(Tabela1[[#This Row],[Ref.]],2),"")</f>
        <v/>
      </c>
      <c r="S383" s="6" t="str">
        <f t="shared" si="30"/>
        <v/>
      </c>
      <c r="T383" s="4" t="str">
        <f>IF($H383&lt;&gt;"",_xlfn.XLOOKUP(H383,Naturezas!B:B,Naturezas!E:E,"",0,1),"")</f>
        <v/>
      </c>
      <c r="U383" s="4" t="str">
        <f>IF($H383&lt;&gt;"",_xlfn.XLOOKUP($H383,Naturezas!B:B,Naturezas!D:D,"",0,1),"")</f>
        <v/>
      </c>
      <c r="V383" s="5" t="str">
        <f>IF(H383&lt;&gt;"",IF(OR(H383=Naturezas!$B$3,H383=Naturezas!$B$4,H383=Naturezas!$B$5,H383=Naturezas!$B$17,H383=Naturezas!$B$18,H383=Naturezas!$B$19),G383,-G383),"")</f>
        <v/>
      </c>
      <c r="W383" s="4" t="str">
        <f t="shared" si="34"/>
        <v/>
      </c>
      <c r="X383" s="4"/>
      <c r="Y383" s="4" t="str">
        <f t="shared" si="35"/>
        <v/>
      </c>
      <c r="Z383" s="6" t="str">
        <f>IF(H383&lt;&gt;"",Tabela1[[#This Row],[Iniciais]],"")</f>
        <v/>
      </c>
      <c r="AB383" s="6" t="str">
        <f>IF($H383&lt;&gt;"",RIGHT(Tabela1[[#This Row],[Ref.]],2),"")</f>
        <v/>
      </c>
      <c r="AC383" s="37" t="str">
        <f>IF($H383&lt;&gt;"",DATE(LEFT(Tabela1[[#This Row],[Ref.]],4),RIGHT(Tabela1[[#This Row],[Ref.]],2),1),"")</f>
        <v/>
      </c>
      <c r="AD383" s="4" t="str">
        <f t="shared" si="31"/>
        <v/>
      </c>
      <c r="AE383" s="5" t="str">
        <f t="shared" si="32"/>
        <v/>
      </c>
      <c r="AF383" s="4"/>
      <c r="AG383" s="6" t="str">
        <f t="shared" si="33"/>
        <v/>
      </c>
    </row>
    <row r="384" spans="1:33" ht="15.75" customHeight="1" x14ac:dyDescent="0.2">
      <c r="A384" s="35"/>
      <c r="B384" s="44"/>
      <c r="C384" s="35"/>
      <c r="D384" s="35"/>
      <c r="E384" s="48"/>
      <c r="F384" s="45"/>
      <c r="G384" s="38"/>
      <c r="H384" s="45"/>
      <c r="I384" s="45"/>
      <c r="L384" s="19"/>
      <c r="N384" s="25"/>
      <c r="O384" s="25"/>
      <c r="P384" s="27"/>
      <c r="R384" s="6" t="str">
        <f>IF($H384&lt;&gt;"",RIGHT(Tabela1[[#This Row],[Ref.]],2),"")</f>
        <v/>
      </c>
      <c r="S384" s="6" t="str">
        <f t="shared" si="30"/>
        <v/>
      </c>
      <c r="T384" s="4" t="str">
        <f>IF($H384&lt;&gt;"",_xlfn.XLOOKUP(H384,Naturezas!B:B,Naturezas!E:E,"",0,1),"")</f>
        <v/>
      </c>
      <c r="U384" s="4" t="str">
        <f>IF($H384&lt;&gt;"",_xlfn.XLOOKUP($H384,Naturezas!B:B,Naturezas!D:D,"",0,1),"")</f>
        <v/>
      </c>
      <c r="V384" s="5" t="str">
        <f>IF(H384&lt;&gt;"",IF(OR(H384=Naturezas!$B$3,H384=Naturezas!$B$4,H384=Naturezas!$B$5,H384=Naturezas!$B$17,H384=Naturezas!$B$18,H384=Naturezas!$B$19),G384,-G384),"")</f>
        <v/>
      </c>
      <c r="W384" s="4" t="str">
        <f t="shared" si="34"/>
        <v/>
      </c>
      <c r="X384" s="4"/>
      <c r="Y384" s="4" t="str">
        <f t="shared" si="35"/>
        <v/>
      </c>
      <c r="Z384" s="6" t="str">
        <f>IF(H384&lt;&gt;"",Tabela1[[#This Row],[Iniciais]],"")</f>
        <v/>
      </c>
      <c r="AB384" s="6" t="str">
        <f>IF($H384&lt;&gt;"",RIGHT(Tabela1[[#This Row],[Ref.]],2),"")</f>
        <v/>
      </c>
      <c r="AC384" s="37" t="str">
        <f>IF($H384&lt;&gt;"",DATE(LEFT(Tabela1[[#This Row],[Ref.]],4),RIGHT(Tabela1[[#This Row],[Ref.]],2),1),"")</f>
        <v/>
      </c>
      <c r="AD384" s="4" t="str">
        <f t="shared" si="31"/>
        <v/>
      </c>
      <c r="AE384" s="5" t="str">
        <f t="shared" si="32"/>
        <v/>
      </c>
      <c r="AF384" s="4"/>
      <c r="AG384" s="6" t="str">
        <f t="shared" si="33"/>
        <v/>
      </c>
    </row>
    <row r="385" spans="1:33" ht="15.75" customHeight="1" x14ac:dyDescent="0.2">
      <c r="A385" s="35"/>
      <c r="B385" s="44"/>
      <c r="C385" s="35"/>
      <c r="D385" s="35"/>
      <c r="E385" s="48"/>
      <c r="F385" s="45"/>
      <c r="G385" s="38"/>
      <c r="H385" s="45"/>
      <c r="I385" s="45"/>
      <c r="L385" s="19"/>
      <c r="N385" s="25"/>
      <c r="O385" s="25"/>
      <c r="P385" s="27"/>
      <c r="R385" s="6" t="str">
        <f>IF($H385&lt;&gt;"",RIGHT(Tabela1[[#This Row],[Ref.]],2),"")</f>
        <v/>
      </c>
      <c r="S385" s="6" t="str">
        <f t="shared" si="30"/>
        <v/>
      </c>
      <c r="T385" s="4" t="str">
        <f>IF($H385&lt;&gt;"",_xlfn.XLOOKUP(H385,Naturezas!B:B,Naturezas!E:E,"",0,1),"")</f>
        <v/>
      </c>
      <c r="U385" s="4" t="str">
        <f>IF($H385&lt;&gt;"",_xlfn.XLOOKUP($H385,Naturezas!B:B,Naturezas!D:D,"",0,1),"")</f>
        <v/>
      </c>
      <c r="V385" s="5" t="str">
        <f>IF(H385&lt;&gt;"",IF(OR(H385=Naturezas!$B$3,H385=Naturezas!$B$4,H385=Naturezas!$B$5,H385=Naturezas!$B$17,H385=Naturezas!$B$18,H385=Naturezas!$B$19),G385,-G385),"")</f>
        <v/>
      </c>
      <c r="W385" s="4" t="str">
        <f t="shared" si="34"/>
        <v/>
      </c>
      <c r="X385" s="4"/>
      <c r="Y385" s="4" t="str">
        <f t="shared" si="35"/>
        <v/>
      </c>
      <c r="Z385" s="6" t="str">
        <f>IF(H385&lt;&gt;"",Tabela1[[#This Row],[Iniciais]],"")</f>
        <v/>
      </c>
      <c r="AB385" s="6" t="str">
        <f>IF($H385&lt;&gt;"",RIGHT(Tabela1[[#This Row],[Ref.]],2),"")</f>
        <v/>
      </c>
      <c r="AC385" s="37" t="str">
        <f>IF($H385&lt;&gt;"",DATE(LEFT(Tabela1[[#This Row],[Ref.]],4),RIGHT(Tabela1[[#This Row],[Ref.]],2),1),"")</f>
        <v/>
      </c>
      <c r="AD385" s="4" t="str">
        <f t="shared" si="31"/>
        <v/>
      </c>
      <c r="AE385" s="5" t="str">
        <f t="shared" si="32"/>
        <v/>
      </c>
      <c r="AF385" s="4"/>
      <c r="AG385" s="6" t="str">
        <f t="shared" si="33"/>
        <v/>
      </c>
    </row>
    <row r="386" spans="1:33" ht="15.75" customHeight="1" x14ac:dyDescent="0.2">
      <c r="A386" s="35"/>
      <c r="B386" s="44"/>
      <c r="C386" s="35"/>
      <c r="D386" s="35"/>
      <c r="E386" s="48"/>
      <c r="F386" s="45"/>
      <c r="G386" s="38"/>
      <c r="H386" s="45"/>
      <c r="I386" s="45"/>
      <c r="L386" s="19"/>
      <c r="N386" s="25"/>
      <c r="O386" s="25"/>
      <c r="P386" s="27"/>
      <c r="R386" s="6" t="str">
        <f>IF($H386&lt;&gt;"",RIGHT(Tabela1[[#This Row],[Ref.]],2),"")</f>
        <v/>
      </c>
      <c r="S386" s="6" t="str">
        <f t="shared" si="30"/>
        <v/>
      </c>
      <c r="T386" s="4" t="str">
        <f>IF($H386&lt;&gt;"",_xlfn.XLOOKUP(H386,Naturezas!B:B,Naturezas!E:E,"",0,1),"")</f>
        <v/>
      </c>
      <c r="U386" s="4" t="str">
        <f>IF($H386&lt;&gt;"",_xlfn.XLOOKUP($H386,Naturezas!B:B,Naturezas!D:D,"",0,1),"")</f>
        <v/>
      </c>
      <c r="V386" s="5" t="str">
        <f>IF(H386&lt;&gt;"",IF(OR(H386=Naturezas!$B$3,H386=Naturezas!$B$4,H386=Naturezas!$B$5,H386=Naturezas!$B$17,H386=Naturezas!$B$18,H386=Naturezas!$B$19),G386,-G386),"")</f>
        <v/>
      </c>
      <c r="W386" s="4" t="str">
        <f t="shared" si="34"/>
        <v/>
      </c>
      <c r="X386" s="4"/>
      <c r="Y386" s="4" t="str">
        <f t="shared" si="35"/>
        <v/>
      </c>
      <c r="Z386" s="6" t="str">
        <f>IF(H386&lt;&gt;"",Tabela1[[#This Row],[Iniciais]],"")</f>
        <v/>
      </c>
      <c r="AB386" s="6" t="str">
        <f>IF($H386&lt;&gt;"",RIGHT(Tabela1[[#This Row],[Ref.]],2),"")</f>
        <v/>
      </c>
      <c r="AC386" s="37" t="str">
        <f>IF($H386&lt;&gt;"",DATE(LEFT(Tabela1[[#This Row],[Ref.]],4),RIGHT(Tabela1[[#This Row],[Ref.]],2),1),"")</f>
        <v/>
      </c>
      <c r="AD386" s="4" t="str">
        <f t="shared" si="31"/>
        <v/>
      </c>
      <c r="AE386" s="5" t="str">
        <f t="shared" si="32"/>
        <v/>
      </c>
      <c r="AF386" s="4"/>
      <c r="AG386" s="6" t="str">
        <f t="shared" si="33"/>
        <v/>
      </c>
    </row>
    <row r="387" spans="1:33" ht="15.75" customHeight="1" x14ac:dyDescent="0.2">
      <c r="A387" s="35"/>
      <c r="B387" s="44"/>
      <c r="C387" s="35"/>
      <c r="D387" s="35"/>
      <c r="E387" s="48"/>
      <c r="F387" s="45"/>
      <c r="G387" s="38"/>
      <c r="H387" s="45"/>
      <c r="I387" s="45"/>
      <c r="L387" s="19"/>
      <c r="N387" s="25"/>
      <c r="O387" s="25"/>
      <c r="P387" s="27"/>
      <c r="R387" s="6" t="str">
        <f>IF($H387&lt;&gt;"",RIGHT(Tabela1[[#This Row],[Ref.]],2),"")</f>
        <v/>
      </c>
      <c r="S387" s="6" t="str">
        <f t="shared" si="30"/>
        <v/>
      </c>
      <c r="T387" s="4" t="str">
        <f>IF($H387&lt;&gt;"",_xlfn.XLOOKUP(H387,Naturezas!B:B,Naturezas!E:E,"",0,1),"")</f>
        <v/>
      </c>
      <c r="U387" s="4" t="str">
        <f>IF($H387&lt;&gt;"",_xlfn.XLOOKUP($H387,Naturezas!B:B,Naturezas!D:D,"",0,1),"")</f>
        <v/>
      </c>
      <c r="V387" s="5" t="str">
        <f>IF(H387&lt;&gt;"",IF(OR(H387=Naturezas!$B$3,H387=Naturezas!$B$4,H387=Naturezas!$B$5,H387=Naturezas!$B$17,H387=Naturezas!$B$18,H387=Naturezas!$B$19),G387,-G387),"")</f>
        <v/>
      </c>
      <c r="W387" s="4" t="str">
        <f t="shared" si="34"/>
        <v/>
      </c>
      <c r="X387" s="4"/>
      <c r="Y387" s="4" t="str">
        <f t="shared" si="35"/>
        <v/>
      </c>
      <c r="Z387" s="6" t="str">
        <f>IF(H387&lt;&gt;"",Tabela1[[#This Row],[Iniciais]],"")</f>
        <v/>
      </c>
      <c r="AB387" s="6" t="str">
        <f>IF($H387&lt;&gt;"",RIGHT(Tabela1[[#This Row],[Ref.]],2),"")</f>
        <v/>
      </c>
      <c r="AC387" s="37" t="str">
        <f>IF($H387&lt;&gt;"",DATE(LEFT(Tabela1[[#This Row],[Ref.]],4),RIGHT(Tabela1[[#This Row],[Ref.]],2),1),"")</f>
        <v/>
      </c>
      <c r="AD387" s="4" t="str">
        <f t="shared" si="31"/>
        <v/>
      </c>
      <c r="AE387" s="5" t="str">
        <f t="shared" si="32"/>
        <v/>
      </c>
      <c r="AF387" s="4"/>
      <c r="AG387" s="6" t="str">
        <f t="shared" si="33"/>
        <v/>
      </c>
    </row>
    <row r="388" spans="1:33" ht="15.75" customHeight="1" x14ac:dyDescent="0.2">
      <c r="A388" s="35"/>
      <c r="B388" s="44"/>
      <c r="C388" s="35"/>
      <c r="D388" s="35"/>
      <c r="E388" s="48"/>
      <c r="F388" s="45"/>
      <c r="G388" s="38"/>
      <c r="H388" s="45"/>
      <c r="I388" s="45"/>
      <c r="L388" s="19"/>
      <c r="N388" s="25"/>
      <c r="O388" s="25"/>
      <c r="P388" s="27"/>
      <c r="R388" s="6" t="str">
        <f>IF($H388&lt;&gt;"",RIGHT(Tabela1[[#This Row],[Ref.]],2),"")</f>
        <v/>
      </c>
      <c r="S388" s="6" t="str">
        <f t="shared" si="30"/>
        <v/>
      </c>
      <c r="T388" s="4" t="str">
        <f>IF($H388&lt;&gt;"",_xlfn.XLOOKUP(H388,Naturezas!B:B,Naturezas!E:E,"",0,1),"")</f>
        <v/>
      </c>
      <c r="U388" s="4" t="str">
        <f>IF($H388&lt;&gt;"",_xlfn.XLOOKUP($H388,Naturezas!B:B,Naturezas!D:D,"",0,1),"")</f>
        <v/>
      </c>
      <c r="V388" s="5" t="str">
        <f>IF(H388&lt;&gt;"",IF(OR(H388=Naturezas!$B$3,H388=Naturezas!$B$4,H388=Naturezas!$B$5,H388=Naturezas!$B$17,H388=Naturezas!$B$18,H388=Naturezas!$B$19),G388,-G388),"")</f>
        <v/>
      </c>
      <c r="W388" s="4" t="str">
        <f t="shared" si="34"/>
        <v/>
      </c>
      <c r="X388" s="4"/>
      <c r="Y388" s="4" t="str">
        <f t="shared" si="35"/>
        <v/>
      </c>
      <c r="Z388" s="6" t="str">
        <f>IF(H388&lt;&gt;"",Tabela1[[#This Row],[Iniciais]],"")</f>
        <v/>
      </c>
      <c r="AB388" s="6" t="str">
        <f>IF($H388&lt;&gt;"",RIGHT(Tabela1[[#This Row],[Ref.]],2),"")</f>
        <v/>
      </c>
      <c r="AC388" s="37" t="str">
        <f>IF($H388&lt;&gt;"",DATE(LEFT(Tabela1[[#This Row],[Ref.]],4),RIGHT(Tabela1[[#This Row],[Ref.]],2),1),"")</f>
        <v/>
      </c>
      <c r="AD388" s="4" t="str">
        <f t="shared" si="31"/>
        <v/>
      </c>
      <c r="AE388" s="5" t="str">
        <f t="shared" si="32"/>
        <v/>
      </c>
      <c r="AF388" s="4"/>
      <c r="AG388" s="6" t="str">
        <f t="shared" si="33"/>
        <v/>
      </c>
    </row>
    <row r="389" spans="1:33" ht="15.75" customHeight="1" x14ac:dyDescent="0.2">
      <c r="A389" s="35"/>
      <c r="B389" s="44"/>
      <c r="C389" s="35"/>
      <c r="D389" s="35"/>
      <c r="E389" s="48"/>
      <c r="F389" s="45"/>
      <c r="G389" s="38"/>
      <c r="H389" s="45"/>
      <c r="I389" s="45"/>
      <c r="L389" s="19"/>
      <c r="N389" s="25"/>
      <c r="O389" s="25"/>
      <c r="P389" s="27"/>
      <c r="R389" s="6" t="str">
        <f>IF($H389&lt;&gt;"",RIGHT(Tabela1[[#This Row],[Ref.]],2),"")</f>
        <v/>
      </c>
      <c r="S389" s="6" t="str">
        <f t="shared" si="30"/>
        <v/>
      </c>
      <c r="T389" s="4" t="str">
        <f>IF($H389&lt;&gt;"",_xlfn.XLOOKUP(H389,Naturezas!B:B,Naturezas!E:E,"",0,1),"")</f>
        <v/>
      </c>
      <c r="U389" s="4" t="str">
        <f>IF($H389&lt;&gt;"",_xlfn.XLOOKUP($H389,Naturezas!B:B,Naturezas!D:D,"",0,1),"")</f>
        <v/>
      </c>
      <c r="V389" s="5" t="str">
        <f>IF(H389&lt;&gt;"",IF(OR(H389=Naturezas!$B$3,H389=Naturezas!$B$4,H389=Naturezas!$B$5,H389=Naturezas!$B$17,H389=Naturezas!$B$18,H389=Naturezas!$B$19),G389,-G389),"")</f>
        <v/>
      </c>
      <c r="W389" s="4" t="str">
        <f t="shared" si="34"/>
        <v/>
      </c>
      <c r="X389" s="4"/>
      <c r="Y389" s="4" t="str">
        <f t="shared" si="35"/>
        <v/>
      </c>
      <c r="Z389" s="6" t="str">
        <f>IF(H389&lt;&gt;"",Tabela1[[#This Row],[Iniciais]],"")</f>
        <v/>
      </c>
      <c r="AB389" s="6" t="str">
        <f>IF($H389&lt;&gt;"",RIGHT(Tabela1[[#This Row],[Ref.]],2),"")</f>
        <v/>
      </c>
      <c r="AC389" s="37" t="str">
        <f>IF($H389&lt;&gt;"",DATE(LEFT(Tabela1[[#This Row],[Ref.]],4),RIGHT(Tabela1[[#This Row],[Ref.]],2),1),"")</f>
        <v/>
      </c>
      <c r="AD389" s="4" t="str">
        <f t="shared" si="31"/>
        <v/>
      </c>
      <c r="AE389" s="5" t="str">
        <f t="shared" si="32"/>
        <v/>
      </c>
      <c r="AF389" s="4"/>
      <c r="AG389" s="6" t="str">
        <f t="shared" si="33"/>
        <v/>
      </c>
    </row>
    <row r="390" spans="1:33" ht="15.75" customHeight="1" x14ac:dyDescent="0.2">
      <c r="A390" s="35"/>
      <c r="B390" s="44"/>
      <c r="C390" s="35"/>
      <c r="D390" s="35"/>
      <c r="E390" s="48"/>
      <c r="F390" s="45"/>
      <c r="G390" s="38"/>
      <c r="H390" s="45"/>
      <c r="I390" s="45"/>
      <c r="L390" s="19"/>
      <c r="N390" s="25"/>
      <c r="O390" s="25"/>
      <c r="P390" s="27"/>
      <c r="R390" s="6" t="str">
        <f>IF($H390&lt;&gt;"",RIGHT(Tabela1[[#This Row],[Ref.]],2),"")</f>
        <v/>
      </c>
      <c r="S390" s="6" t="str">
        <f t="shared" si="30"/>
        <v/>
      </c>
      <c r="T390" s="4" t="str">
        <f>IF($H390&lt;&gt;"",_xlfn.XLOOKUP(H390,Naturezas!B:B,Naturezas!E:E,"",0,1),"")</f>
        <v/>
      </c>
      <c r="U390" s="4" t="str">
        <f>IF($H390&lt;&gt;"",_xlfn.XLOOKUP($H390,Naturezas!B:B,Naturezas!D:D,"",0,1),"")</f>
        <v/>
      </c>
      <c r="V390" s="5" t="str">
        <f>IF(H390&lt;&gt;"",IF(OR(H390=Naturezas!$B$3,H390=Naturezas!$B$4,H390=Naturezas!$B$5,H390=Naturezas!$B$17,H390=Naturezas!$B$18,H390=Naturezas!$B$19),G390,-G390),"")</f>
        <v/>
      </c>
      <c r="W390" s="4" t="str">
        <f t="shared" si="34"/>
        <v/>
      </c>
      <c r="X390" s="4"/>
      <c r="Y390" s="4" t="str">
        <f t="shared" si="35"/>
        <v/>
      </c>
      <c r="Z390" s="6" t="str">
        <f>IF(H390&lt;&gt;"",Tabela1[[#This Row],[Iniciais]],"")</f>
        <v/>
      </c>
      <c r="AB390" s="6" t="str">
        <f>IF($H390&lt;&gt;"",RIGHT(Tabela1[[#This Row],[Ref.]],2),"")</f>
        <v/>
      </c>
      <c r="AC390" s="37" t="str">
        <f>IF($H390&lt;&gt;"",DATE(LEFT(Tabela1[[#This Row],[Ref.]],4),RIGHT(Tabela1[[#This Row],[Ref.]],2),1),"")</f>
        <v/>
      </c>
      <c r="AD390" s="4" t="str">
        <f t="shared" si="31"/>
        <v/>
      </c>
      <c r="AE390" s="5" t="str">
        <f t="shared" si="32"/>
        <v/>
      </c>
      <c r="AF390" s="4"/>
      <c r="AG390" s="6" t="str">
        <f t="shared" si="33"/>
        <v/>
      </c>
    </row>
    <row r="391" spans="1:33" ht="15.75" customHeight="1" x14ac:dyDescent="0.2">
      <c r="A391" s="35"/>
      <c r="B391" s="44"/>
      <c r="C391" s="35"/>
      <c r="D391" s="35"/>
      <c r="E391" s="48"/>
      <c r="F391" s="45"/>
      <c r="G391" s="38"/>
      <c r="H391" s="45"/>
      <c r="I391" s="45"/>
      <c r="L391" s="19"/>
      <c r="N391" s="25"/>
      <c r="O391" s="25"/>
      <c r="P391" s="27"/>
      <c r="R391" s="6" t="str">
        <f>IF($H391&lt;&gt;"",RIGHT(Tabela1[[#This Row],[Ref.]],2),"")</f>
        <v/>
      </c>
      <c r="S391" s="6" t="str">
        <f t="shared" si="30"/>
        <v/>
      </c>
      <c r="T391" s="4" t="str">
        <f>IF($H391&lt;&gt;"",_xlfn.XLOOKUP(H391,Naturezas!B:B,Naturezas!E:E,"",0,1),"")</f>
        <v/>
      </c>
      <c r="U391" s="4" t="str">
        <f>IF($H391&lt;&gt;"",_xlfn.XLOOKUP($H391,Naturezas!B:B,Naturezas!D:D,"",0,1),"")</f>
        <v/>
      </c>
      <c r="V391" s="5" t="str">
        <f>IF(H391&lt;&gt;"",IF(OR(H391=Naturezas!$B$3,H391=Naturezas!$B$4,H391=Naturezas!$B$5,H391=Naturezas!$B$17,H391=Naturezas!$B$18,H391=Naturezas!$B$19),G391,-G391),"")</f>
        <v/>
      </c>
      <c r="W391" s="4" t="str">
        <f t="shared" si="34"/>
        <v/>
      </c>
      <c r="X391" s="4"/>
      <c r="Y391" s="4" t="str">
        <f t="shared" si="35"/>
        <v/>
      </c>
      <c r="Z391" s="6" t="str">
        <f>IF(H391&lt;&gt;"",Tabela1[[#This Row],[Iniciais]],"")</f>
        <v/>
      </c>
      <c r="AB391" s="6" t="str">
        <f>IF($H391&lt;&gt;"",RIGHT(Tabela1[[#This Row],[Ref.]],2),"")</f>
        <v/>
      </c>
      <c r="AC391" s="37" t="str">
        <f>IF($H391&lt;&gt;"",DATE(LEFT(Tabela1[[#This Row],[Ref.]],4),RIGHT(Tabela1[[#This Row],[Ref.]],2),1),"")</f>
        <v/>
      </c>
      <c r="AD391" s="4" t="str">
        <f t="shared" si="31"/>
        <v/>
      </c>
      <c r="AE391" s="5" t="str">
        <f t="shared" si="32"/>
        <v/>
      </c>
      <c r="AF391" s="4"/>
      <c r="AG391" s="6" t="str">
        <f t="shared" si="33"/>
        <v/>
      </c>
    </row>
    <row r="392" spans="1:33" ht="15.75" customHeight="1" x14ac:dyDescent="0.2">
      <c r="A392" s="35"/>
      <c r="B392" s="44"/>
      <c r="C392" s="35"/>
      <c r="D392" s="35"/>
      <c r="E392" s="48"/>
      <c r="F392" s="45"/>
      <c r="G392" s="38"/>
      <c r="H392" s="45"/>
      <c r="I392" s="45"/>
      <c r="L392" s="19"/>
      <c r="N392" s="25"/>
      <c r="O392" s="25"/>
      <c r="P392" s="27"/>
      <c r="R392" s="6" t="str">
        <f>IF($H392&lt;&gt;"",RIGHT(Tabela1[[#This Row],[Ref.]],2),"")</f>
        <v/>
      </c>
      <c r="S392" s="6" t="str">
        <f t="shared" si="30"/>
        <v/>
      </c>
      <c r="T392" s="4" t="str">
        <f>IF($H392&lt;&gt;"",_xlfn.XLOOKUP(H392,Naturezas!B:B,Naturezas!E:E,"",0,1),"")</f>
        <v/>
      </c>
      <c r="U392" s="4" t="str">
        <f>IF($H392&lt;&gt;"",_xlfn.XLOOKUP($H392,Naturezas!B:B,Naturezas!D:D,"",0,1),"")</f>
        <v/>
      </c>
      <c r="V392" s="5" t="str">
        <f>IF(H392&lt;&gt;"",IF(OR(H392=Naturezas!$B$3,H392=Naturezas!$B$4,H392=Naturezas!$B$5,H392=Naturezas!$B$17,H392=Naturezas!$B$18,H392=Naturezas!$B$19),G392,-G392),"")</f>
        <v/>
      </c>
      <c r="W392" s="4" t="str">
        <f t="shared" si="34"/>
        <v/>
      </c>
      <c r="X392" s="4"/>
      <c r="Y392" s="4" t="str">
        <f t="shared" si="35"/>
        <v/>
      </c>
      <c r="Z392" s="6" t="str">
        <f>IF(H392&lt;&gt;"",Tabela1[[#This Row],[Iniciais]],"")</f>
        <v/>
      </c>
      <c r="AB392" s="6" t="str">
        <f>IF($H392&lt;&gt;"",RIGHT(Tabela1[[#This Row],[Ref.]],2),"")</f>
        <v/>
      </c>
      <c r="AC392" s="37" t="str">
        <f>IF($H392&lt;&gt;"",DATE(LEFT(Tabela1[[#This Row],[Ref.]],4),RIGHT(Tabela1[[#This Row],[Ref.]],2),1),"")</f>
        <v/>
      </c>
      <c r="AD392" s="4" t="str">
        <f t="shared" si="31"/>
        <v/>
      </c>
      <c r="AE392" s="5" t="str">
        <f t="shared" si="32"/>
        <v/>
      </c>
      <c r="AF392" s="4"/>
      <c r="AG392" s="6" t="str">
        <f t="shared" si="33"/>
        <v/>
      </c>
    </row>
    <row r="393" spans="1:33" ht="15.75" customHeight="1" x14ac:dyDescent="0.2">
      <c r="A393" s="35"/>
      <c r="B393" s="44"/>
      <c r="C393" s="35"/>
      <c r="D393" s="35"/>
      <c r="E393" s="48"/>
      <c r="F393" s="45"/>
      <c r="G393" s="38"/>
      <c r="H393" s="45"/>
      <c r="I393" s="45"/>
      <c r="L393" s="19"/>
      <c r="N393" s="25"/>
      <c r="O393" s="25"/>
      <c r="P393" s="27"/>
      <c r="R393" s="6" t="str">
        <f>IF($H393&lt;&gt;"",RIGHT(Tabela1[[#This Row],[Ref.]],2),"")</f>
        <v/>
      </c>
      <c r="S393" s="6" t="str">
        <f t="shared" ref="S393:S456" si="36">IF($H393&lt;&gt;"",1,"")</f>
        <v/>
      </c>
      <c r="T393" s="4" t="str">
        <f>IF($H393&lt;&gt;"",_xlfn.XLOOKUP(H393,Naturezas!B:B,Naturezas!E:E,"",0,1),"")</f>
        <v/>
      </c>
      <c r="U393" s="4" t="str">
        <f>IF($H393&lt;&gt;"",_xlfn.XLOOKUP($H393,Naturezas!B:B,Naturezas!D:D,"",0,1),"")</f>
        <v/>
      </c>
      <c r="V393" s="5" t="str">
        <f>IF(H393&lt;&gt;"",IF(OR(H393=Naturezas!$B$3,H393=Naturezas!$B$4,H393=Naturezas!$B$5,H393=Naturezas!$B$17,H393=Naturezas!$B$18,H393=Naturezas!$B$19),G393,-G393),"")</f>
        <v/>
      </c>
      <c r="W393" s="4" t="str">
        <f t="shared" si="34"/>
        <v/>
      </c>
      <c r="X393" s="4"/>
      <c r="Y393" s="4" t="str">
        <f t="shared" si="35"/>
        <v/>
      </c>
      <c r="Z393" s="6" t="str">
        <f>IF(H393&lt;&gt;"",Tabela1[[#This Row],[Iniciais]],"")</f>
        <v/>
      </c>
      <c r="AB393" s="6" t="str">
        <f>IF($H393&lt;&gt;"",RIGHT(Tabela1[[#This Row],[Ref.]],2),"")</f>
        <v/>
      </c>
      <c r="AC393" s="37" t="str">
        <f>IF($H393&lt;&gt;"",DATE(LEFT(Tabela1[[#This Row],[Ref.]],4),RIGHT(Tabela1[[#This Row],[Ref.]],2),1),"")</f>
        <v/>
      </c>
      <c r="AD393" s="4" t="str">
        <f t="shared" ref="AD393:AD456" si="37">IF($H393&lt;&gt;"",$F393,"")</f>
        <v/>
      </c>
      <c r="AE393" s="5" t="str">
        <f t="shared" ref="AE393:AE456" si="38">IF($H393&lt;&gt;"",$G393,"")</f>
        <v/>
      </c>
      <c r="AF393" s="4"/>
      <c r="AG393" s="6" t="str">
        <f t="shared" ref="AG393:AG456" si="39">IF($H393&lt;&gt;"",$B$2,"")</f>
        <v/>
      </c>
    </row>
    <row r="394" spans="1:33" ht="15.75" customHeight="1" x14ac:dyDescent="0.2">
      <c r="A394" s="35"/>
      <c r="B394" s="44"/>
      <c r="C394" s="35"/>
      <c r="D394" s="35"/>
      <c r="E394" s="48"/>
      <c r="F394" s="45"/>
      <c r="G394" s="38"/>
      <c r="H394" s="45"/>
      <c r="I394" s="45"/>
      <c r="L394" s="19"/>
      <c r="N394" s="25"/>
      <c r="O394" s="25"/>
      <c r="P394" s="27"/>
      <c r="R394" s="6" t="str">
        <f>IF($H394&lt;&gt;"",RIGHT(Tabela1[[#This Row],[Ref.]],2),"")</f>
        <v/>
      </c>
      <c r="S394" s="6" t="str">
        <f t="shared" si="36"/>
        <v/>
      </c>
      <c r="T394" s="4" t="str">
        <f>IF($H394&lt;&gt;"",_xlfn.XLOOKUP(H394,Naturezas!B:B,Naturezas!E:E,"",0,1),"")</f>
        <v/>
      </c>
      <c r="U394" s="4" t="str">
        <f>IF($H394&lt;&gt;"",_xlfn.XLOOKUP($H394,Naturezas!B:B,Naturezas!D:D,"",0,1),"")</f>
        <v/>
      </c>
      <c r="V394" s="5" t="str">
        <f>IF(H394&lt;&gt;"",IF(OR(H394=Naturezas!$B$3,H394=Naturezas!$B$4,H394=Naturezas!$B$5,H394=Naturezas!$B$17,H394=Naturezas!$B$18,H394=Naturezas!$B$19),G394,-G394),"")</f>
        <v/>
      </c>
      <c r="W394" s="4" t="str">
        <f t="shared" ref="W394:W457" si="40">IF(H394&lt;&gt;"",H394,"")</f>
        <v/>
      </c>
      <c r="X394" s="4"/>
      <c r="Y394" s="4" t="str">
        <f t="shared" ref="Y394:Y457" si="41">IF(H394&lt;&gt;"",F394,"")</f>
        <v/>
      </c>
      <c r="Z394" s="6" t="str">
        <f>IF(H394&lt;&gt;"",Tabela1[[#This Row],[Iniciais]],"")</f>
        <v/>
      </c>
      <c r="AB394" s="6" t="str">
        <f>IF($H394&lt;&gt;"",RIGHT(Tabela1[[#This Row],[Ref.]],2),"")</f>
        <v/>
      </c>
      <c r="AC394" s="37" t="str">
        <f>IF($H394&lt;&gt;"",DATE(LEFT(Tabela1[[#This Row],[Ref.]],4),RIGHT(Tabela1[[#This Row],[Ref.]],2),1),"")</f>
        <v/>
      </c>
      <c r="AD394" s="4" t="str">
        <f t="shared" si="37"/>
        <v/>
      </c>
      <c r="AE394" s="5" t="str">
        <f t="shared" si="38"/>
        <v/>
      </c>
      <c r="AF394" s="4"/>
      <c r="AG394" s="6" t="str">
        <f t="shared" si="39"/>
        <v/>
      </c>
    </row>
    <row r="395" spans="1:33" ht="15.75" customHeight="1" x14ac:dyDescent="0.2">
      <c r="A395" s="35"/>
      <c r="B395" s="44"/>
      <c r="C395" s="35"/>
      <c r="D395" s="35"/>
      <c r="E395" s="48"/>
      <c r="F395" s="45"/>
      <c r="G395" s="38"/>
      <c r="H395" s="45"/>
      <c r="I395" s="45"/>
      <c r="L395" s="19"/>
      <c r="N395" s="25"/>
      <c r="O395" s="25"/>
      <c r="P395" s="27"/>
      <c r="R395" s="6" t="str">
        <f>IF($H395&lt;&gt;"",RIGHT(Tabela1[[#This Row],[Ref.]],2),"")</f>
        <v/>
      </c>
      <c r="S395" s="6" t="str">
        <f t="shared" si="36"/>
        <v/>
      </c>
      <c r="T395" s="4" t="str">
        <f>IF($H395&lt;&gt;"",_xlfn.XLOOKUP(H395,Naturezas!B:B,Naturezas!E:E,"",0,1),"")</f>
        <v/>
      </c>
      <c r="U395" s="4" t="str">
        <f>IF($H395&lt;&gt;"",_xlfn.XLOOKUP($H395,Naturezas!B:B,Naturezas!D:D,"",0,1),"")</f>
        <v/>
      </c>
      <c r="V395" s="5" t="str">
        <f>IF(H395&lt;&gt;"",IF(OR(H395=Naturezas!$B$3,H395=Naturezas!$B$4,H395=Naturezas!$B$5,H395=Naturezas!$B$17,H395=Naturezas!$B$18,H395=Naturezas!$B$19),G395,-G395),"")</f>
        <v/>
      </c>
      <c r="W395" s="4" t="str">
        <f t="shared" si="40"/>
        <v/>
      </c>
      <c r="X395" s="4"/>
      <c r="Y395" s="4" t="str">
        <f t="shared" si="41"/>
        <v/>
      </c>
      <c r="Z395" s="6" t="str">
        <f>IF(H395&lt;&gt;"",Tabela1[[#This Row],[Iniciais]],"")</f>
        <v/>
      </c>
      <c r="AB395" s="6" t="str">
        <f>IF($H395&lt;&gt;"",RIGHT(Tabela1[[#This Row],[Ref.]],2),"")</f>
        <v/>
      </c>
      <c r="AC395" s="37" t="str">
        <f>IF($H395&lt;&gt;"",DATE(LEFT(Tabela1[[#This Row],[Ref.]],4),RIGHT(Tabela1[[#This Row],[Ref.]],2),1),"")</f>
        <v/>
      </c>
      <c r="AD395" s="4" t="str">
        <f t="shared" si="37"/>
        <v/>
      </c>
      <c r="AE395" s="5" t="str">
        <f t="shared" si="38"/>
        <v/>
      </c>
      <c r="AF395" s="4"/>
      <c r="AG395" s="6" t="str">
        <f t="shared" si="39"/>
        <v/>
      </c>
    </row>
    <row r="396" spans="1:33" ht="15.75" customHeight="1" x14ac:dyDescent="0.2">
      <c r="A396" s="35"/>
      <c r="B396" s="44"/>
      <c r="C396" s="35"/>
      <c r="D396" s="35"/>
      <c r="E396" s="48"/>
      <c r="F396" s="45"/>
      <c r="G396" s="38"/>
      <c r="H396" s="45"/>
      <c r="I396" s="45"/>
      <c r="L396" s="19"/>
      <c r="N396" s="25"/>
      <c r="O396" s="25"/>
      <c r="P396" s="27"/>
      <c r="R396" s="6" t="str">
        <f>IF($H396&lt;&gt;"",RIGHT(Tabela1[[#This Row],[Ref.]],2),"")</f>
        <v/>
      </c>
      <c r="S396" s="6" t="str">
        <f t="shared" si="36"/>
        <v/>
      </c>
      <c r="T396" s="4" t="str">
        <f>IF($H396&lt;&gt;"",_xlfn.XLOOKUP(H396,Naturezas!B:B,Naturezas!E:E,"",0,1),"")</f>
        <v/>
      </c>
      <c r="U396" s="4" t="str">
        <f>IF($H396&lt;&gt;"",_xlfn.XLOOKUP($H396,Naturezas!B:B,Naturezas!D:D,"",0,1),"")</f>
        <v/>
      </c>
      <c r="V396" s="5" t="str">
        <f>IF(H396&lt;&gt;"",IF(OR(H396=Naturezas!$B$3,H396=Naturezas!$B$4,H396=Naturezas!$B$5,H396=Naturezas!$B$17,H396=Naturezas!$B$18,H396=Naturezas!$B$19),G396,-G396),"")</f>
        <v/>
      </c>
      <c r="W396" s="4" t="str">
        <f t="shared" si="40"/>
        <v/>
      </c>
      <c r="X396" s="4"/>
      <c r="Y396" s="4" t="str">
        <f t="shared" si="41"/>
        <v/>
      </c>
      <c r="Z396" s="6" t="str">
        <f>IF(H396&lt;&gt;"",Tabela1[[#This Row],[Iniciais]],"")</f>
        <v/>
      </c>
      <c r="AB396" s="6" t="str">
        <f>IF($H396&lt;&gt;"",RIGHT(Tabela1[[#This Row],[Ref.]],2),"")</f>
        <v/>
      </c>
      <c r="AC396" s="37" t="str">
        <f>IF($H396&lt;&gt;"",DATE(LEFT(Tabela1[[#This Row],[Ref.]],4),RIGHT(Tabela1[[#This Row],[Ref.]],2),1),"")</f>
        <v/>
      </c>
      <c r="AD396" s="4" t="str">
        <f t="shared" si="37"/>
        <v/>
      </c>
      <c r="AE396" s="5" t="str">
        <f t="shared" si="38"/>
        <v/>
      </c>
      <c r="AF396" s="4"/>
      <c r="AG396" s="6" t="str">
        <f t="shared" si="39"/>
        <v/>
      </c>
    </row>
    <row r="397" spans="1:33" ht="15.75" customHeight="1" x14ac:dyDescent="0.2">
      <c r="A397" s="35"/>
      <c r="B397" s="44"/>
      <c r="C397" s="35"/>
      <c r="D397" s="35"/>
      <c r="E397" s="48"/>
      <c r="F397" s="45"/>
      <c r="G397" s="38"/>
      <c r="H397" s="45"/>
      <c r="I397" s="45"/>
      <c r="L397" s="19"/>
      <c r="N397" s="25"/>
      <c r="O397" s="25"/>
      <c r="P397" s="27"/>
      <c r="R397" s="6" t="str">
        <f>IF($H397&lt;&gt;"",RIGHT(Tabela1[[#This Row],[Ref.]],2),"")</f>
        <v/>
      </c>
      <c r="S397" s="6" t="str">
        <f t="shared" si="36"/>
        <v/>
      </c>
      <c r="T397" s="4" t="str">
        <f>IF($H397&lt;&gt;"",_xlfn.XLOOKUP(H397,Naturezas!B:B,Naturezas!E:E,"",0,1),"")</f>
        <v/>
      </c>
      <c r="U397" s="4" t="str">
        <f>IF($H397&lt;&gt;"",_xlfn.XLOOKUP($H397,Naturezas!B:B,Naturezas!D:D,"",0,1),"")</f>
        <v/>
      </c>
      <c r="V397" s="5" t="str">
        <f>IF(H397&lt;&gt;"",IF(OR(H397=Naturezas!$B$3,H397=Naturezas!$B$4,H397=Naturezas!$B$5,H397=Naturezas!$B$17,H397=Naturezas!$B$18,H397=Naturezas!$B$19),G397,-G397),"")</f>
        <v/>
      </c>
      <c r="W397" s="4" t="str">
        <f t="shared" si="40"/>
        <v/>
      </c>
      <c r="X397" s="4"/>
      <c r="Y397" s="4" t="str">
        <f t="shared" si="41"/>
        <v/>
      </c>
      <c r="Z397" s="6" t="str">
        <f>IF(H397&lt;&gt;"",Tabela1[[#This Row],[Iniciais]],"")</f>
        <v/>
      </c>
      <c r="AB397" s="6" t="str">
        <f>IF($H397&lt;&gt;"",RIGHT(Tabela1[[#This Row],[Ref.]],2),"")</f>
        <v/>
      </c>
      <c r="AC397" s="37" t="str">
        <f>IF($H397&lt;&gt;"",DATE(LEFT(Tabela1[[#This Row],[Ref.]],4),RIGHT(Tabela1[[#This Row],[Ref.]],2),1),"")</f>
        <v/>
      </c>
      <c r="AD397" s="4" t="str">
        <f t="shared" si="37"/>
        <v/>
      </c>
      <c r="AE397" s="5" t="str">
        <f t="shared" si="38"/>
        <v/>
      </c>
      <c r="AF397" s="4"/>
      <c r="AG397" s="6" t="str">
        <f t="shared" si="39"/>
        <v/>
      </c>
    </row>
    <row r="398" spans="1:33" ht="15.75" customHeight="1" x14ac:dyDescent="0.2">
      <c r="A398" s="35"/>
      <c r="B398" s="44"/>
      <c r="C398" s="35"/>
      <c r="D398" s="35"/>
      <c r="E398" s="48"/>
      <c r="F398" s="45"/>
      <c r="G398" s="38"/>
      <c r="H398" s="45"/>
      <c r="I398" s="45"/>
      <c r="L398" s="19"/>
      <c r="N398" s="25"/>
      <c r="O398" s="25"/>
      <c r="P398" s="27"/>
      <c r="R398" s="6" t="str">
        <f>IF($H398&lt;&gt;"",RIGHT(Tabela1[[#This Row],[Ref.]],2),"")</f>
        <v/>
      </c>
      <c r="S398" s="6" t="str">
        <f t="shared" si="36"/>
        <v/>
      </c>
      <c r="T398" s="4" t="str">
        <f>IF($H398&lt;&gt;"",_xlfn.XLOOKUP(H398,Naturezas!B:B,Naturezas!E:E,"",0,1),"")</f>
        <v/>
      </c>
      <c r="U398" s="4" t="str">
        <f>IF($H398&lt;&gt;"",_xlfn.XLOOKUP($H398,Naturezas!B:B,Naturezas!D:D,"",0,1),"")</f>
        <v/>
      </c>
      <c r="V398" s="5" t="str">
        <f>IF(H398&lt;&gt;"",IF(OR(H398=Naturezas!$B$3,H398=Naturezas!$B$4,H398=Naturezas!$B$5,H398=Naturezas!$B$17,H398=Naturezas!$B$18,H398=Naturezas!$B$19),G398,-G398),"")</f>
        <v/>
      </c>
      <c r="W398" s="4" t="str">
        <f t="shared" si="40"/>
        <v/>
      </c>
      <c r="X398" s="4"/>
      <c r="Y398" s="4" t="str">
        <f t="shared" si="41"/>
        <v/>
      </c>
      <c r="Z398" s="6" t="str">
        <f>IF(H398&lt;&gt;"",Tabela1[[#This Row],[Iniciais]],"")</f>
        <v/>
      </c>
      <c r="AB398" s="6" t="str">
        <f>IF($H398&lt;&gt;"",RIGHT(Tabela1[[#This Row],[Ref.]],2),"")</f>
        <v/>
      </c>
      <c r="AC398" s="37" t="str">
        <f>IF($H398&lt;&gt;"",DATE(LEFT(Tabela1[[#This Row],[Ref.]],4),RIGHT(Tabela1[[#This Row],[Ref.]],2),1),"")</f>
        <v/>
      </c>
      <c r="AD398" s="4" t="str">
        <f t="shared" si="37"/>
        <v/>
      </c>
      <c r="AE398" s="5" t="str">
        <f t="shared" si="38"/>
        <v/>
      </c>
      <c r="AF398" s="4"/>
      <c r="AG398" s="6" t="str">
        <f t="shared" si="39"/>
        <v/>
      </c>
    </row>
    <row r="399" spans="1:33" ht="15.75" customHeight="1" x14ac:dyDescent="0.2">
      <c r="A399" s="35"/>
      <c r="B399" s="44"/>
      <c r="C399" s="35"/>
      <c r="D399" s="35"/>
      <c r="E399" s="48"/>
      <c r="F399" s="45"/>
      <c r="G399" s="38"/>
      <c r="H399" s="45"/>
      <c r="I399" s="45"/>
      <c r="L399" s="19"/>
      <c r="N399" s="25"/>
      <c r="O399" s="25"/>
      <c r="P399" s="27"/>
      <c r="R399" s="6" t="str">
        <f>IF($H399&lt;&gt;"",RIGHT(Tabela1[[#This Row],[Ref.]],2),"")</f>
        <v/>
      </c>
      <c r="S399" s="6" t="str">
        <f t="shared" si="36"/>
        <v/>
      </c>
      <c r="T399" s="4" t="str">
        <f>IF($H399&lt;&gt;"",_xlfn.XLOOKUP(H399,Naturezas!B:B,Naturezas!E:E,"",0,1),"")</f>
        <v/>
      </c>
      <c r="U399" s="4" t="str">
        <f>IF($H399&lt;&gt;"",_xlfn.XLOOKUP($H399,Naturezas!B:B,Naturezas!D:D,"",0,1),"")</f>
        <v/>
      </c>
      <c r="V399" s="5" t="str">
        <f>IF(H399&lt;&gt;"",IF(OR(H399=Naturezas!$B$3,H399=Naturezas!$B$4,H399=Naturezas!$B$5,H399=Naturezas!$B$17,H399=Naturezas!$B$18,H399=Naturezas!$B$19),G399,-G399),"")</f>
        <v/>
      </c>
      <c r="W399" s="4" t="str">
        <f t="shared" si="40"/>
        <v/>
      </c>
      <c r="X399" s="4"/>
      <c r="Y399" s="4" t="str">
        <f t="shared" si="41"/>
        <v/>
      </c>
      <c r="Z399" s="6" t="str">
        <f>IF(H399&lt;&gt;"",Tabela1[[#This Row],[Iniciais]],"")</f>
        <v/>
      </c>
      <c r="AB399" s="6" t="str">
        <f>IF($H399&lt;&gt;"",RIGHT(Tabela1[[#This Row],[Ref.]],2),"")</f>
        <v/>
      </c>
      <c r="AC399" s="37" t="str">
        <f>IF($H399&lt;&gt;"",DATE(LEFT(Tabela1[[#This Row],[Ref.]],4),RIGHT(Tabela1[[#This Row],[Ref.]],2),1),"")</f>
        <v/>
      </c>
      <c r="AD399" s="4" t="str">
        <f t="shared" si="37"/>
        <v/>
      </c>
      <c r="AE399" s="5" t="str">
        <f t="shared" si="38"/>
        <v/>
      </c>
      <c r="AF399" s="4"/>
      <c r="AG399" s="6" t="str">
        <f t="shared" si="39"/>
        <v/>
      </c>
    </row>
    <row r="400" spans="1:33" ht="15.75" customHeight="1" x14ac:dyDescent="0.2">
      <c r="A400" s="35"/>
      <c r="B400" s="44"/>
      <c r="C400" s="35"/>
      <c r="D400" s="35"/>
      <c r="E400" s="48"/>
      <c r="F400" s="45"/>
      <c r="G400" s="38"/>
      <c r="H400" s="45"/>
      <c r="I400" s="45"/>
      <c r="L400" s="19"/>
      <c r="N400" s="25"/>
      <c r="O400" s="25"/>
      <c r="P400" s="27"/>
      <c r="R400" s="6" t="str">
        <f>IF($H400&lt;&gt;"",RIGHT(Tabela1[[#This Row],[Ref.]],2),"")</f>
        <v/>
      </c>
      <c r="S400" s="6" t="str">
        <f t="shared" si="36"/>
        <v/>
      </c>
      <c r="T400" s="4" t="str">
        <f>IF($H400&lt;&gt;"",_xlfn.XLOOKUP(H400,Naturezas!B:B,Naturezas!E:E,"",0,1),"")</f>
        <v/>
      </c>
      <c r="U400" s="4" t="str">
        <f>IF($H400&lt;&gt;"",_xlfn.XLOOKUP($H400,Naturezas!B:B,Naturezas!D:D,"",0,1),"")</f>
        <v/>
      </c>
      <c r="V400" s="5" t="str">
        <f>IF(H400&lt;&gt;"",IF(OR(H400=Naturezas!$B$3,H400=Naturezas!$B$4,H400=Naturezas!$B$5,H400=Naturezas!$B$17,H400=Naturezas!$B$18,H400=Naturezas!$B$19),G400,-G400),"")</f>
        <v/>
      </c>
      <c r="W400" s="4" t="str">
        <f t="shared" si="40"/>
        <v/>
      </c>
      <c r="X400" s="4"/>
      <c r="Y400" s="4" t="str">
        <f t="shared" si="41"/>
        <v/>
      </c>
      <c r="Z400" s="6" t="str">
        <f>IF(H400&lt;&gt;"",Tabela1[[#This Row],[Iniciais]],"")</f>
        <v/>
      </c>
      <c r="AB400" s="6" t="str">
        <f>IF($H400&lt;&gt;"",RIGHT(Tabela1[[#This Row],[Ref.]],2),"")</f>
        <v/>
      </c>
      <c r="AC400" s="37" t="str">
        <f>IF($H400&lt;&gt;"",DATE(LEFT(Tabela1[[#This Row],[Ref.]],4),RIGHT(Tabela1[[#This Row],[Ref.]],2),1),"")</f>
        <v/>
      </c>
      <c r="AD400" s="4" t="str">
        <f t="shared" si="37"/>
        <v/>
      </c>
      <c r="AE400" s="5" t="str">
        <f t="shared" si="38"/>
        <v/>
      </c>
      <c r="AF400" s="4"/>
      <c r="AG400" s="6" t="str">
        <f t="shared" si="39"/>
        <v/>
      </c>
    </row>
    <row r="401" spans="1:33" ht="15.75" customHeight="1" x14ac:dyDescent="0.2">
      <c r="A401" s="35"/>
      <c r="B401" s="44"/>
      <c r="C401" s="35"/>
      <c r="D401" s="35"/>
      <c r="E401" s="48"/>
      <c r="F401" s="45"/>
      <c r="G401" s="38"/>
      <c r="H401" s="45"/>
      <c r="I401" s="45"/>
      <c r="L401" s="19"/>
      <c r="N401" s="25"/>
      <c r="O401" s="25"/>
      <c r="P401" s="27"/>
      <c r="R401" s="6" t="str">
        <f>IF($H401&lt;&gt;"",RIGHT(Tabela1[[#This Row],[Ref.]],2),"")</f>
        <v/>
      </c>
      <c r="S401" s="6" t="str">
        <f t="shared" si="36"/>
        <v/>
      </c>
      <c r="T401" s="4" t="str">
        <f>IF($H401&lt;&gt;"",_xlfn.XLOOKUP(H401,Naturezas!B:B,Naturezas!E:E,"",0,1),"")</f>
        <v/>
      </c>
      <c r="U401" s="4" t="str">
        <f>IF($H401&lt;&gt;"",_xlfn.XLOOKUP($H401,Naturezas!B:B,Naturezas!D:D,"",0,1),"")</f>
        <v/>
      </c>
      <c r="V401" s="5" t="str">
        <f>IF(H401&lt;&gt;"",IF(OR(H401=Naturezas!$B$3,H401=Naturezas!$B$4,H401=Naturezas!$B$5,H401=Naturezas!$B$17,H401=Naturezas!$B$18,H401=Naturezas!$B$19),G401,-G401),"")</f>
        <v/>
      </c>
      <c r="W401" s="4" t="str">
        <f t="shared" si="40"/>
        <v/>
      </c>
      <c r="X401" s="4"/>
      <c r="Y401" s="4" t="str">
        <f t="shared" si="41"/>
        <v/>
      </c>
      <c r="Z401" s="6" t="str">
        <f>IF(H401&lt;&gt;"",Tabela1[[#This Row],[Iniciais]],"")</f>
        <v/>
      </c>
      <c r="AB401" s="6" t="str">
        <f>IF($H401&lt;&gt;"",RIGHT(Tabela1[[#This Row],[Ref.]],2),"")</f>
        <v/>
      </c>
      <c r="AC401" s="37" t="str">
        <f>IF($H401&lt;&gt;"",DATE(LEFT(Tabela1[[#This Row],[Ref.]],4),RIGHT(Tabela1[[#This Row],[Ref.]],2),1),"")</f>
        <v/>
      </c>
      <c r="AD401" s="4" t="str">
        <f t="shared" si="37"/>
        <v/>
      </c>
      <c r="AE401" s="5" t="str">
        <f t="shared" si="38"/>
        <v/>
      </c>
      <c r="AF401" s="4"/>
      <c r="AG401" s="6" t="str">
        <f t="shared" si="39"/>
        <v/>
      </c>
    </row>
    <row r="402" spans="1:33" ht="15.75" customHeight="1" x14ac:dyDescent="0.2">
      <c r="A402" s="35"/>
      <c r="B402" s="44"/>
      <c r="C402" s="35"/>
      <c r="D402" s="35"/>
      <c r="E402" s="48"/>
      <c r="F402" s="45"/>
      <c r="G402" s="38"/>
      <c r="H402" s="45"/>
      <c r="I402" s="45"/>
      <c r="L402" s="19"/>
      <c r="N402" s="25"/>
      <c r="O402" s="25"/>
      <c r="P402" s="27"/>
      <c r="R402" s="6" t="str">
        <f>IF($H402&lt;&gt;"",RIGHT(Tabela1[[#This Row],[Ref.]],2),"")</f>
        <v/>
      </c>
      <c r="S402" s="6" t="str">
        <f t="shared" si="36"/>
        <v/>
      </c>
      <c r="T402" s="4" t="str">
        <f>IF($H402&lt;&gt;"",_xlfn.XLOOKUP(H402,Naturezas!B:B,Naturezas!E:E,"",0,1),"")</f>
        <v/>
      </c>
      <c r="U402" s="4" t="str">
        <f>IF($H402&lt;&gt;"",_xlfn.XLOOKUP($H402,Naturezas!B:B,Naturezas!D:D,"",0,1),"")</f>
        <v/>
      </c>
      <c r="V402" s="5" t="str">
        <f>IF(H402&lt;&gt;"",IF(OR(H402=Naturezas!$B$3,H402=Naturezas!$B$4,H402=Naturezas!$B$5,H402=Naturezas!$B$17,H402=Naturezas!$B$18,H402=Naturezas!$B$19),G402,-G402),"")</f>
        <v/>
      </c>
      <c r="W402" s="4" t="str">
        <f t="shared" si="40"/>
        <v/>
      </c>
      <c r="X402" s="4"/>
      <c r="Y402" s="4" t="str">
        <f t="shared" si="41"/>
        <v/>
      </c>
      <c r="Z402" s="6" t="str">
        <f>IF(H402&lt;&gt;"",Tabela1[[#This Row],[Iniciais]],"")</f>
        <v/>
      </c>
      <c r="AB402" s="6" t="str">
        <f>IF($H402&lt;&gt;"",RIGHT(Tabela1[[#This Row],[Ref.]],2),"")</f>
        <v/>
      </c>
      <c r="AC402" s="37" t="str">
        <f>IF($H402&lt;&gt;"",DATE(LEFT(Tabela1[[#This Row],[Ref.]],4),RIGHT(Tabela1[[#This Row],[Ref.]],2),1),"")</f>
        <v/>
      </c>
      <c r="AD402" s="4" t="str">
        <f t="shared" si="37"/>
        <v/>
      </c>
      <c r="AE402" s="5" t="str">
        <f t="shared" si="38"/>
        <v/>
      </c>
      <c r="AF402" s="4"/>
      <c r="AG402" s="6" t="str">
        <f t="shared" si="39"/>
        <v/>
      </c>
    </row>
    <row r="403" spans="1:33" ht="15.75" customHeight="1" x14ac:dyDescent="0.2">
      <c r="A403" s="35"/>
      <c r="B403" s="44"/>
      <c r="C403" s="35"/>
      <c r="D403" s="35"/>
      <c r="E403" s="48"/>
      <c r="F403" s="45"/>
      <c r="G403" s="38"/>
      <c r="H403" s="45"/>
      <c r="I403" s="45"/>
      <c r="L403" s="19"/>
      <c r="N403" s="25"/>
      <c r="O403" s="25"/>
      <c r="P403" s="27"/>
      <c r="R403" s="6" t="str">
        <f>IF($H403&lt;&gt;"",RIGHT(Tabela1[[#This Row],[Ref.]],2),"")</f>
        <v/>
      </c>
      <c r="S403" s="6" t="str">
        <f t="shared" si="36"/>
        <v/>
      </c>
      <c r="T403" s="4" t="str">
        <f>IF($H403&lt;&gt;"",_xlfn.XLOOKUP(H403,Naturezas!B:B,Naturezas!E:E,"",0,1),"")</f>
        <v/>
      </c>
      <c r="U403" s="4" t="str">
        <f>IF($H403&lt;&gt;"",_xlfn.XLOOKUP($H403,Naturezas!B:B,Naturezas!D:D,"",0,1),"")</f>
        <v/>
      </c>
      <c r="V403" s="5" t="str">
        <f>IF(H403&lt;&gt;"",IF(OR(H403=Naturezas!$B$3,H403=Naturezas!$B$4,H403=Naturezas!$B$5,H403=Naturezas!$B$17,H403=Naturezas!$B$18,H403=Naturezas!$B$19),G403,-G403),"")</f>
        <v/>
      </c>
      <c r="W403" s="4" t="str">
        <f t="shared" si="40"/>
        <v/>
      </c>
      <c r="X403" s="4"/>
      <c r="Y403" s="4" t="str">
        <f t="shared" si="41"/>
        <v/>
      </c>
      <c r="Z403" s="6" t="str">
        <f>IF(H403&lt;&gt;"",Tabela1[[#This Row],[Iniciais]],"")</f>
        <v/>
      </c>
      <c r="AB403" s="6" t="str">
        <f>IF($H403&lt;&gt;"",RIGHT(Tabela1[[#This Row],[Ref.]],2),"")</f>
        <v/>
      </c>
      <c r="AC403" s="37" t="str">
        <f>IF($H403&lt;&gt;"",DATE(LEFT(Tabela1[[#This Row],[Ref.]],4),RIGHT(Tabela1[[#This Row],[Ref.]],2),1),"")</f>
        <v/>
      </c>
      <c r="AD403" s="4" t="str">
        <f t="shared" si="37"/>
        <v/>
      </c>
      <c r="AE403" s="5" t="str">
        <f t="shared" si="38"/>
        <v/>
      </c>
      <c r="AF403" s="4"/>
      <c r="AG403" s="6" t="str">
        <f t="shared" si="39"/>
        <v/>
      </c>
    </row>
    <row r="404" spans="1:33" ht="15.75" customHeight="1" x14ac:dyDescent="0.2">
      <c r="A404" s="35"/>
      <c r="B404" s="44"/>
      <c r="C404" s="35"/>
      <c r="D404" s="35"/>
      <c r="E404" s="48"/>
      <c r="F404" s="45"/>
      <c r="G404" s="38"/>
      <c r="H404" s="45"/>
      <c r="I404" s="45"/>
      <c r="L404" s="19"/>
      <c r="N404" s="25"/>
      <c r="O404" s="25"/>
      <c r="P404" s="27"/>
      <c r="R404" s="6" t="str">
        <f>IF($H404&lt;&gt;"",RIGHT(Tabela1[[#This Row],[Ref.]],2),"")</f>
        <v/>
      </c>
      <c r="S404" s="6" t="str">
        <f t="shared" si="36"/>
        <v/>
      </c>
      <c r="T404" s="4" t="str">
        <f>IF($H404&lt;&gt;"",_xlfn.XLOOKUP(H404,Naturezas!B:B,Naturezas!E:E,"",0,1),"")</f>
        <v/>
      </c>
      <c r="U404" s="4" t="str">
        <f>IF($H404&lt;&gt;"",_xlfn.XLOOKUP($H404,Naturezas!B:B,Naturezas!D:D,"",0,1),"")</f>
        <v/>
      </c>
      <c r="V404" s="5" t="str">
        <f>IF(H404&lt;&gt;"",IF(OR(H404=Naturezas!$B$3,H404=Naturezas!$B$4,H404=Naturezas!$B$5,H404=Naturezas!$B$17,H404=Naturezas!$B$18,H404=Naturezas!$B$19),G404,-G404),"")</f>
        <v/>
      </c>
      <c r="W404" s="4" t="str">
        <f t="shared" si="40"/>
        <v/>
      </c>
      <c r="X404" s="4"/>
      <c r="Y404" s="4" t="str">
        <f t="shared" si="41"/>
        <v/>
      </c>
      <c r="Z404" s="6" t="str">
        <f>IF(H404&lt;&gt;"",Tabela1[[#This Row],[Iniciais]],"")</f>
        <v/>
      </c>
      <c r="AB404" s="6" t="str">
        <f>IF($H404&lt;&gt;"",RIGHT(Tabela1[[#This Row],[Ref.]],2),"")</f>
        <v/>
      </c>
      <c r="AC404" s="37" t="str">
        <f>IF($H404&lt;&gt;"",DATE(LEFT(Tabela1[[#This Row],[Ref.]],4),RIGHT(Tabela1[[#This Row],[Ref.]],2),1),"")</f>
        <v/>
      </c>
      <c r="AD404" s="4" t="str">
        <f t="shared" si="37"/>
        <v/>
      </c>
      <c r="AE404" s="5" t="str">
        <f t="shared" si="38"/>
        <v/>
      </c>
      <c r="AF404" s="4"/>
      <c r="AG404" s="6" t="str">
        <f t="shared" si="39"/>
        <v/>
      </c>
    </row>
    <row r="405" spans="1:33" ht="15.75" customHeight="1" x14ac:dyDescent="0.2">
      <c r="A405" s="35"/>
      <c r="B405" s="44"/>
      <c r="C405" s="35"/>
      <c r="D405" s="35"/>
      <c r="E405" s="48"/>
      <c r="F405" s="45"/>
      <c r="G405" s="38"/>
      <c r="H405" s="45"/>
      <c r="I405" s="45"/>
      <c r="L405" s="19"/>
      <c r="N405" s="25"/>
      <c r="O405" s="25"/>
      <c r="P405" s="27"/>
      <c r="R405" s="6" t="str">
        <f>IF($H405&lt;&gt;"",RIGHT(Tabela1[[#This Row],[Ref.]],2),"")</f>
        <v/>
      </c>
      <c r="S405" s="6" t="str">
        <f t="shared" si="36"/>
        <v/>
      </c>
      <c r="T405" s="4" t="str">
        <f>IF($H405&lt;&gt;"",_xlfn.XLOOKUP(H405,Naturezas!B:B,Naturezas!E:E,"",0,1),"")</f>
        <v/>
      </c>
      <c r="U405" s="4" t="str">
        <f>IF($H405&lt;&gt;"",_xlfn.XLOOKUP($H405,Naturezas!B:B,Naturezas!D:D,"",0,1),"")</f>
        <v/>
      </c>
      <c r="V405" s="5" t="str">
        <f>IF(H405&lt;&gt;"",IF(OR(H405=Naturezas!$B$3,H405=Naturezas!$B$4,H405=Naturezas!$B$5,H405=Naturezas!$B$17,H405=Naturezas!$B$18,H405=Naturezas!$B$19),G405,-G405),"")</f>
        <v/>
      </c>
      <c r="W405" s="4" t="str">
        <f t="shared" si="40"/>
        <v/>
      </c>
      <c r="X405" s="4"/>
      <c r="Y405" s="4" t="str">
        <f t="shared" si="41"/>
        <v/>
      </c>
      <c r="Z405" s="6" t="str">
        <f>IF(H405&lt;&gt;"",Tabela1[[#This Row],[Iniciais]],"")</f>
        <v/>
      </c>
      <c r="AB405" s="6" t="str">
        <f>IF($H405&lt;&gt;"",RIGHT(Tabela1[[#This Row],[Ref.]],2),"")</f>
        <v/>
      </c>
      <c r="AC405" s="37" t="str">
        <f>IF($H405&lt;&gt;"",DATE(LEFT(Tabela1[[#This Row],[Ref.]],4),RIGHT(Tabela1[[#This Row],[Ref.]],2),1),"")</f>
        <v/>
      </c>
      <c r="AD405" s="4" t="str">
        <f t="shared" si="37"/>
        <v/>
      </c>
      <c r="AE405" s="5" t="str">
        <f t="shared" si="38"/>
        <v/>
      </c>
      <c r="AF405" s="4"/>
      <c r="AG405" s="6" t="str">
        <f t="shared" si="39"/>
        <v/>
      </c>
    </row>
    <row r="406" spans="1:33" ht="15.75" customHeight="1" x14ac:dyDescent="0.2">
      <c r="A406" s="35"/>
      <c r="B406" s="44"/>
      <c r="C406" s="35"/>
      <c r="D406" s="35"/>
      <c r="E406" s="48"/>
      <c r="F406" s="45"/>
      <c r="G406" s="38"/>
      <c r="H406" s="45"/>
      <c r="I406" s="45"/>
      <c r="L406" s="19"/>
      <c r="N406" s="25"/>
      <c r="O406" s="25"/>
      <c r="P406" s="27"/>
      <c r="R406" s="6" t="str">
        <f>IF($H406&lt;&gt;"",RIGHT(Tabela1[[#This Row],[Ref.]],2),"")</f>
        <v/>
      </c>
      <c r="S406" s="6" t="str">
        <f t="shared" si="36"/>
        <v/>
      </c>
      <c r="T406" s="4" t="str">
        <f>IF($H406&lt;&gt;"",_xlfn.XLOOKUP(H406,Naturezas!B:B,Naturezas!E:E,"",0,1),"")</f>
        <v/>
      </c>
      <c r="U406" s="4" t="str">
        <f>IF($H406&lt;&gt;"",_xlfn.XLOOKUP($H406,Naturezas!B:B,Naturezas!D:D,"",0,1),"")</f>
        <v/>
      </c>
      <c r="V406" s="5" t="str">
        <f>IF(H406&lt;&gt;"",IF(OR(H406=Naturezas!$B$3,H406=Naturezas!$B$4,H406=Naturezas!$B$5,H406=Naturezas!$B$17,H406=Naturezas!$B$18,H406=Naturezas!$B$19),G406,-G406),"")</f>
        <v/>
      </c>
      <c r="W406" s="4" t="str">
        <f t="shared" si="40"/>
        <v/>
      </c>
      <c r="X406" s="4"/>
      <c r="Y406" s="4" t="str">
        <f t="shared" si="41"/>
        <v/>
      </c>
      <c r="Z406" s="6" t="str">
        <f>IF(H406&lt;&gt;"",Tabela1[[#This Row],[Iniciais]],"")</f>
        <v/>
      </c>
      <c r="AB406" s="6" t="str">
        <f>IF($H406&lt;&gt;"",RIGHT(Tabela1[[#This Row],[Ref.]],2),"")</f>
        <v/>
      </c>
      <c r="AC406" s="37" t="str">
        <f>IF($H406&lt;&gt;"",DATE(LEFT(Tabela1[[#This Row],[Ref.]],4),RIGHT(Tabela1[[#This Row],[Ref.]],2),1),"")</f>
        <v/>
      </c>
      <c r="AD406" s="4" t="str">
        <f t="shared" si="37"/>
        <v/>
      </c>
      <c r="AE406" s="5" t="str">
        <f t="shared" si="38"/>
        <v/>
      </c>
      <c r="AF406" s="4"/>
      <c r="AG406" s="6" t="str">
        <f t="shared" si="39"/>
        <v/>
      </c>
    </row>
    <row r="407" spans="1:33" ht="15.75" customHeight="1" x14ac:dyDescent="0.2">
      <c r="A407" s="35"/>
      <c r="B407" s="44"/>
      <c r="C407" s="35"/>
      <c r="D407" s="35"/>
      <c r="E407" s="48"/>
      <c r="F407" s="45"/>
      <c r="G407" s="38"/>
      <c r="H407" s="45"/>
      <c r="I407" s="45"/>
      <c r="L407" s="19"/>
      <c r="N407" s="25"/>
      <c r="O407" s="25"/>
      <c r="P407" s="27"/>
      <c r="R407" s="6" t="str">
        <f>IF($H407&lt;&gt;"",RIGHT(Tabela1[[#This Row],[Ref.]],2),"")</f>
        <v/>
      </c>
      <c r="S407" s="6" t="str">
        <f t="shared" si="36"/>
        <v/>
      </c>
      <c r="T407" s="4" t="str">
        <f>IF($H407&lt;&gt;"",_xlfn.XLOOKUP(H407,Naturezas!B:B,Naturezas!E:E,"",0,1),"")</f>
        <v/>
      </c>
      <c r="U407" s="4" t="str">
        <f>IF($H407&lt;&gt;"",_xlfn.XLOOKUP($H407,Naturezas!B:B,Naturezas!D:D,"",0,1),"")</f>
        <v/>
      </c>
      <c r="V407" s="5" t="str">
        <f>IF(H407&lt;&gt;"",IF(OR(H407=Naturezas!$B$3,H407=Naturezas!$B$4,H407=Naturezas!$B$5,H407=Naturezas!$B$17,H407=Naturezas!$B$18,H407=Naturezas!$B$19),G407,-G407),"")</f>
        <v/>
      </c>
      <c r="W407" s="4" t="str">
        <f t="shared" si="40"/>
        <v/>
      </c>
      <c r="X407" s="4"/>
      <c r="Y407" s="4" t="str">
        <f t="shared" si="41"/>
        <v/>
      </c>
      <c r="Z407" s="6" t="str">
        <f>IF(H407&lt;&gt;"",Tabela1[[#This Row],[Iniciais]],"")</f>
        <v/>
      </c>
      <c r="AB407" s="6" t="str">
        <f>IF($H407&lt;&gt;"",RIGHT(Tabela1[[#This Row],[Ref.]],2),"")</f>
        <v/>
      </c>
      <c r="AC407" s="37" t="str">
        <f>IF($H407&lt;&gt;"",DATE(LEFT(Tabela1[[#This Row],[Ref.]],4),RIGHT(Tabela1[[#This Row],[Ref.]],2),1),"")</f>
        <v/>
      </c>
      <c r="AD407" s="4" t="str">
        <f t="shared" si="37"/>
        <v/>
      </c>
      <c r="AE407" s="5" t="str">
        <f t="shared" si="38"/>
        <v/>
      </c>
      <c r="AF407" s="4"/>
      <c r="AG407" s="6" t="str">
        <f t="shared" si="39"/>
        <v/>
      </c>
    </row>
    <row r="408" spans="1:33" ht="15.75" customHeight="1" x14ac:dyDescent="0.2">
      <c r="A408" s="35"/>
      <c r="B408" s="44"/>
      <c r="C408" s="35"/>
      <c r="D408" s="35"/>
      <c r="E408" s="48"/>
      <c r="F408" s="45"/>
      <c r="G408" s="38"/>
      <c r="H408" s="45"/>
      <c r="I408" s="45"/>
      <c r="L408" s="19"/>
      <c r="N408" s="25"/>
      <c r="O408" s="25"/>
      <c r="P408" s="27"/>
      <c r="R408" s="6" t="str">
        <f>IF($H408&lt;&gt;"",RIGHT(Tabela1[[#This Row],[Ref.]],2),"")</f>
        <v/>
      </c>
      <c r="S408" s="6" t="str">
        <f t="shared" si="36"/>
        <v/>
      </c>
      <c r="T408" s="4" t="str">
        <f>IF($H408&lt;&gt;"",_xlfn.XLOOKUP(H408,Naturezas!B:B,Naturezas!E:E,"",0,1),"")</f>
        <v/>
      </c>
      <c r="U408" s="4" t="str">
        <f>IF($H408&lt;&gt;"",_xlfn.XLOOKUP($H408,Naturezas!B:B,Naturezas!D:D,"",0,1),"")</f>
        <v/>
      </c>
      <c r="V408" s="5" t="str">
        <f>IF(H408&lt;&gt;"",IF(OR(H408=Naturezas!$B$3,H408=Naturezas!$B$4,H408=Naturezas!$B$5,H408=Naturezas!$B$17,H408=Naturezas!$B$18,H408=Naturezas!$B$19),G408,-G408),"")</f>
        <v/>
      </c>
      <c r="W408" s="4" t="str">
        <f t="shared" si="40"/>
        <v/>
      </c>
      <c r="X408" s="4"/>
      <c r="Y408" s="4" t="str">
        <f t="shared" si="41"/>
        <v/>
      </c>
      <c r="Z408" s="6" t="str">
        <f>IF(H408&lt;&gt;"",Tabela1[[#This Row],[Iniciais]],"")</f>
        <v/>
      </c>
      <c r="AB408" s="6" t="str">
        <f>IF($H408&lt;&gt;"",RIGHT(Tabela1[[#This Row],[Ref.]],2),"")</f>
        <v/>
      </c>
      <c r="AC408" s="37" t="str">
        <f>IF($H408&lt;&gt;"",DATE(LEFT(Tabela1[[#This Row],[Ref.]],4),RIGHT(Tabela1[[#This Row],[Ref.]],2),1),"")</f>
        <v/>
      </c>
      <c r="AD408" s="4" t="str">
        <f t="shared" si="37"/>
        <v/>
      </c>
      <c r="AE408" s="5" t="str">
        <f t="shared" si="38"/>
        <v/>
      </c>
      <c r="AF408" s="4"/>
      <c r="AG408" s="6" t="str">
        <f t="shared" si="39"/>
        <v/>
      </c>
    </row>
    <row r="409" spans="1:33" ht="15.75" customHeight="1" x14ac:dyDescent="0.2">
      <c r="A409" s="35"/>
      <c r="B409" s="44"/>
      <c r="C409" s="35"/>
      <c r="D409" s="35"/>
      <c r="E409" s="48"/>
      <c r="F409" s="45"/>
      <c r="G409" s="38"/>
      <c r="H409" s="45"/>
      <c r="I409" s="45"/>
      <c r="L409" s="19"/>
      <c r="N409" s="25"/>
      <c r="O409" s="25"/>
      <c r="P409" s="27"/>
      <c r="R409" s="6" t="str">
        <f>IF($H409&lt;&gt;"",RIGHT(Tabela1[[#This Row],[Ref.]],2),"")</f>
        <v/>
      </c>
      <c r="S409" s="6" t="str">
        <f t="shared" si="36"/>
        <v/>
      </c>
      <c r="T409" s="4" t="str">
        <f>IF($H409&lt;&gt;"",_xlfn.XLOOKUP(H409,Naturezas!B:B,Naturezas!E:E,"",0,1),"")</f>
        <v/>
      </c>
      <c r="U409" s="4" t="str">
        <f>IF($H409&lt;&gt;"",_xlfn.XLOOKUP($H409,Naturezas!B:B,Naturezas!D:D,"",0,1),"")</f>
        <v/>
      </c>
      <c r="V409" s="5" t="str">
        <f>IF(H409&lt;&gt;"",IF(OR(H409=Naturezas!$B$3,H409=Naturezas!$B$4,H409=Naturezas!$B$5,H409=Naturezas!$B$17,H409=Naturezas!$B$18,H409=Naturezas!$B$19),G409,-G409),"")</f>
        <v/>
      </c>
      <c r="W409" s="4" t="str">
        <f t="shared" si="40"/>
        <v/>
      </c>
      <c r="X409" s="4"/>
      <c r="Y409" s="4" t="str">
        <f t="shared" si="41"/>
        <v/>
      </c>
      <c r="Z409" s="6" t="str">
        <f>IF(H409&lt;&gt;"",Tabela1[[#This Row],[Iniciais]],"")</f>
        <v/>
      </c>
      <c r="AB409" s="6" t="str">
        <f>IF($H409&lt;&gt;"",RIGHT(Tabela1[[#This Row],[Ref.]],2),"")</f>
        <v/>
      </c>
      <c r="AC409" s="37" t="str">
        <f>IF($H409&lt;&gt;"",DATE(LEFT(Tabela1[[#This Row],[Ref.]],4),RIGHT(Tabela1[[#This Row],[Ref.]],2),1),"")</f>
        <v/>
      </c>
      <c r="AD409" s="4" t="str">
        <f t="shared" si="37"/>
        <v/>
      </c>
      <c r="AE409" s="5" t="str">
        <f t="shared" si="38"/>
        <v/>
      </c>
      <c r="AF409" s="4"/>
      <c r="AG409" s="6" t="str">
        <f t="shared" si="39"/>
        <v/>
      </c>
    </row>
    <row r="410" spans="1:33" ht="15.75" customHeight="1" x14ac:dyDescent="0.2">
      <c r="A410" s="35"/>
      <c r="B410" s="44"/>
      <c r="C410" s="35"/>
      <c r="D410" s="35"/>
      <c r="E410" s="48"/>
      <c r="F410" s="45"/>
      <c r="G410" s="38"/>
      <c r="H410" s="45"/>
      <c r="I410" s="45"/>
      <c r="L410" s="19"/>
      <c r="N410" s="25"/>
      <c r="O410" s="25"/>
      <c r="P410" s="27"/>
      <c r="R410" s="6" t="str">
        <f>IF($H410&lt;&gt;"",RIGHT(Tabela1[[#This Row],[Ref.]],2),"")</f>
        <v/>
      </c>
      <c r="S410" s="6" t="str">
        <f t="shared" si="36"/>
        <v/>
      </c>
      <c r="T410" s="4" t="str">
        <f>IF($H410&lt;&gt;"",_xlfn.XLOOKUP(H410,Naturezas!B:B,Naturezas!E:E,"",0,1),"")</f>
        <v/>
      </c>
      <c r="U410" s="4" t="str">
        <f>IF($H410&lt;&gt;"",_xlfn.XLOOKUP($H410,Naturezas!B:B,Naturezas!D:D,"",0,1),"")</f>
        <v/>
      </c>
      <c r="V410" s="5" t="str">
        <f>IF(H410&lt;&gt;"",IF(OR(H410=Naturezas!$B$3,H410=Naturezas!$B$4,H410=Naturezas!$B$5,H410=Naturezas!$B$17,H410=Naturezas!$B$18,H410=Naturezas!$B$19),G410,-G410),"")</f>
        <v/>
      </c>
      <c r="W410" s="4" t="str">
        <f t="shared" si="40"/>
        <v/>
      </c>
      <c r="X410" s="4"/>
      <c r="Y410" s="4" t="str">
        <f t="shared" si="41"/>
        <v/>
      </c>
      <c r="Z410" s="6" t="str">
        <f>IF(H410&lt;&gt;"",Tabela1[[#This Row],[Iniciais]],"")</f>
        <v/>
      </c>
      <c r="AB410" s="6" t="str">
        <f>IF($H410&lt;&gt;"",RIGHT(Tabela1[[#This Row],[Ref.]],2),"")</f>
        <v/>
      </c>
      <c r="AC410" s="37" t="str">
        <f>IF($H410&lt;&gt;"",DATE(LEFT(Tabela1[[#This Row],[Ref.]],4),RIGHT(Tabela1[[#This Row],[Ref.]],2),1),"")</f>
        <v/>
      </c>
      <c r="AD410" s="4" t="str">
        <f t="shared" si="37"/>
        <v/>
      </c>
      <c r="AE410" s="5" t="str">
        <f t="shared" si="38"/>
        <v/>
      </c>
      <c r="AF410" s="4"/>
      <c r="AG410" s="6" t="str">
        <f t="shared" si="39"/>
        <v/>
      </c>
    </row>
    <row r="411" spans="1:33" ht="15.75" customHeight="1" x14ac:dyDescent="0.2">
      <c r="A411" s="35"/>
      <c r="B411" s="44"/>
      <c r="C411" s="35"/>
      <c r="D411" s="35"/>
      <c r="E411" s="48"/>
      <c r="F411" s="45"/>
      <c r="G411" s="38"/>
      <c r="H411" s="45"/>
      <c r="I411" s="45"/>
      <c r="L411" s="19"/>
      <c r="N411" s="25"/>
      <c r="O411" s="25"/>
      <c r="P411" s="27"/>
      <c r="R411" s="6" t="str">
        <f>IF($H411&lt;&gt;"",RIGHT(Tabela1[[#This Row],[Ref.]],2),"")</f>
        <v/>
      </c>
      <c r="S411" s="6" t="str">
        <f t="shared" si="36"/>
        <v/>
      </c>
      <c r="T411" s="4" t="str">
        <f>IF($H411&lt;&gt;"",_xlfn.XLOOKUP(H411,Naturezas!B:B,Naturezas!E:E,"",0,1),"")</f>
        <v/>
      </c>
      <c r="U411" s="4" t="str">
        <f>IF($H411&lt;&gt;"",_xlfn.XLOOKUP($H411,Naturezas!B:B,Naturezas!D:D,"",0,1),"")</f>
        <v/>
      </c>
      <c r="V411" s="5" t="str">
        <f>IF(H411&lt;&gt;"",IF(OR(H411=Naturezas!$B$3,H411=Naturezas!$B$4,H411=Naturezas!$B$5,H411=Naturezas!$B$17,H411=Naturezas!$B$18,H411=Naturezas!$B$19),G411,-G411),"")</f>
        <v/>
      </c>
      <c r="W411" s="4" t="str">
        <f t="shared" si="40"/>
        <v/>
      </c>
      <c r="X411" s="4"/>
      <c r="Y411" s="4" t="str">
        <f t="shared" si="41"/>
        <v/>
      </c>
      <c r="Z411" s="6" t="str">
        <f>IF(H411&lt;&gt;"",Tabela1[[#This Row],[Iniciais]],"")</f>
        <v/>
      </c>
      <c r="AB411" s="6" t="str">
        <f>IF($H411&lt;&gt;"",RIGHT(Tabela1[[#This Row],[Ref.]],2),"")</f>
        <v/>
      </c>
      <c r="AC411" s="37" t="str">
        <f>IF($H411&lt;&gt;"",DATE(LEFT(Tabela1[[#This Row],[Ref.]],4),RIGHT(Tabela1[[#This Row],[Ref.]],2),1),"")</f>
        <v/>
      </c>
      <c r="AD411" s="4" t="str">
        <f t="shared" si="37"/>
        <v/>
      </c>
      <c r="AE411" s="5" t="str">
        <f t="shared" si="38"/>
        <v/>
      </c>
      <c r="AF411" s="4"/>
      <c r="AG411" s="6" t="str">
        <f t="shared" si="39"/>
        <v/>
      </c>
    </row>
    <row r="412" spans="1:33" ht="15.75" customHeight="1" x14ac:dyDescent="0.2">
      <c r="A412" s="35"/>
      <c r="B412" s="44"/>
      <c r="C412" s="35"/>
      <c r="D412" s="35"/>
      <c r="E412" s="48"/>
      <c r="F412" s="45"/>
      <c r="G412" s="38"/>
      <c r="H412" s="45"/>
      <c r="I412" s="45"/>
      <c r="L412" s="19"/>
      <c r="N412" s="25"/>
      <c r="O412" s="25"/>
      <c r="P412" s="27"/>
      <c r="R412" s="6" t="str">
        <f>IF($H412&lt;&gt;"",RIGHT(Tabela1[[#This Row],[Ref.]],2),"")</f>
        <v/>
      </c>
      <c r="S412" s="6" t="str">
        <f t="shared" si="36"/>
        <v/>
      </c>
      <c r="T412" s="4" t="str">
        <f>IF($H412&lt;&gt;"",_xlfn.XLOOKUP(H412,Naturezas!B:B,Naturezas!E:E,"",0,1),"")</f>
        <v/>
      </c>
      <c r="U412" s="4" t="str">
        <f>IF($H412&lt;&gt;"",_xlfn.XLOOKUP($H412,Naturezas!B:B,Naturezas!D:D,"",0,1),"")</f>
        <v/>
      </c>
      <c r="V412" s="5" t="str">
        <f>IF(H412&lt;&gt;"",IF(OR(H412=Naturezas!$B$3,H412=Naturezas!$B$4,H412=Naturezas!$B$5,H412=Naturezas!$B$17,H412=Naturezas!$B$18,H412=Naturezas!$B$19),G412,-G412),"")</f>
        <v/>
      </c>
      <c r="W412" s="4" t="str">
        <f t="shared" si="40"/>
        <v/>
      </c>
      <c r="X412" s="4"/>
      <c r="Y412" s="4" t="str">
        <f t="shared" si="41"/>
        <v/>
      </c>
      <c r="Z412" s="6" t="str">
        <f>IF(H412&lt;&gt;"",Tabela1[[#This Row],[Iniciais]],"")</f>
        <v/>
      </c>
      <c r="AB412" s="6" t="str">
        <f>IF($H412&lt;&gt;"",RIGHT(Tabela1[[#This Row],[Ref.]],2),"")</f>
        <v/>
      </c>
      <c r="AC412" s="37" t="str">
        <f>IF($H412&lt;&gt;"",DATE(LEFT(Tabela1[[#This Row],[Ref.]],4),RIGHT(Tabela1[[#This Row],[Ref.]],2),1),"")</f>
        <v/>
      </c>
      <c r="AD412" s="4" t="str">
        <f t="shared" si="37"/>
        <v/>
      </c>
      <c r="AE412" s="5" t="str">
        <f t="shared" si="38"/>
        <v/>
      </c>
      <c r="AF412" s="4"/>
      <c r="AG412" s="6" t="str">
        <f t="shared" si="39"/>
        <v/>
      </c>
    </row>
    <row r="413" spans="1:33" ht="15.75" customHeight="1" x14ac:dyDescent="0.2">
      <c r="A413" s="35"/>
      <c r="B413" s="44"/>
      <c r="C413" s="35"/>
      <c r="D413" s="35"/>
      <c r="E413" s="48"/>
      <c r="F413" s="45"/>
      <c r="G413" s="38"/>
      <c r="H413" s="45"/>
      <c r="I413" s="45"/>
      <c r="L413" s="19"/>
      <c r="N413" s="25"/>
      <c r="O413" s="25"/>
      <c r="P413" s="27"/>
      <c r="R413" s="6" t="str">
        <f>IF($H413&lt;&gt;"",RIGHT(Tabela1[[#This Row],[Ref.]],2),"")</f>
        <v/>
      </c>
      <c r="S413" s="6" t="str">
        <f t="shared" si="36"/>
        <v/>
      </c>
      <c r="T413" s="4" t="str">
        <f>IF($H413&lt;&gt;"",_xlfn.XLOOKUP(H413,Naturezas!B:B,Naturezas!E:E,"",0,1),"")</f>
        <v/>
      </c>
      <c r="U413" s="4" t="str">
        <f>IF($H413&lt;&gt;"",_xlfn.XLOOKUP($H413,Naturezas!B:B,Naturezas!D:D,"",0,1),"")</f>
        <v/>
      </c>
      <c r="V413" s="5" t="str">
        <f>IF(H413&lt;&gt;"",IF(OR(H413=Naturezas!$B$3,H413=Naturezas!$B$4,H413=Naturezas!$B$5,H413=Naturezas!$B$17,H413=Naturezas!$B$18,H413=Naturezas!$B$19),G413,-G413),"")</f>
        <v/>
      </c>
      <c r="W413" s="4" t="str">
        <f t="shared" si="40"/>
        <v/>
      </c>
      <c r="X413" s="4"/>
      <c r="Y413" s="4" t="str">
        <f t="shared" si="41"/>
        <v/>
      </c>
      <c r="Z413" s="6" t="str">
        <f>IF(H413&lt;&gt;"",Tabela1[[#This Row],[Iniciais]],"")</f>
        <v/>
      </c>
      <c r="AB413" s="6" t="str">
        <f>IF($H413&lt;&gt;"",RIGHT(Tabela1[[#This Row],[Ref.]],2),"")</f>
        <v/>
      </c>
      <c r="AC413" s="37" t="str">
        <f>IF($H413&lt;&gt;"",DATE(LEFT(Tabela1[[#This Row],[Ref.]],4),RIGHT(Tabela1[[#This Row],[Ref.]],2),1),"")</f>
        <v/>
      </c>
      <c r="AD413" s="4" t="str">
        <f t="shared" si="37"/>
        <v/>
      </c>
      <c r="AE413" s="5" t="str">
        <f t="shared" si="38"/>
        <v/>
      </c>
      <c r="AF413" s="4"/>
      <c r="AG413" s="6" t="str">
        <f t="shared" si="39"/>
        <v/>
      </c>
    </row>
    <row r="414" spans="1:33" ht="15.75" customHeight="1" x14ac:dyDescent="0.2">
      <c r="A414" s="35"/>
      <c r="B414" s="44"/>
      <c r="C414" s="35"/>
      <c r="D414" s="35"/>
      <c r="E414" s="48"/>
      <c r="F414" s="45"/>
      <c r="G414" s="38"/>
      <c r="H414" s="45"/>
      <c r="I414" s="45"/>
      <c r="L414" s="19"/>
      <c r="N414" s="25"/>
      <c r="O414" s="25"/>
      <c r="P414" s="27"/>
      <c r="R414" s="6" t="str">
        <f>IF($H414&lt;&gt;"",RIGHT(Tabela1[[#This Row],[Ref.]],2),"")</f>
        <v/>
      </c>
      <c r="S414" s="6" t="str">
        <f t="shared" si="36"/>
        <v/>
      </c>
      <c r="T414" s="4" t="str">
        <f>IF($H414&lt;&gt;"",_xlfn.XLOOKUP(H414,Naturezas!B:B,Naturezas!E:E,"",0,1),"")</f>
        <v/>
      </c>
      <c r="U414" s="4" t="str">
        <f>IF($H414&lt;&gt;"",_xlfn.XLOOKUP($H414,Naturezas!B:B,Naturezas!D:D,"",0,1),"")</f>
        <v/>
      </c>
      <c r="V414" s="5" t="str">
        <f>IF(H414&lt;&gt;"",IF(OR(H414=Naturezas!$B$3,H414=Naturezas!$B$4,H414=Naturezas!$B$5,H414=Naturezas!$B$17,H414=Naturezas!$B$18,H414=Naturezas!$B$19),G414,-G414),"")</f>
        <v/>
      </c>
      <c r="W414" s="4" t="str">
        <f t="shared" si="40"/>
        <v/>
      </c>
      <c r="X414" s="4"/>
      <c r="Y414" s="4" t="str">
        <f t="shared" si="41"/>
        <v/>
      </c>
      <c r="Z414" s="6" t="str">
        <f>IF(H414&lt;&gt;"",Tabela1[[#This Row],[Iniciais]],"")</f>
        <v/>
      </c>
      <c r="AB414" s="6" t="str">
        <f>IF($H414&lt;&gt;"",RIGHT(Tabela1[[#This Row],[Ref.]],2),"")</f>
        <v/>
      </c>
      <c r="AC414" s="37" t="str">
        <f>IF($H414&lt;&gt;"",DATE(LEFT(Tabela1[[#This Row],[Ref.]],4),RIGHT(Tabela1[[#This Row],[Ref.]],2),1),"")</f>
        <v/>
      </c>
      <c r="AD414" s="4" t="str">
        <f t="shared" si="37"/>
        <v/>
      </c>
      <c r="AE414" s="5" t="str">
        <f t="shared" si="38"/>
        <v/>
      </c>
      <c r="AF414" s="4"/>
      <c r="AG414" s="6" t="str">
        <f t="shared" si="39"/>
        <v/>
      </c>
    </row>
    <row r="415" spans="1:33" ht="15.75" customHeight="1" x14ac:dyDescent="0.2">
      <c r="A415" s="35"/>
      <c r="B415" s="44"/>
      <c r="C415" s="35"/>
      <c r="D415" s="35"/>
      <c r="E415" s="48"/>
      <c r="F415" s="45"/>
      <c r="G415" s="38"/>
      <c r="H415" s="45"/>
      <c r="I415" s="45"/>
      <c r="L415" s="19"/>
      <c r="N415" s="25"/>
      <c r="O415" s="25"/>
      <c r="P415" s="27"/>
      <c r="R415" s="6" t="str">
        <f>IF($H415&lt;&gt;"",RIGHT(Tabela1[[#This Row],[Ref.]],2),"")</f>
        <v/>
      </c>
      <c r="S415" s="6" t="str">
        <f t="shared" si="36"/>
        <v/>
      </c>
      <c r="T415" s="4" t="str">
        <f>IF($H415&lt;&gt;"",_xlfn.XLOOKUP(H415,Naturezas!B:B,Naturezas!E:E,"",0,1),"")</f>
        <v/>
      </c>
      <c r="U415" s="4" t="str">
        <f>IF($H415&lt;&gt;"",_xlfn.XLOOKUP($H415,Naturezas!B:B,Naturezas!D:D,"",0,1),"")</f>
        <v/>
      </c>
      <c r="V415" s="5" t="str">
        <f>IF(H415&lt;&gt;"",IF(OR(H415=Naturezas!$B$3,H415=Naturezas!$B$4,H415=Naturezas!$B$5,H415=Naturezas!$B$17,H415=Naturezas!$B$18,H415=Naturezas!$B$19),G415,-G415),"")</f>
        <v/>
      </c>
      <c r="W415" s="4" t="str">
        <f t="shared" si="40"/>
        <v/>
      </c>
      <c r="X415" s="4"/>
      <c r="Y415" s="4" t="str">
        <f t="shared" si="41"/>
        <v/>
      </c>
      <c r="Z415" s="6" t="str">
        <f>IF(H415&lt;&gt;"",Tabela1[[#This Row],[Iniciais]],"")</f>
        <v/>
      </c>
      <c r="AB415" s="6" t="str">
        <f>IF($H415&lt;&gt;"",RIGHT(Tabela1[[#This Row],[Ref.]],2),"")</f>
        <v/>
      </c>
      <c r="AC415" s="37" t="str">
        <f>IF($H415&lt;&gt;"",DATE(LEFT(Tabela1[[#This Row],[Ref.]],4),RIGHT(Tabela1[[#This Row],[Ref.]],2),1),"")</f>
        <v/>
      </c>
      <c r="AD415" s="4" t="str">
        <f t="shared" si="37"/>
        <v/>
      </c>
      <c r="AE415" s="5" t="str">
        <f t="shared" si="38"/>
        <v/>
      </c>
      <c r="AF415" s="4"/>
      <c r="AG415" s="6" t="str">
        <f t="shared" si="39"/>
        <v/>
      </c>
    </row>
    <row r="416" spans="1:33" ht="15.75" customHeight="1" x14ac:dyDescent="0.2">
      <c r="A416" s="35"/>
      <c r="B416" s="44"/>
      <c r="C416" s="35"/>
      <c r="D416" s="35"/>
      <c r="E416" s="48"/>
      <c r="F416" s="45"/>
      <c r="G416" s="38"/>
      <c r="H416" s="45"/>
      <c r="I416" s="45"/>
      <c r="L416" s="19"/>
      <c r="N416" s="25"/>
      <c r="O416" s="25"/>
      <c r="P416" s="27"/>
      <c r="R416" s="6" t="str">
        <f>IF($H416&lt;&gt;"",RIGHT(Tabela1[[#This Row],[Ref.]],2),"")</f>
        <v/>
      </c>
      <c r="S416" s="6" t="str">
        <f t="shared" si="36"/>
        <v/>
      </c>
      <c r="T416" s="4" t="str">
        <f>IF($H416&lt;&gt;"",_xlfn.XLOOKUP(H416,Naturezas!B:B,Naturezas!E:E,"",0,1),"")</f>
        <v/>
      </c>
      <c r="U416" s="4" t="str">
        <f>IF($H416&lt;&gt;"",_xlfn.XLOOKUP($H416,Naturezas!B:B,Naturezas!D:D,"",0,1),"")</f>
        <v/>
      </c>
      <c r="V416" s="5" t="str">
        <f>IF(H416&lt;&gt;"",IF(OR(H416=Naturezas!$B$3,H416=Naturezas!$B$4,H416=Naturezas!$B$5,H416=Naturezas!$B$17,H416=Naturezas!$B$18,H416=Naturezas!$B$19),G416,-G416),"")</f>
        <v/>
      </c>
      <c r="W416" s="4" t="str">
        <f t="shared" si="40"/>
        <v/>
      </c>
      <c r="X416" s="4"/>
      <c r="Y416" s="4" t="str">
        <f t="shared" si="41"/>
        <v/>
      </c>
      <c r="Z416" s="6" t="str">
        <f>IF(H416&lt;&gt;"",Tabela1[[#This Row],[Iniciais]],"")</f>
        <v/>
      </c>
      <c r="AB416" s="6" t="str">
        <f>IF($H416&lt;&gt;"",RIGHT(Tabela1[[#This Row],[Ref.]],2),"")</f>
        <v/>
      </c>
      <c r="AC416" s="37" t="str">
        <f>IF($H416&lt;&gt;"",DATE(LEFT(Tabela1[[#This Row],[Ref.]],4),RIGHT(Tabela1[[#This Row],[Ref.]],2),1),"")</f>
        <v/>
      </c>
      <c r="AD416" s="4" t="str">
        <f t="shared" si="37"/>
        <v/>
      </c>
      <c r="AE416" s="5" t="str">
        <f t="shared" si="38"/>
        <v/>
      </c>
      <c r="AF416" s="4"/>
      <c r="AG416" s="6" t="str">
        <f t="shared" si="39"/>
        <v/>
      </c>
    </row>
    <row r="417" spans="1:33" ht="15.75" customHeight="1" x14ac:dyDescent="0.2">
      <c r="A417" s="35"/>
      <c r="B417" s="44"/>
      <c r="C417" s="35"/>
      <c r="D417" s="35"/>
      <c r="E417" s="48"/>
      <c r="F417" s="45"/>
      <c r="G417" s="38"/>
      <c r="H417" s="45"/>
      <c r="I417" s="45"/>
      <c r="L417" s="19"/>
      <c r="N417" s="25"/>
      <c r="O417" s="25"/>
      <c r="P417" s="27"/>
      <c r="R417" s="6" t="str">
        <f>IF($H417&lt;&gt;"",RIGHT(Tabela1[[#This Row],[Ref.]],2),"")</f>
        <v/>
      </c>
      <c r="S417" s="6" t="str">
        <f t="shared" si="36"/>
        <v/>
      </c>
      <c r="T417" s="4" t="str">
        <f>IF($H417&lt;&gt;"",_xlfn.XLOOKUP(H417,Naturezas!B:B,Naturezas!E:E,"",0,1),"")</f>
        <v/>
      </c>
      <c r="U417" s="4" t="str">
        <f>IF($H417&lt;&gt;"",_xlfn.XLOOKUP($H417,Naturezas!B:B,Naturezas!D:D,"",0,1),"")</f>
        <v/>
      </c>
      <c r="V417" s="5" t="str">
        <f>IF(H417&lt;&gt;"",IF(OR(H417=Naturezas!$B$3,H417=Naturezas!$B$4,H417=Naturezas!$B$5,H417=Naturezas!$B$17,H417=Naturezas!$B$18,H417=Naturezas!$B$19),G417,-G417),"")</f>
        <v/>
      </c>
      <c r="W417" s="4" t="str">
        <f t="shared" si="40"/>
        <v/>
      </c>
      <c r="X417" s="4"/>
      <c r="Y417" s="4" t="str">
        <f t="shared" si="41"/>
        <v/>
      </c>
      <c r="Z417" s="6" t="str">
        <f>IF(H417&lt;&gt;"",Tabela1[[#This Row],[Iniciais]],"")</f>
        <v/>
      </c>
      <c r="AB417" s="6" t="str">
        <f>IF($H417&lt;&gt;"",RIGHT(Tabela1[[#This Row],[Ref.]],2),"")</f>
        <v/>
      </c>
      <c r="AC417" s="37" t="str">
        <f>IF($H417&lt;&gt;"",DATE(LEFT(Tabela1[[#This Row],[Ref.]],4),RIGHT(Tabela1[[#This Row],[Ref.]],2),1),"")</f>
        <v/>
      </c>
      <c r="AD417" s="4" t="str">
        <f t="shared" si="37"/>
        <v/>
      </c>
      <c r="AE417" s="5" t="str">
        <f t="shared" si="38"/>
        <v/>
      </c>
      <c r="AF417" s="4"/>
      <c r="AG417" s="6" t="str">
        <f t="shared" si="39"/>
        <v/>
      </c>
    </row>
    <row r="418" spans="1:33" ht="15.75" customHeight="1" x14ac:dyDescent="0.2">
      <c r="A418" s="35"/>
      <c r="B418" s="44"/>
      <c r="C418" s="35"/>
      <c r="D418" s="35"/>
      <c r="E418" s="48"/>
      <c r="F418" s="45"/>
      <c r="G418" s="38"/>
      <c r="H418" s="45"/>
      <c r="I418" s="45"/>
      <c r="L418" s="19"/>
      <c r="N418" s="25"/>
      <c r="O418" s="25"/>
      <c r="P418" s="27"/>
      <c r="R418" s="6" t="str">
        <f>IF($H418&lt;&gt;"",RIGHT(Tabela1[[#This Row],[Ref.]],2),"")</f>
        <v/>
      </c>
      <c r="S418" s="6" t="str">
        <f t="shared" si="36"/>
        <v/>
      </c>
      <c r="T418" s="4" t="str">
        <f>IF($H418&lt;&gt;"",_xlfn.XLOOKUP(H418,Naturezas!B:B,Naturezas!E:E,"",0,1),"")</f>
        <v/>
      </c>
      <c r="U418" s="4" t="str">
        <f>IF($H418&lt;&gt;"",_xlfn.XLOOKUP($H418,Naturezas!B:B,Naturezas!D:D,"",0,1),"")</f>
        <v/>
      </c>
      <c r="V418" s="5" t="str">
        <f>IF(H418&lt;&gt;"",IF(OR(H418=Naturezas!$B$3,H418=Naturezas!$B$4,H418=Naturezas!$B$5,H418=Naturezas!$B$17,H418=Naturezas!$B$18,H418=Naturezas!$B$19),G418,-G418),"")</f>
        <v/>
      </c>
      <c r="W418" s="4" t="str">
        <f t="shared" si="40"/>
        <v/>
      </c>
      <c r="X418" s="4"/>
      <c r="Y418" s="4" t="str">
        <f t="shared" si="41"/>
        <v/>
      </c>
      <c r="Z418" s="6" t="str">
        <f>IF(H418&lt;&gt;"",Tabela1[[#This Row],[Iniciais]],"")</f>
        <v/>
      </c>
      <c r="AB418" s="6" t="str">
        <f>IF($H418&lt;&gt;"",RIGHT(Tabela1[[#This Row],[Ref.]],2),"")</f>
        <v/>
      </c>
      <c r="AC418" s="37" t="str">
        <f>IF($H418&lt;&gt;"",DATE(LEFT(Tabela1[[#This Row],[Ref.]],4),RIGHT(Tabela1[[#This Row],[Ref.]],2),1),"")</f>
        <v/>
      </c>
      <c r="AD418" s="4" t="str">
        <f t="shared" si="37"/>
        <v/>
      </c>
      <c r="AE418" s="5" t="str">
        <f t="shared" si="38"/>
        <v/>
      </c>
      <c r="AF418" s="4"/>
      <c r="AG418" s="6" t="str">
        <f t="shared" si="39"/>
        <v/>
      </c>
    </row>
    <row r="419" spans="1:33" ht="15.75" customHeight="1" x14ac:dyDescent="0.2">
      <c r="A419" s="35"/>
      <c r="B419" s="44"/>
      <c r="C419" s="35"/>
      <c r="D419" s="35"/>
      <c r="E419" s="48"/>
      <c r="F419" s="45"/>
      <c r="G419" s="38"/>
      <c r="H419" s="45"/>
      <c r="I419" s="45"/>
      <c r="L419" s="19"/>
      <c r="N419" s="25"/>
      <c r="O419" s="25"/>
      <c r="P419" s="27"/>
      <c r="R419" s="6" t="str">
        <f>IF($H419&lt;&gt;"",RIGHT(Tabela1[[#This Row],[Ref.]],2),"")</f>
        <v/>
      </c>
      <c r="S419" s="6" t="str">
        <f t="shared" si="36"/>
        <v/>
      </c>
      <c r="T419" s="4" t="str">
        <f>IF($H419&lt;&gt;"",_xlfn.XLOOKUP(H419,Naturezas!B:B,Naturezas!E:E,"",0,1),"")</f>
        <v/>
      </c>
      <c r="U419" s="4" t="str">
        <f>IF($H419&lt;&gt;"",_xlfn.XLOOKUP($H419,Naturezas!B:B,Naturezas!D:D,"",0,1),"")</f>
        <v/>
      </c>
      <c r="V419" s="5" t="str">
        <f>IF(H419&lt;&gt;"",IF(OR(H419=Naturezas!$B$3,H419=Naturezas!$B$4,H419=Naturezas!$B$5,H419=Naturezas!$B$17,H419=Naturezas!$B$18,H419=Naturezas!$B$19),G419,-G419),"")</f>
        <v/>
      </c>
      <c r="W419" s="4" t="str">
        <f t="shared" si="40"/>
        <v/>
      </c>
      <c r="X419" s="4"/>
      <c r="Y419" s="4" t="str">
        <f t="shared" si="41"/>
        <v/>
      </c>
      <c r="Z419" s="6" t="str">
        <f>IF(H419&lt;&gt;"",Tabela1[[#This Row],[Iniciais]],"")</f>
        <v/>
      </c>
      <c r="AB419" s="6" t="str">
        <f>IF($H419&lt;&gt;"",RIGHT(Tabela1[[#This Row],[Ref.]],2),"")</f>
        <v/>
      </c>
      <c r="AC419" s="37" t="str">
        <f>IF($H419&lt;&gt;"",DATE(LEFT(Tabela1[[#This Row],[Ref.]],4),RIGHT(Tabela1[[#This Row],[Ref.]],2),1),"")</f>
        <v/>
      </c>
      <c r="AD419" s="4" t="str">
        <f t="shared" si="37"/>
        <v/>
      </c>
      <c r="AE419" s="5" t="str">
        <f t="shared" si="38"/>
        <v/>
      </c>
      <c r="AF419" s="4"/>
      <c r="AG419" s="6" t="str">
        <f t="shared" si="39"/>
        <v/>
      </c>
    </row>
    <row r="420" spans="1:33" ht="15.75" customHeight="1" x14ac:dyDescent="0.2">
      <c r="A420" s="35"/>
      <c r="B420" s="44"/>
      <c r="C420" s="35"/>
      <c r="D420" s="35"/>
      <c r="E420" s="48"/>
      <c r="F420" s="45"/>
      <c r="G420" s="38"/>
      <c r="H420" s="45"/>
      <c r="I420" s="45"/>
      <c r="L420" s="19"/>
      <c r="N420" s="25"/>
      <c r="O420" s="25"/>
      <c r="P420" s="27"/>
      <c r="R420" s="6" t="str">
        <f>IF($H420&lt;&gt;"",RIGHT(Tabela1[[#This Row],[Ref.]],2),"")</f>
        <v/>
      </c>
      <c r="S420" s="6" t="str">
        <f t="shared" si="36"/>
        <v/>
      </c>
      <c r="T420" s="4" t="str">
        <f>IF($H420&lt;&gt;"",_xlfn.XLOOKUP(H420,Naturezas!B:B,Naturezas!E:E,"",0,1),"")</f>
        <v/>
      </c>
      <c r="U420" s="4" t="str">
        <f>IF($H420&lt;&gt;"",_xlfn.XLOOKUP($H420,Naturezas!B:B,Naturezas!D:D,"",0,1),"")</f>
        <v/>
      </c>
      <c r="V420" s="5" t="str">
        <f>IF(H420&lt;&gt;"",IF(OR(H420=Naturezas!$B$3,H420=Naturezas!$B$4,H420=Naturezas!$B$5,H420=Naturezas!$B$17,H420=Naturezas!$B$18,H420=Naturezas!$B$19),G420,-G420),"")</f>
        <v/>
      </c>
      <c r="W420" s="4" t="str">
        <f t="shared" si="40"/>
        <v/>
      </c>
      <c r="X420" s="4"/>
      <c r="Y420" s="4" t="str">
        <f t="shared" si="41"/>
        <v/>
      </c>
      <c r="Z420" s="6" t="str">
        <f>IF(H420&lt;&gt;"",Tabela1[[#This Row],[Iniciais]],"")</f>
        <v/>
      </c>
      <c r="AB420" s="6" t="str">
        <f>IF($H420&lt;&gt;"",RIGHT(Tabela1[[#This Row],[Ref.]],2),"")</f>
        <v/>
      </c>
      <c r="AC420" s="37" t="str">
        <f>IF($H420&lt;&gt;"",DATE(LEFT(Tabela1[[#This Row],[Ref.]],4),RIGHT(Tabela1[[#This Row],[Ref.]],2),1),"")</f>
        <v/>
      </c>
      <c r="AD420" s="4" t="str">
        <f t="shared" si="37"/>
        <v/>
      </c>
      <c r="AE420" s="5" t="str">
        <f t="shared" si="38"/>
        <v/>
      </c>
      <c r="AF420" s="4"/>
      <c r="AG420" s="6" t="str">
        <f t="shared" si="39"/>
        <v/>
      </c>
    </row>
    <row r="421" spans="1:33" ht="15.75" customHeight="1" x14ac:dyDescent="0.2">
      <c r="A421" s="35"/>
      <c r="B421" s="44"/>
      <c r="C421" s="35"/>
      <c r="D421" s="35"/>
      <c r="E421" s="48"/>
      <c r="F421" s="45"/>
      <c r="G421" s="38"/>
      <c r="H421" s="45"/>
      <c r="I421" s="45"/>
      <c r="L421" s="19"/>
      <c r="N421" s="25"/>
      <c r="O421" s="25"/>
      <c r="P421" s="27"/>
      <c r="R421" s="6" t="str">
        <f>IF($H421&lt;&gt;"",RIGHT(Tabela1[[#This Row],[Ref.]],2),"")</f>
        <v/>
      </c>
      <c r="S421" s="6" t="str">
        <f t="shared" si="36"/>
        <v/>
      </c>
      <c r="T421" s="4" t="str">
        <f>IF($H421&lt;&gt;"",_xlfn.XLOOKUP(H421,Naturezas!B:B,Naturezas!E:E,"",0,1),"")</f>
        <v/>
      </c>
      <c r="U421" s="4" t="str">
        <f>IF($H421&lt;&gt;"",_xlfn.XLOOKUP($H421,Naturezas!B:B,Naturezas!D:D,"",0,1),"")</f>
        <v/>
      </c>
      <c r="V421" s="5" t="str">
        <f>IF(H421&lt;&gt;"",IF(OR(H421=Naturezas!$B$3,H421=Naturezas!$B$4,H421=Naturezas!$B$5,H421=Naturezas!$B$17,H421=Naturezas!$B$18,H421=Naturezas!$B$19),G421,-G421),"")</f>
        <v/>
      </c>
      <c r="W421" s="4" t="str">
        <f t="shared" si="40"/>
        <v/>
      </c>
      <c r="X421" s="4"/>
      <c r="Y421" s="4" t="str">
        <f t="shared" si="41"/>
        <v/>
      </c>
      <c r="Z421" s="6" t="str">
        <f>IF(H421&lt;&gt;"",Tabela1[[#This Row],[Iniciais]],"")</f>
        <v/>
      </c>
      <c r="AB421" s="6" t="str">
        <f>IF($H421&lt;&gt;"",RIGHT(Tabela1[[#This Row],[Ref.]],2),"")</f>
        <v/>
      </c>
      <c r="AC421" s="37" t="str">
        <f>IF($H421&lt;&gt;"",DATE(LEFT(Tabela1[[#This Row],[Ref.]],4),RIGHT(Tabela1[[#This Row],[Ref.]],2),1),"")</f>
        <v/>
      </c>
      <c r="AD421" s="4" t="str">
        <f t="shared" si="37"/>
        <v/>
      </c>
      <c r="AE421" s="5" t="str">
        <f t="shared" si="38"/>
        <v/>
      </c>
      <c r="AF421" s="4"/>
      <c r="AG421" s="6" t="str">
        <f t="shared" si="39"/>
        <v/>
      </c>
    </row>
    <row r="422" spans="1:33" ht="15.75" customHeight="1" x14ac:dyDescent="0.2">
      <c r="A422" s="35"/>
      <c r="B422" s="44"/>
      <c r="C422" s="35"/>
      <c r="D422" s="35"/>
      <c r="E422" s="48"/>
      <c r="F422" s="45"/>
      <c r="G422" s="38"/>
      <c r="H422" s="45"/>
      <c r="I422" s="45"/>
      <c r="L422" s="19"/>
      <c r="N422" s="25"/>
      <c r="O422" s="25"/>
      <c r="P422" s="27"/>
      <c r="R422" s="6" t="str">
        <f>IF($H422&lt;&gt;"",RIGHT(Tabela1[[#This Row],[Ref.]],2),"")</f>
        <v/>
      </c>
      <c r="S422" s="6" t="str">
        <f t="shared" si="36"/>
        <v/>
      </c>
      <c r="T422" s="4" t="str">
        <f>IF($H422&lt;&gt;"",_xlfn.XLOOKUP(H422,Naturezas!B:B,Naturezas!E:E,"",0,1),"")</f>
        <v/>
      </c>
      <c r="U422" s="4" t="str">
        <f>IF($H422&lt;&gt;"",_xlfn.XLOOKUP($H422,Naturezas!B:B,Naturezas!D:D,"",0,1),"")</f>
        <v/>
      </c>
      <c r="V422" s="5" t="str">
        <f>IF(H422&lt;&gt;"",IF(OR(H422=Naturezas!$B$3,H422=Naturezas!$B$4,H422=Naturezas!$B$5,H422=Naturezas!$B$17,H422=Naturezas!$B$18,H422=Naturezas!$B$19),G422,-G422),"")</f>
        <v/>
      </c>
      <c r="W422" s="4" t="str">
        <f t="shared" si="40"/>
        <v/>
      </c>
      <c r="X422" s="4"/>
      <c r="Y422" s="4" t="str">
        <f t="shared" si="41"/>
        <v/>
      </c>
      <c r="Z422" s="6" t="str">
        <f>IF(H422&lt;&gt;"",Tabela1[[#This Row],[Iniciais]],"")</f>
        <v/>
      </c>
      <c r="AB422" s="6" t="str">
        <f>IF($H422&lt;&gt;"",RIGHT(Tabela1[[#This Row],[Ref.]],2),"")</f>
        <v/>
      </c>
      <c r="AC422" s="37" t="str">
        <f>IF($H422&lt;&gt;"",DATE(LEFT(Tabela1[[#This Row],[Ref.]],4),RIGHT(Tabela1[[#This Row],[Ref.]],2),1),"")</f>
        <v/>
      </c>
      <c r="AD422" s="4" t="str">
        <f t="shared" si="37"/>
        <v/>
      </c>
      <c r="AE422" s="5" t="str">
        <f t="shared" si="38"/>
        <v/>
      </c>
      <c r="AF422" s="4"/>
      <c r="AG422" s="6" t="str">
        <f t="shared" si="39"/>
        <v/>
      </c>
    </row>
    <row r="423" spans="1:33" ht="15.75" customHeight="1" x14ac:dyDescent="0.2">
      <c r="A423" s="35"/>
      <c r="B423" s="44"/>
      <c r="C423" s="35"/>
      <c r="D423" s="35"/>
      <c r="E423" s="48"/>
      <c r="F423" s="45"/>
      <c r="G423" s="38"/>
      <c r="H423" s="45"/>
      <c r="I423" s="45"/>
      <c r="L423" s="19"/>
      <c r="N423" s="25"/>
      <c r="O423" s="25"/>
      <c r="P423" s="27"/>
      <c r="R423" s="6" t="str">
        <f>IF($H423&lt;&gt;"",RIGHT(Tabela1[[#This Row],[Ref.]],2),"")</f>
        <v/>
      </c>
      <c r="S423" s="6" t="str">
        <f t="shared" si="36"/>
        <v/>
      </c>
      <c r="T423" s="4" t="str">
        <f>IF($H423&lt;&gt;"",_xlfn.XLOOKUP(H423,Naturezas!B:B,Naturezas!E:E,"",0,1),"")</f>
        <v/>
      </c>
      <c r="U423" s="4" t="str">
        <f>IF($H423&lt;&gt;"",_xlfn.XLOOKUP($H423,Naturezas!B:B,Naturezas!D:D,"",0,1),"")</f>
        <v/>
      </c>
      <c r="V423" s="5" t="str">
        <f>IF(H423&lt;&gt;"",IF(OR(H423=Naturezas!$B$3,H423=Naturezas!$B$4,H423=Naturezas!$B$5,H423=Naturezas!$B$17,H423=Naturezas!$B$18,H423=Naturezas!$B$19),G423,-G423),"")</f>
        <v/>
      </c>
      <c r="W423" s="4" t="str">
        <f t="shared" si="40"/>
        <v/>
      </c>
      <c r="X423" s="4"/>
      <c r="Y423" s="4" t="str">
        <f t="shared" si="41"/>
        <v/>
      </c>
      <c r="Z423" s="6" t="str">
        <f>IF(H423&lt;&gt;"",Tabela1[[#This Row],[Iniciais]],"")</f>
        <v/>
      </c>
      <c r="AB423" s="6" t="str">
        <f>IF($H423&lt;&gt;"",RIGHT(Tabela1[[#This Row],[Ref.]],2),"")</f>
        <v/>
      </c>
      <c r="AC423" s="37" t="str">
        <f>IF($H423&lt;&gt;"",DATE(LEFT(Tabela1[[#This Row],[Ref.]],4),RIGHT(Tabela1[[#This Row],[Ref.]],2),1),"")</f>
        <v/>
      </c>
      <c r="AD423" s="4" t="str">
        <f t="shared" si="37"/>
        <v/>
      </c>
      <c r="AE423" s="5" t="str">
        <f t="shared" si="38"/>
        <v/>
      </c>
      <c r="AF423" s="4"/>
      <c r="AG423" s="6" t="str">
        <f t="shared" si="39"/>
        <v/>
      </c>
    </row>
    <row r="424" spans="1:33" ht="15.75" customHeight="1" x14ac:dyDescent="0.2">
      <c r="A424" s="35"/>
      <c r="B424" s="44"/>
      <c r="C424" s="35"/>
      <c r="D424" s="35"/>
      <c r="E424" s="48"/>
      <c r="F424" s="45"/>
      <c r="G424" s="38"/>
      <c r="H424" s="45"/>
      <c r="I424" s="45"/>
      <c r="L424" s="19"/>
      <c r="N424" s="25"/>
      <c r="O424" s="25"/>
      <c r="P424" s="27"/>
      <c r="R424" s="6" t="str">
        <f>IF($H424&lt;&gt;"",RIGHT(Tabela1[[#This Row],[Ref.]],2),"")</f>
        <v/>
      </c>
      <c r="S424" s="6" t="str">
        <f t="shared" si="36"/>
        <v/>
      </c>
      <c r="T424" s="4" t="str">
        <f>IF($H424&lt;&gt;"",_xlfn.XLOOKUP(H424,Naturezas!B:B,Naturezas!E:E,"",0,1),"")</f>
        <v/>
      </c>
      <c r="U424" s="4" t="str">
        <f>IF($H424&lt;&gt;"",_xlfn.XLOOKUP($H424,Naturezas!B:B,Naturezas!D:D,"",0,1),"")</f>
        <v/>
      </c>
      <c r="V424" s="5" t="str">
        <f>IF(H424&lt;&gt;"",IF(OR(H424=Naturezas!$B$3,H424=Naturezas!$B$4,H424=Naturezas!$B$5,H424=Naturezas!$B$17,H424=Naturezas!$B$18,H424=Naturezas!$B$19),G424,-G424),"")</f>
        <v/>
      </c>
      <c r="W424" s="4" t="str">
        <f t="shared" si="40"/>
        <v/>
      </c>
      <c r="X424" s="4"/>
      <c r="Y424" s="4" t="str">
        <f t="shared" si="41"/>
        <v/>
      </c>
      <c r="Z424" s="6" t="str">
        <f>IF(H424&lt;&gt;"",Tabela1[[#This Row],[Iniciais]],"")</f>
        <v/>
      </c>
      <c r="AB424" s="6" t="str">
        <f>IF($H424&lt;&gt;"",RIGHT(Tabela1[[#This Row],[Ref.]],2),"")</f>
        <v/>
      </c>
      <c r="AC424" s="37" t="str">
        <f>IF($H424&lt;&gt;"",DATE(LEFT(Tabela1[[#This Row],[Ref.]],4),RIGHT(Tabela1[[#This Row],[Ref.]],2),1),"")</f>
        <v/>
      </c>
      <c r="AD424" s="4" t="str">
        <f t="shared" si="37"/>
        <v/>
      </c>
      <c r="AE424" s="5" t="str">
        <f t="shared" si="38"/>
        <v/>
      </c>
      <c r="AF424" s="4"/>
      <c r="AG424" s="6" t="str">
        <f t="shared" si="39"/>
        <v/>
      </c>
    </row>
    <row r="425" spans="1:33" ht="15.75" customHeight="1" x14ac:dyDescent="0.2">
      <c r="A425" s="35"/>
      <c r="B425" s="44"/>
      <c r="C425" s="35"/>
      <c r="D425" s="35"/>
      <c r="E425" s="48"/>
      <c r="F425" s="45"/>
      <c r="G425" s="38"/>
      <c r="H425" s="45"/>
      <c r="I425" s="45"/>
      <c r="L425" s="19"/>
      <c r="N425" s="25"/>
      <c r="O425" s="25"/>
      <c r="P425" s="27"/>
      <c r="R425" s="6" t="str">
        <f>IF($H425&lt;&gt;"",RIGHT(Tabela1[[#This Row],[Ref.]],2),"")</f>
        <v/>
      </c>
      <c r="S425" s="6" t="str">
        <f t="shared" si="36"/>
        <v/>
      </c>
      <c r="T425" s="4" t="str">
        <f>IF($H425&lt;&gt;"",_xlfn.XLOOKUP(H425,Naturezas!B:B,Naturezas!E:E,"",0,1),"")</f>
        <v/>
      </c>
      <c r="U425" s="4" t="str">
        <f>IF($H425&lt;&gt;"",_xlfn.XLOOKUP($H425,Naturezas!B:B,Naturezas!D:D,"",0,1),"")</f>
        <v/>
      </c>
      <c r="V425" s="5" t="str">
        <f>IF(H425&lt;&gt;"",IF(OR(H425=Naturezas!$B$3,H425=Naturezas!$B$4,H425=Naturezas!$B$5,H425=Naturezas!$B$17,H425=Naturezas!$B$18,H425=Naturezas!$B$19),G425,-G425),"")</f>
        <v/>
      </c>
      <c r="W425" s="4" t="str">
        <f t="shared" si="40"/>
        <v/>
      </c>
      <c r="X425" s="4"/>
      <c r="Y425" s="4" t="str">
        <f t="shared" si="41"/>
        <v/>
      </c>
      <c r="Z425" s="6" t="str">
        <f>IF(H425&lt;&gt;"",Tabela1[[#This Row],[Iniciais]],"")</f>
        <v/>
      </c>
      <c r="AB425" s="6" t="str">
        <f>IF($H425&lt;&gt;"",RIGHT(Tabela1[[#This Row],[Ref.]],2),"")</f>
        <v/>
      </c>
      <c r="AC425" s="37" t="str">
        <f>IF($H425&lt;&gt;"",DATE(LEFT(Tabela1[[#This Row],[Ref.]],4),RIGHT(Tabela1[[#This Row],[Ref.]],2),1),"")</f>
        <v/>
      </c>
      <c r="AD425" s="4" t="str">
        <f t="shared" si="37"/>
        <v/>
      </c>
      <c r="AE425" s="5" t="str">
        <f t="shared" si="38"/>
        <v/>
      </c>
      <c r="AF425" s="4"/>
      <c r="AG425" s="6" t="str">
        <f t="shared" si="39"/>
        <v/>
      </c>
    </row>
    <row r="426" spans="1:33" ht="15.75" customHeight="1" x14ac:dyDescent="0.2">
      <c r="A426" s="35"/>
      <c r="B426" s="44"/>
      <c r="C426" s="35"/>
      <c r="D426" s="35"/>
      <c r="E426" s="48"/>
      <c r="F426" s="45"/>
      <c r="G426" s="38"/>
      <c r="H426" s="45"/>
      <c r="I426" s="45"/>
      <c r="L426" s="19"/>
      <c r="N426" s="25"/>
      <c r="O426" s="25"/>
      <c r="P426" s="27"/>
      <c r="R426" s="6" t="str">
        <f>IF($H426&lt;&gt;"",RIGHT(Tabela1[[#This Row],[Ref.]],2),"")</f>
        <v/>
      </c>
      <c r="S426" s="6" t="str">
        <f t="shared" si="36"/>
        <v/>
      </c>
      <c r="T426" s="4" t="str">
        <f>IF($H426&lt;&gt;"",_xlfn.XLOOKUP(H426,Naturezas!B:B,Naturezas!E:E,"",0,1),"")</f>
        <v/>
      </c>
      <c r="U426" s="4" t="str">
        <f>IF($H426&lt;&gt;"",_xlfn.XLOOKUP($H426,Naturezas!B:B,Naturezas!D:D,"",0,1),"")</f>
        <v/>
      </c>
      <c r="V426" s="5" t="str">
        <f>IF(H426&lt;&gt;"",IF(OR(H426=Naturezas!$B$3,H426=Naturezas!$B$4,H426=Naturezas!$B$5,H426=Naturezas!$B$17,H426=Naturezas!$B$18,H426=Naturezas!$B$19),G426,-G426),"")</f>
        <v/>
      </c>
      <c r="W426" s="4" t="str">
        <f t="shared" si="40"/>
        <v/>
      </c>
      <c r="X426" s="4"/>
      <c r="Y426" s="4" t="str">
        <f t="shared" si="41"/>
        <v/>
      </c>
      <c r="Z426" s="6" t="str">
        <f>IF(H426&lt;&gt;"",Tabela1[[#This Row],[Iniciais]],"")</f>
        <v/>
      </c>
      <c r="AB426" s="6" t="str">
        <f>IF($H426&lt;&gt;"",RIGHT(Tabela1[[#This Row],[Ref.]],2),"")</f>
        <v/>
      </c>
      <c r="AC426" s="37" t="str">
        <f>IF($H426&lt;&gt;"",DATE(LEFT(Tabela1[[#This Row],[Ref.]],4),RIGHT(Tabela1[[#This Row],[Ref.]],2),1),"")</f>
        <v/>
      </c>
      <c r="AD426" s="4" t="str">
        <f t="shared" si="37"/>
        <v/>
      </c>
      <c r="AE426" s="5" t="str">
        <f t="shared" si="38"/>
        <v/>
      </c>
      <c r="AF426" s="4"/>
      <c r="AG426" s="6" t="str">
        <f t="shared" si="39"/>
        <v/>
      </c>
    </row>
    <row r="427" spans="1:33" ht="15.75" customHeight="1" x14ac:dyDescent="0.2">
      <c r="A427" s="35"/>
      <c r="B427" s="44"/>
      <c r="C427" s="35"/>
      <c r="D427" s="35"/>
      <c r="E427" s="48"/>
      <c r="F427" s="45"/>
      <c r="G427" s="38"/>
      <c r="H427" s="45"/>
      <c r="I427" s="45"/>
      <c r="L427" s="19"/>
      <c r="N427" s="25"/>
      <c r="O427" s="25"/>
      <c r="P427" s="27"/>
      <c r="R427" s="6" t="str">
        <f>IF($H427&lt;&gt;"",RIGHT(Tabela1[[#This Row],[Ref.]],2),"")</f>
        <v/>
      </c>
      <c r="S427" s="6" t="str">
        <f t="shared" si="36"/>
        <v/>
      </c>
      <c r="T427" s="4" t="str">
        <f>IF($H427&lt;&gt;"",_xlfn.XLOOKUP(H427,Naturezas!B:B,Naturezas!E:E,"",0,1),"")</f>
        <v/>
      </c>
      <c r="U427" s="4" t="str">
        <f>IF($H427&lt;&gt;"",_xlfn.XLOOKUP($H427,Naturezas!B:B,Naturezas!D:D,"",0,1),"")</f>
        <v/>
      </c>
      <c r="V427" s="5" t="str">
        <f>IF(H427&lt;&gt;"",IF(OR(H427=Naturezas!$B$3,H427=Naturezas!$B$4,H427=Naturezas!$B$5,H427=Naturezas!$B$17,H427=Naturezas!$B$18,H427=Naturezas!$B$19),G427,-G427),"")</f>
        <v/>
      </c>
      <c r="W427" s="4" t="str">
        <f t="shared" si="40"/>
        <v/>
      </c>
      <c r="X427" s="4"/>
      <c r="Y427" s="4" t="str">
        <f t="shared" si="41"/>
        <v/>
      </c>
      <c r="Z427" s="6" t="str">
        <f>IF(H427&lt;&gt;"",Tabela1[[#This Row],[Iniciais]],"")</f>
        <v/>
      </c>
      <c r="AB427" s="6" t="str">
        <f>IF($H427&lt;&gt;"",RIGHT(Tabela1[[#This Row],[Ref.]],2),"")</f>
        <v/>
      </c>
      <c r="AC427" s="37" t="str">
        <f>IF($H427&lt;&gt;"",DATE(LEFT(Tabela1[[#This Row],[Ref.]],4),RIGHT(Tabela1[[#This Row],[Ref.]],2),1),"")</f>
        <v/>
      </c>
      <c r="AD427" s="4" t="str">
        <f t="shared" si="37"/>
        <v/>
      </c>
      <c r="AE427" s="5" t="str">
        <f t="shared" si="38"/>
        <v/>
      </c>
      <c r="AF427" s="4"/>
      <c r="AG427" s="6" t="str">
        <f t="shared" si="39"/>
        <v/>
      </c>
    </row>
    <row r="428" spans="1:33" ht="15.75" customHeight="1" x14ac:dyDescent="0.2">
      <c r="A428" s="35"/>
      <c r="B428" s="44"/>
      <c r="C428" s="35"/>
      <c r="D428" s="35"/>
      <c r="E428" s="48"/>
      <c r="F428" s="45"/>
      <c r="G428" s="38"/>
      <c r="H428" s="45"/>
      <c r="I428" s="45"/>
      <c r="L428" s="19"/>
      <c r="N428" s="25"/>
      <c r="O428" s="25"/>
      <c r="P428" s="27"/>
      <c r="R428" s="6" t="str">
        <f>IF($H428&lt;&gt;"",RIGHT(Tabela1[[#This Row],[Ref.]],2),"")</f>
        <v/>
      </c>
      <c r="S428" s="6" t="str">
        <f t="shared" si="36"/>
        <v/>
      </c>
      <c r="T428" s="4" t="str">
        <f>IF($H428&lt;&gt;"",_xlfn.XLOOKUP(H428,Naturezas!B:B,Naturezas!E:E,"",0,1),"")</f>
        <v/>
      </c>
      <c r="U428" s="4" t="str">
        <f>IF($H428&lt;&gt;"",_xlfn.XLOOKUP($H428,Naturezas!B:B,Naturezas!D:D,"",0,1),"")</f>
        <v/>
      </c>
      <c r="V428" s="5" t="str">
        <f>IF(H428&lt;&gt;"",IF(OR(H428=Naturezas!$B$3,H428=Naturezas!$B$4,H428=Naturezas!$B$5,H428=Naturezas!$B$17,H428=Naturezas!$B$18,H428=Naturezas!$B$19),G428,-G428),"")</f>
        <v/>
      </c>
      <c r="W428" s="4" t="str">
        <f t="shared" si="40"/>
        <v/>
      </c>
      <c r="X428" s="4"/>
      <c r="Y428" s="4" t="str">
        <f t="shared" si="41"/>
        <v/>
      </c>
      <c r="Z428" s="6" t="str">
        <f>IF(H428&lt;&gt;"",Tabela1[[#This Row],[Iniciais]],"")</f>
        <v/>
      </c>
      <c r="AB428" s="6" t="str">
        <f>IF($H428&lt;&gt;"",RIGHT(Tabela1[[#This Row],[Ref.]],2),"")</f>
        <v/>
      </c>
      <c r="AC428" s="37" t="str">
        <f>IF($H428&lt;&gt;"",DATE(LEFT(Tabela1[[#This Row],[Ref.]],4),RIGHT(Tabela1[[#This Row],[Ref.]],2),1),"")</f>
        <v/>
      </c>
      <c r="AD428" s="4" t="str">
        <f t="shared" si="37"/>
        <v/>
      </c>
      <c r="AE428" s="5" t="str">
        <f t="shared" si="38"/>
        <v/>
      </c>
      <c r="AF428" s="4"/>
      <c r="AG428" s="6" t="str">
        <f t="shared" si="39"/>
        <v/>
      </c>
    </row>
    <row r="429" spans="1:33" ht="15.75" customHeight="1" x14ac:dyDescent="0.2">
      <c r="A429" s="35"/>
      <c r="B429" s="44"/>
      <c r="C429" s="35"/>
      <c r="D429" s="35"/>
      <c r="E429" s="48"/>
      <c r="F429" s="45"/>
      <c r="G429" s="38"/>
      <c r="H429" s="45"/>
      <c r="I429" s="45"/>
      <c r="L429" s="19"/>
      <c r="N429" s="25"/>
      <c r="O429" s="25"/>
      <c r="P429" s="27"/>
      <c r="R429" s="6" t="str">
        <f>IF($H429&lt;&gt;"",RIGHT(Tabela1[[#This Row],[Ref.]],2),"")</f>
        <v/>
      </c>
      <c r="S429" s="6" t="str">
        <f t="shared" si="36"/>
        <v/>
      </c>
      <c r="T429" s="4" t="str">
        <f>IF($H429&lt;&gt;"",_xlfn.XLOOKUP(H429,Naturezas!B:B,Naturezas!E:E,"",0,1),"")</f>
        <v/>
      </c>
      <c r="U429" s="4" t="str">
        <f>IF($H429&lt;&gt;"",_xlfn.XLOOKUP($H429,Naturezas!B:B,Naturezas!D:D,"",0,1),"")</f>
        <v/>
      </c>
      <c r="V429" s="5" t="str">
        <f>IF(H429&lt;&gt;"",IF(OR(H429=Naturezas!$B$3,H429=Naturezas!$B$4,H429=Naturezas!$B$5,H429=Naturezas!$B$17,H429=Naturezas!$B$18,H429=Naturezas!$B$19),G429,-G429),"")</f>
        <v/>
      </c>
      <c r="W429" s="4" t="str">
        <f t="shared" si="40"/>
        <v/>
      </c>
      <c r="X429" s="4"/>
      <c r="Y429" s="4" t="str">
        <f t="shared" si="41"/>
        <v/>
      </c>
      <c r="Z429" s="6" t="str">
        <f>IF(H429&lt;&gt;"",Tabela1[[#This Row],[Iniciais]],"")</f>
        <v/>
      </c>
      <c r="AB429" s="6" t="str">
        <f>IF($H429&lt;&gt;"",RIGHT(Tabela1[[#This Row],[Ref.]],2),"")</f>
        <v/>
      </c>
      <c r="AC429" s="37" t="str">
        <f>IF($H429&lt;&gt;"",DATE(LEFT(Tabela1[[#This Row],[Ref.]],4),RIGHT(Tabela1[[#This Row],[Ref.]],2),1),"")</f>
        <v/>
      </c>
      <c r="AD429" s="4" t="str">
        <f t="shared" si="37"/>
        <v/>
      </c>
      <c r="AE429" s="5" t="str">
        <f t="shared" si="38"/>
        <v/>
      </c>
      <c r="AF429" s="4"/>
      <c r="AG429" s="6" t="str">
        <f t="shared" si="39"/>
        <v/>
      </c>
    </row>
    <row r="430" spans="1:33" ht="15.75" customHeight="1" x14ac:dyDescent="0.2">
      <c r="A430" s="35"/>
      <c r="B430" s="44"/>
      <c r="C430" s="35"/>
      <c r="D430" s="35"/>
      <c r="E430" s="48"/>
      <c r="F430" s="45"/>
      <c r="G430" s="38"/>
      <c r="H430" s="45"/>
      <c r="I430" s="45"/>
      <c r="L430" s="19"/>
      <c r="N430" s="25"/>
      <c r="O430" s="25"/>
      <c r="P430" s="27"/>
      <c r="R430" s="6" t="str">
        <f>IF($H430&lt;&gt;"",RIGHT(Tabela1[[#This Row],[Ref.]],2),"")</f>
        <v/>
      </c>
      <c r="S430" s="6" t="str">
        <f t="shared" si="36"/>
        <v/>
      </c>
      <c r="T430" s="4" t="str">
        <f>IF($H430&lt;&gt;"",_xlfn.XLOOKUP(H430,Naturezas!B:B,Naturezas!E:E,"",0,1),"")</f>
        <v/>
      </c>
      <c r="U430" s="4" t="str">
        <f>IF($H430&lt;&gt;"",_xlfn.XLOOKUP($H430,Naturezas!B:B,Naturezas!D:D,"",0,1),"")</f>
        <v/>
      </c>
      <c r="V430" s="5" t="str">
        <f>IF(H430&lt;&gt;"",IF(OR(H430=Naturezas!$B$3,H430=Naturezas!$B$4,H430=Naturezas!$B$5,H430=Naturezas!$B$17,H430=Naturezas!$B$18,H430=Naturezas!$B$19),G430,-G430),"")</f>
        <v/>
      </c>
      <c r="W430" s="4" t="str">
        <f t="shared" si="40"/>
        <v/>
      </c>
      <c r="X430" s="4"/>
      <c r="Y430" s="4" t="str">
        <f t="shared" si="41"/>
        <v/>
      </c>
      <c r="Z430" s="6" t="str">
        <f>IF(H430&lt;&gt;"",Tabela1[[#This Row],[Iniciais]],"")</f>
        <v/>
      </c>
      <c r="AB430" s="6" t="str">
        <f>IF($H430&lt;&gt;"",RIGHT(Tabela1[[#This Row],[Ref.]],2),"")</f>
        <v/>
      </c>
      <c r="AC430" s="37" t="str">
        <f>IF($H430&lt;&gt;"",DATE(LEFT(Tabela1[[#This Row],[Ref.]],4),RIGHT(Tabela1[[#This Row],[Ref.]],2),1),"")</f>
        <v/>
      </c>
      <c r="AD430" s="4" t="str">
        <f t="shared" si="37"/>
        <v/>
      </c>
      <c r="AE430" s="5" t="str">
        <f t="shared" si="38"/>
        <v/>
      </c>
      <c r="AF430" s="4"/>
      <c r="AG430" s="6" t="str">
        <f t="shared" si="39"/>
        <v/>
      </c>
    </row>
    <row r="431" spans="1:33" ht="15.75" customHeight="1" x14ac:dyDescent="0.2">
      <c r="A431" s="35"/>
      <c r="B431" s="44"/>
      <c r="C431" s="35"/>
      <c r="D431" s="35"/>
      <c r="E431" s="48"/>
      <c r="F431" s="45"/>
      <c r="G431" s="38"/>
      <c r="H431" s="45"/>
      <c r="I431" s="45"/>
      <c r="L431" s="19"/>
      <c r="N431" s="25"/>
      <c r="O431" s="25"/>
      <c r="P431" s="27"/>
      <c r="R431" s="6" t="str">
        <f>IF($H431&lt;&gt;"",RIGHT(Tabela1[[#This Row],[Ref.]],2),"")</f>
        <v/>
      </c>
      <c r="S431" s="6" t="str">
        <f t="shared" si="36"/>
        <v/>
      </c>
      <c r="T431" s="4" t="str">
        <f>IF($H431&lt;&gt;"",_xlfn.XLOOKUP(H431,Naturezas!B:B,Naturezas!E:E,"",0,1),"")</f>
        <v/>
      </c>
      <c r="U431" s="4" t="str">
        <f>IF($H431&lt;&gt;"",_xlfn.XLOOKUP($H431,Naturezas!B:B,Naturezas!D:D,"",0,1),"")</f>
        <v/>
      </c>
      <c r="V431" s="5" t="str">
        <f>IF(H431&lt;&gt;"",IF(OR(H431=Naturezas!$B$3,H431=Naturezas!$B$4,H431=Naturezas!$B$5,H431=Naturezas!$B$17,H431=Naturezas!$B$18,H431=Naturezas!$B$19),G431,-G431),"")</f>
        <v/>
      </c>
      <c r="W431" s="4" t="str">
        <f t="shared" si="40"/>
        <v/>
      </c>
      <c r="X431" s="4"/>
      <c r="Y431" s="4" t="str">
        <f t="shared" si="41"/>
        <v/>
      </c>
      <c r="Z431" s="6" t="str">
        <f>IF(H431&lt;&gt;"",Tabela1[[#This Row],[Iniciais]],"")</f>
        <v/>
      </c>
      <c r="AB431" s="6" t="str">
        <f>IF($H431&lt;&gt;"",RIGHT(Tabela1[[#This Row],[Ref.]],2),"")</f>
        <v/>
      </c>
      <c r="AC431" s="37" t="str">
        <f>IF($H431&lt;&gt;"",DATE(LEFT(Tabela1[[#This Row],[Ref.]],4),RIGHT(Tabela1[[#This Row],[Ref.]],2),1),"")</f>
        <v/>
      </c>
      <c r="AD431" s="4" t="str">
        <f t="shared" si="37"/>
        <v/>
      </c>
      <c r="AE431" s="5" t="str">
        <f t="shared" si="38"/>
        <v/>
      </c>
      <c r="AF431" s="4"/>
      <c r="AG431" s="6" t="str">
        <f t="shared" si="39"/>
        <v/>
      </c>
    </row>
    <row r="432" spans="1:33" ht="15.75" customHeight="1" x14ac:dyDescent="0.2">
      <c r="A432" s="35"/>
      <c r="B432" s="44"/>
      <c r="C432" s="35"/>
      <c r="D432" s="35"/>
      <c r="E432" s="48"/>
      <c r="F432" s="45"/>
      <c r="G432" s="38"/>
      <c r="H432" s="45"/>
      <c r="I432" s="45"/>
      <c r="L432" s="19"/>
      <c r="N432" s="25"/>
      <c r="O432" s="25"/>
      <c r="P432" s="27"/>
      <c r="R432" s="6" t="str">
        <f>IF($H432&lt;&gt;"",RIGHT(Tabela1[[#This Row],[Ref.]],2),"")</f>
        <v/>
      </c>
      <c r="S432" s="6" t="str">
        <f t="shared" si="36"/>
        <v/>
      </c>
      <c r="T432" s="4" t="str">
        <f>IF($H432&lt;&gt;"",_xlfn.XLOOKUP(H432,Naturezas!B:B,Naturezas!E:E,"",0,1),"")</f>
        <v/>
      </c>
      <c r="U432" s="4" t="str">
        <f>IF($H432&lt;&gt;"",_xlfn.XLOOKUP($H432,Naturezas!B:B,Naturezas!D:D,"",0,1),"")</f>
        <v/>
      </c>
      <c r="V432" s="5" t="str">
        <f>IF(H432&lt;&gt;"",IF(OR(H432=Naturezas!$B$3,H432=Naturezas!$B$4,H432=Naturezas!$B$5,H432=Naturezas!$B$17,H432=Naturezas!$B$18,H432=Naturezas!$B$19),G432,-G432),"")</f>
        <v/>
      </c>
      <c r="W432" s="4" t="str">
        <f t="shared" si="40"/>
        <v/>
      </c>
      <c r="X432" s="4"/>
      <c r="Y432" s="4" t="str">
        <f t="shared" si="41"/>
        <v/>
      </c>
      <c r="Z432" s="6" t="str">
        <f>IF(H432&lt;&gt;"",Tabela1[[#This Row],[Iniciais]],"")</f>
        <v/>
      </c>
      <c r="AB432" s="6" t="str">
        <f>IF($H432&lt;&gt;"",RIGHT(Tabela1[[#This Row],[Ref.]],2),"")</f>
        <v/>
      </c>
      <c r="AC432" s="37" t="str">
        <f>IF($H432&lt;&gt;"",DATE(LEFT(Tabela1[[#This Row],[Ref.]],4),RIGHT(Tabela1[[#This Row],[Ref.]],2),1),"")</f>
        <v/>
      </c>
      <c r="AD432" s="4" t="str">
        <f t="shared" si="37"/>
        <v/>
      </c>
      <c r="AE432" s="5" t="str">
        <f t="shared" si="38"/>
        <v/>
      </c>
      <c r="AF432" s="4"/>
      <c r="AG432" s="6" t="str">
        <f t="shared" si="39"/>
        <v/>
      </c>
    </row>
    <row r="433" spans="1:33" ht="15.75" customHeight="1" x14ac:dyDescent="0.2">
      <c r="A433" s="35"/>
      <c r="B433" s="44"/>
      <c r="C433" s="35"/>
      <c r="D433" s="35"/>
      <c r="E433" s="48"/>
      <c r="F433" s="45"/>
      <c r="G433" s="38"/>
      <c r="H433" s="45"/>
      <c r="I433" s="45"/>
      <c r="L433" s="19"/>
      <c r="N433" s="25"/>
      <c r="O433" s="25"/>
      <c r="P433" s="27"/>
      <c r="R433" s="6" t="str">
        <f>IF($H433&lt;&gt;"",RIGHT(Tabela1[[#This Row],[Ref.]],2),"")</f>
        <v/>
      </c>
      <c r="S433" s="6" t="str">
        <f t="shared" si="36"/>
        <v/>
      </c>
      <c r="T433" s="4" t="str">
        <f>IF($H433&lt;&gt;"",_xlfn.XLOOKUP(H433,Naturezas!B:B,Naturezas!E:E,"",0,1),"")</f>
        <v/>
      </c>
      <c r="U433" s="4" t="str">
        <f>IF($H433&lt;&gt;"",_xlfn.XLOOKUP($H433,Naturezas!B:B,Naturezas!D:D,"",0,1),"")</f>
        <v/>
      </c>
      <c r="V433" s="5" t="str">
        <f>IF(H433&lt;&gt;"",IF(OR(H433=Naturezas!$B$3,H433=Naturezas!$B$4,H433=Naturezas!$B$5,H433=Naturezas!$B$17,H433=Naturezas!$B$18,H433=Naturezas!$B$19),G433,-G433),"")</f>
        <v/>
      </c>
      <c r="W433" s="4" t="str">
        <f t="shared" si="40"/>
        <v/>
      </c>
      <c r="X433" s="4"/>
      <c r="Y433" s="4" t="str">
        <f t="shared" si="41"/>
        <v/>
      </c>
      <c r="Z433" s="6" t="str">
        <f>IF(H433&lt;&gt;"",Tabela1[[#This Row],[Iniciais]],"")</f>
        <v/>
      </c>
      <c r="AB433" s="6" t="str">
        <f>IF($H433&lt;&gt;"",RIGHT(Tabela1[[#This Row],[Ref.]],2),"")</f>
        <v/>
      </c>
      <c r="AC433" s="37" t="str">
        <f>IF($H433&lt;&gt;"",DATE(LEFT(Tabela1[[#This Row],[Ref.]],4),RIGHT(Tabela1[[#This Row],[Ref.]],2),1),"")</f>
        <v/>
      </c>
      <c r="AD433" s="4" t="str">
        <f t="shared" si="37"/>
        <v/>
      </c>
      <c r="AE433" s="5" t="str">
        <f t="shared" si="38"/>
        <v/>
      </c>
      <c r="AF433" s="4"/>
      <c r="AG433" s="6" t="str">
        <f t="shared" si="39"/>
        <v/>
      </c>
    </row>
    <row r="434" spans="1:33" ht="15.75" customHeight="1" x14ac:dyDescent="0.2">
      <c r="A434" s="35"/>
      <c r="B434" s="44"/>
      <c r="C434" s="35"/>
      <c r="D434" s="35"/>
      <c r="E434" s="48"/>
      <c r="F434" s="45"/>
      <c r="G434" s="38"/>
      <c r="H434" s="45"/>
      <c r="I434" s="45"/>
      <c r="L434" s="19"/>
      <c r="N434" s="25"/>
      <c r="O434" s="25"/>
      <c r="P434" s="27"/>
      <c r="R434" s="6" t="str">
        <f>IF($H434&lt;&gt;"",RIGHT(Tabela1[[#This Row],[Ref.]],2),"")</f>
        <v/>
      </c>
      <c r="S434" s="6" t="str">
        <f t="shared" si="36"/>
        <v/>
      </c>
      <c r="T434" s="4" t="str">
        <f>IF($H434&lt;&gt;"",_xlfn.XLOOKUP(H434,Naturezas!B:B,Naturezas!E:E,"",0,1),"")</f>
        <v/>
      </c>
      <c r="U434" s="4" t="str">
        <f>IF($H434&lt;&gt;"",_xlfn.XLOOKUP($H434,Naturezas!B:B,Naturezas!D:D,"",0,1),"")</f>
        <v/>
      </c>
      <c r="V434" s="5" t="str">
        <f>IF(H434&lt;&gt;"",IF(OR(H434=Naturezas!$B$3,H434=Naturezas!$B$4,H434=Naturezas!$B$5,H434=Naturezas!$B$17,H434=Naturezas!$B$18,H434=Naturezas!$B$19),G434,-G434),"")</f>
        <v/>
      </c>
      <c r="W434" s="4" t="str">
        <f t="shared" si="40"/>
        <v/>
      </c>
      <c r="X434" s="4"/>
      <c r="Y434" s="4" t="str">
        <f t="shared" si="41"/>
        <v/>
      </c>
      <c r="Z434" s="6" t="str">
        <f>IF(H434&lt;&gt;"",Tabela1[[#This Row],[Iniciais]],"")</f>
        <v/>
      </c>
      <c r="AB434" s="6" t="str">
        <f>IF($H434&lt;&gt;"",RIGHT(Tabela1[[#This Row],[Ref.]],2),"")</f>
        <v/>
      </c>
      <c r="AC434" s="37" t="str">
        <f>IF($H434&lt;&gt;"",DATE(LEFT(Tabela1[[#This Row],[Ref.]],4),RIGHT(Tabela1[[#This Row],[Ref.]],2),1),"")</f>
        <v/>
      </c>
      <c r="AD434" s="4" t="str">
        <f t="shared" si="37"/>
        <v/>
      </c>
      <c r="AE434" s="5" t="str">
        <f t="shared" si="38"/>
        <v/>
      </c>
      <c r="AF434" s="4"/>
      <c r="AG434" s="6" t="str">
        <f t="shared" si="39"/>
        <v/>
      </c>
    </row>
    <row r="435" spans="1:33" ht="15.75" customHeight="1" x14ac:dyDescent="0.2">
      <c r="A435" s="35"/>
      <c r="B435" s="44"/>
      <c r="C435" s="35"/>
      <c r="D435" s="35"/>
      <c r="E435" s="48"/>
      <c r="F435" s="45"/>
      <c r="G435" s="38"/>
      <c r="H435" s="45"/>
      <c r="I435" s="45"/>
      <c r="L435" s="19"/>
      <c r="N435" s="25"/>
      <c r="O435" s="25"/>
      <c r="P435" s="27"/>
      <c r="R435" s="6" t="str">
        <f>IF($H435&lt;&gt;"",RIGHT(Tabela1[[#This Row],[Ref.]],2),"")</f>
        <v/>
      </c>
      <c r="S435" s="6" t="str">
        <f t="shared" si="36"/>
        <v/>
      </c>
      <c r="T435" s="4" t="str">
        <f>IF($H435&lt;&gt;"",_xlfn.XLOOKUP(H435,Naturezas!B:B,Naturezas!E:E,"",0,1),"")</f>
        <v/>
      </c>
      <c r="U435" s="4" t="str">
        <f>IF($H435&lt;&gt;"",_xlfn.XLOOKUP($H435,Naturezas!B:B,Naturezas!D:D,"",0,1),"")</f>
        <v/>
      </c>
      <c r="V435" s="5" t="str">
        <f>IF(H435&lt;&gt;"",IF(OR(H435=Naturezas!$B$3,H435=Naturezas!$B$4,H435=Naturezas!$B$5,H435=Naturezas!$B$17,H435=Naturezas!$B$18,H435=Naturezas!$B$19),G435,-G435),"")</f>
        <v/>
      </c>
      <c r="W435" s="4" t="str">
        <f t="shared" si="40"/>
        <v/>
      </c>
      <c r="X435" s="4"/>
      <c r="Y435" s="4" t="str">
        <f t="shared" si="41"/>
        <v/>
      </c>
      <c r="Z435" s="6" t="str">
        <f>IF(H435&lt;&gt;"",Tabela1[[#This Row],[Iniciais]],"")</f>
        <v/>
      </c>
      <c r="AB435" s="6" t="str">
        <f>IF($H435&lt;&gt;"",RIGHT(Tabela1[[#This Row],[Ref.]],2),"")</f>
        <v/>
      </c>
      <c r="AC435" s="37" t="str">
        <f>IF($H435&lt;&gt;"",DATE(LEFT(Tabela1[[#This Row],[Ref.]],4),RIGHT(Tabela1[[#This Row],[Ref.]],2),1),"")</f>
        <v/>
      </c>
      <c r="AD435" s="4" t="str">
        <f t="shared" si="37"/>
        <v/>
      </c>
      <c r="AE435" s="5" t="str">
        <f t="shared" si="38"/>
        <v/>
      </c>
      <c r="AF435" s="4"/>
      <c r="AG435" s="6" t="str">
        <f t="shared" si="39"/>
        <v/>
      </c>
    </row>
    <row r="436" spans="1:33" ht="15.75" customHeight="1" x14ac:dyDescent="0.2">
      <c r="A436" s="35"/>
      <c r="B436" s="44"/>
      <c r="C436" s="35"/>
      <c r="D436" s="35"/>
      <c r="E436" s="48"/>
      <c r="F436" s="45"/>
      <c r="G436" s="38"/>
      <c r="H436" s="45"/>
      <c r="I436" s="45"/>
      <c r="L436" s="19"/>
      <c r="N436" s="25"/>
      <c r="O436" s="25"/>
      <c r="P436" s="27"/>
      <c r="R436" s="6" t="str">
        <f>IF($H436&lt;&gt;"",RIGHT(Tabela1[[#This Row],[Ref.]],2),"")</f>
        <v/>
      </c>
      <c r="S436" s="6" t="str">
        <f t="shared" si="36"/>
        <v/>
      </c>
      <c r="T436" s="4" t="str">
        <f>IF($H436&lt;&gt;"",_xlfn.XLOOKUP(H436,Naturezas!B:B,Naturezas!E:E,"",0,1),"")</f>
        <v/>
      </c>
      <c r="U436" s="4" t="str">
        <f>IF($H436&lt;&gt;"",_xlfn.XLOOKUP($H436,Naturezas!B:B,Naturezas!D:D,"",0,1),"")</f>
        <v/>
      </c>
      <c r="V436" s="5" t="str">
        <f>IF(H436&lt;&gt;"",IF(OR(H436=Naturezas!$B$3,H436=Naturezas!$B$4,H436=Naturezas!$B$5,H436=Naturezas!$B$17,H436=Naturezas!$B$18,H436=Naturezas!$B$19),G436,-G436),"")</f>
        <v/>
      </c>
      <c r="W436" s="4" t="str">
        <f t="shared" si="40"/>
        <v/>
      </c>
      <c r="X436" s="4"/>
      <c r="Y436" s="4" t="str">
        <f t="shared" si="41"/>
        <v/>
      </c>
      <c r="Z436" s="6" t="str">
        <f>IF(H436&lt;&gt;"",Tabela1[[#This Row],[Iniciais]],"")</f>
        <v/>
      </c>
      <c r="AB436" s="6" t="str">
        <f>IF($H436&lt;&gt;"",RIGHT(Tabela1[[#This Row],[Ref.]],2),"")</f>
        <v/>
      </c>
      <c r="AC436" s="37" t="str">
        <f>IF($H436&lt;&gt;"",DATE(LEFT(Tabela1[[#This Row],[Ref.]],4),RIGHT(Tabela1[[#This Row],[Ref.]],2),1),"")</f>
        <v/>
      </c>
      <c r="AD436" s="4" t="str">
        <f t="shared" si="37"/>
        <v/>
      </c>
      <c r="AE436" s="5" t="str">
        <f t="shared" si="38"/>
        <v/>
      </c>
      <c r="AF436" s="4"/>
      <c r="AG436" s="6" t="str">
        <f t="shared" si="39"/>
        <v/>
      </c>
    </row>
    <row r="437" spans="1:33" ht="15.75" customHeight="1" x14ac:dyDescent="0.2">
      <c r="A437" s="35"/>
      <c r="B437" s="44"/>
      <c r="C437" s="35"/>
      <c r="D437" s="35"/>
      <c r="E437" s="48"/>
      <c r="F437" s="45"/>
      <c r="G437" s="38"/>
      <c r="H437" s="45"/>
      <c r="I437" s="45"/>
      <c r="L437" s="19"/>
      <c r="N437" s="25"/>
      <c r="O437" s="25"/>
      <c r="P437" s="27"/>
      <c r="R437" s="6" t="str">
        <f>IF($H437&lt;&gt;"",RIGHT(Tabela1[[#This Row],[Ref.]],2),"")</f>
        <v/>
      </c>
      <c r="S437" s="6" t="str">
        <f t="shared" si="36"/>
        <v/>
      </c>
      <c r="T437" s="4" t="str">
        <f>IF($H437&lt;&gt;"",_xlfn.XLOOKUP(H437,Naturezas!B:B,Naturezas!E:E,"",0,1),"")</f>
        <v/>
      </c>
      <c r="U437" s="4" t="str">
        <f>IF($H437&lt;&gt;"",_xlfn.XLOOKUP($H437,Naturezas!B:B,Naturezas!D:D,"",0,1),"")</f>
        <v/>
      </c>
      <c r="V437" s="5" t="str">
        <f>IF(H437&lt;&gt;"",IF(OR(H437=Naturezas!$B$3,H437=Naturezas!$B$4,H437=Naturezas!$B$5,H437=Naturezas!$B$17,H437=Naturezas!$B$18,H437=Naturezas!$B$19),G437,-G437),"")</f>
        <v/>
      </c>
      <c r="W437" s="4" t="str">
        <f t="shared" si="40"/>
        <v/>
      </c>
      <c r="X437" s="4"/>
      <c r="Y437" s="4" t="str">
        <f t="shared" si="41"/>
        <v/>
      </c>
      <c r="Z437" s="6" t="str">
        <f>IF(H437&lt;&gt;"",Tabela1[[#This Row],[Iniciais]],"")</f>
        <v/>
      </c>
      <c r="AB437" s="6" t="str">
        <f>IF($H437&lt;&gt;"",RIGHT(Tabela1[[#This Row],[Ref.]],2),"")</f>
        <v/>
      </c>
      <c r="AC437" s="37" t="str">
        <f>IF($H437&lt;&gt;"",DATE(LEFT(Tabela1[[#This Row],[Ref.]],4),RIGHT(Tabela1[[#This Row],[Ref.]],2),1),"")</f>
        <v/>
      </c>
      <c r="AD437" s="4" t="str">
        <f t="shared" si="37"/>
        <v/>
      </c>
      <c r="AE437" s="5" t="str">
        <f t="shared" si="38"/>
        <v/>
      </c>
      <c r="AF437" s="4"/>
      <c r="AG437" s="6" t="str">
        <f t="shared" si="39"/>
        <v/>
      </c>
    </row>
    <row r="438" spans="1:33" ht="15.75" customHeight="1" x14ac:dyDescent="0.2">
      <c r="A438" s="35"/>
      <c r="B438" s="44"/>
      <c r="C438" s="35"/>
      <c r="D438" s="35"/>
      <c r="E438" s="48"/>
      <c r="F438" s="45"/>
      <c r="G438" s="38"/>
      <c r="H438" s="45"/>
      <c r="I438" s="45"/>
      <c r="L438" s="19"/>
      <c r="N438" s="25"/>
      <c r="O438" s="25"/>
      <c r="P438" s="27"/>
      <c r="R438" s="6" t="str">
        <f>IF($H438&lt;&gt;"",RIGHT(Tabela1[[#This Row],[Ref.]],2),"")</f>
        <v/>
      </c>
      <c r="S438" s="6" t="str">
        <f t="shared" si="36"/>
        <v/>
      </c>
      <c r="T438" s="4" t="str">
        <f>IF($H438&lt;&gt;"",_xlfn.XLOOKUP(H438,Naturezas!B:B,Naturezas!E:E,"",0,1),"")</f>
        <v/>
      </c>
      <c r="U438" s="4" t="str">
        <f>IF($H438&lt;&gt;"",_xlfn.XLOOKUP($H438,Naturezas!B:B,Naturezas!D:D,"",0,1),"")</f>
        <v/>
      </c>
      <c r="V438" s="5" t="str">
        <f>IF(H438&lt;&gt;"",IF(OR(H438=Naturezas!$B$3,H438=Naturezas!$B$4,H438=Naturezas!$B$5,H438=Naturezas!$B$17,H438=Naturezas!$B$18,H438=Naturezas!$B$19),G438,-G438),"")</f>
        <v/>
      </c>
      <c r="W438" s="4" t="str">
        <f t="shared" si="40"/>
        <v/>
      </c>
      <c r="X438" s="4"/>
      <c r="Y438" s="4" t="str">
        <f t="shared" si="41"/>
        <v/>
      </c>
      <c r="Z438" s="6" t="str">
        <f>IF(H438&lt;&gt;"",Tabela1[[#This Row],[Iniciais]],"")</f>
        <v/>
      </c>
      <c r="AB438" s="6" t="str">
        <f>IF($H438&lt;&gt;"",RIGHT(Tabela1[[#This Row],[Ref.]],2),"")</f>
        <v/>
      </c>
      <c r="AC438" s="37" t="str">
        <f>IF($H438&lt;&gt;"",DATE(LEFT(Tabela1[[#This Row],[Ref.]],4),RIGHT(Tabela1[[#This Row],[Ref.]],2),1),"")</f>
        <v/>
      </c>
      <c r="AD438" s="4" t="str">
        <f t="shared" si="37"/>
        <v/>
      </c>
      <c r="AE438" s="5" t="str">
        <f t="shared" si="38"/>
        <v/>
      </c>
      <c r="AF438" s="4"/>
      <c r="AG438" s="6" t="str">
        <f t="shared" si="39"/>
        <v/>
      </c>
    </row>
    <row r="439" spans="1:33" ht="15.75" customHeight="1" x14ac:dyDescent="0.2">
      <c r="A439" s="35"/>
      <c r="B439" s="44"/>
      <c r="C439" s="35"/>
      <c r="D439" s="35"/>
      <c r="E439" s="48"/>
      <c r="F439" s="45"/>
      <c r="G439" s="38"/>
      <c r="H439" s="45"/>
      <c r="I439" s="45"/>
      <c r="L439" s="19"/>
      <c r="N439" s="25"/>
      <c r="O439" s="25"/>
      <c r="P439" s="27"/>
      <c r="R439" s="6" t="str">
        <f>IF($H439&lt;&gt;"",RIGHT(Tabela1[[#This Row],[Ref.]],2),"")</f>
        <v/>
      </c>
      <c r="S439" s="6" t="str">
        <f t="shared" si="36"/>
        <v/>
      </c>
      <c r="T439" s="4" t="str">
        <f>IF($H439&lt;&gt;"",_xlfn.XLOOKUP(H439,Naturezas!B:B,Naturezas!E:E,"",0,1),"")</f>
        <v/>
      </c>
      <c r="U439" s="4" t="str">
        <f>IF($H439&lt;&gt;"",_xlfn.XLOOKUP($H439,Naturezas!B:B,Naturezas!D:D,"",0,1),"")</f>
        <v/>
      </c>
      <c r="V439" s="5" t="str">
        <f>IF(H439&lt;&gt;"",IF(OR(H439=Naturezas!$B$3,H439=Naturezas!$B$4,H439=Naturezas!$B$5,H439=Naturezas!$B$17,H439=Naturezas!$B$18,H439=Naturezas!$B$19),G439,-G439),"")</f>
        <v/>
      </c>
      <c r="W439" s="4" t="str">
        <f t="shared" si="40"/>
        <v/>
      </c>
      <c r="X439" s="4"/>
      <c r="Y439" s="4" t="str">
        <f t="shared" si="41"/>
        <v/>
      </c>
      <c r="Z439" s="6" t="str">
        <f>IF(H439&lt;&gt;"",Tabela1[[#This Row],[Iniciais]],"")</f>
        <v/>
      </c>
      <c r="AB439" s="6" t="str">
        <f>IF($H439&lt;&gt;"",RIGHT(Tabela1[[#This Row],[Ref.]],2),"")</f>
        <v/>
      </c>
      <c r="AC439" s="37" t="str">
        <f>IF($H439&lt;&gt;"",DATE(LEFT(Tabela1[[#This Row],[Ref.]],4),RIGHT(Tabela1[[#This Row],[Ref.]],2),1),"")</f>
        <v/>
      </c>
      <c r="AD439" s="4" t="str">
        <f t="shared" si="37"/>
        <v/>
      </c>
      <c r="AE439" s="5" t="str">
        <f t="shared" si="38"/>
        <v/>
      </c>
      <c r="AF439" s="4"/>
      <c r="AG439" s="6" t="str">
        <f t="shared" si="39"/>
        <v/>
      </c>
    </row>
    <row r="440" spans="1:33" ht="15.75" customHeight="1" x14ac:dyDescent="0.2">
      <c r="A440" s="35"/>
      <c r="B440" s="44"/>
      <c r="C440" s="35"/>
      <c r="D440" s="35"/>
      <c r="E440" s="48"/>
      <c r="F440" s="45"/>
      <c r="G440" s="38"/>
      <c r="H440" s="45"/>
      <c r="I440" s="45"/>
      <c r="L440" s="19"/>
      <c r="N440" s="25"/>
      <c r="O440" s="25"/>
      <c r="P440" s="27"/>
      <c r="R440" s="6" t="str">
        <f>IF($H440&lt;&gt;"",RIGHT(Tabela1[[#This Row],[Ref.]],2),"")</f>
        <v/>
      </c>
      <c r="S440" s="6" t="str">
        <f t="shared" si="36"/>
        <v/>
      </c>
      <c r="T440" s="4" t="str">
        <f>IF($H440&lt;&gt;"",_xlfn.XLOOKUP(H440,Naturezas!B:B,Naturezas!E:E,"",0,1),"")</f>
        <v/>
      </c>
      <c r="U440" s="4" t="str">
        <f>IF($H440&lt;&gt;"",_xlfn.XLOOKUP($H440,Naturezas!B:B,Naturezas!D:D,"",0,1),"")</f>
        <v/>
      </c>
      <c r="V440" s="5" t="str">
        <f>IF(H440&lt;&gt;"",IF(OR(H440=Naturezas!$B$3,H440=Naturezas!$B$4,H440=Naturezas!$B$5,H440=Naturezas!$B$17,H440=Naturezas!$B$18,H440=Naturezas!$B$19),G440,-G440),"")</f>
        <v/>
      </c>
      <c r="W440" s="4" t="str">
        <f t="shared" si="40"/>
        <v/>
      </c>
      <c r="X440" s="4"/>
      <c r="Y440" s="4" t="str">
        <f t="shared" si="41"/>
        <v/>
      </c>
      <c r="Z440" s="6" t="str">
        <f>IF(H440&lt;&gt;"",Tabela1[[#This Row],[Iniciais]],"")</f>
        <v/>
      </c>
      <c r="AB440" s="6" t="str">
        <f>IF($H440&lt;&gt;"",RIGHT(Tabela1[[#This Row],[Ref.]],2),"")</f>
        <v/>
      </c>
      <c r="AC440" s="37" t="str">
        <f>IF($H440&lt;&gt;"",DATE(LEFT(Tabela1[[#This Row],[Ref.]],4),RIGHT(Tabela1[[#This Row],[Ref.]],2),1),"")</f>
        <v/>
      </c>
      <c r="AD440" s="4" t="str">
        <f t="shared" si="37"/>
        <v/>
      </c>
      <c r="AE440" s="5" t="str">
        <f t="shared" si="38"/>
        <v/>
      </c>
      <c r="AF440" s="4"/>
      <c r="AG440" s="6" t="str">
        <f t="shared" si="39"/>
        <v/>
      </c>
    </row>
    <row r="441" spans="1:33" ht="15.75" customHeight="1" x14ac:dyDescent="0.2">
      <c r="A441" s="35"/>
      <c r="B441" s="44"/>
      <c r="C441" s="35"/>
      <c r="D441" s="35"/>
      <c r="E441" s="48"/>
      <c r="F441" s="45"/>
      <c r="G441" s="38"/>
      <c r="H441" s="45"/>
      <c r="I441" s="45"/>
      <c r="L441" s="19"/>
      <c r="N441" s="25"/>
      <c r="O441" s="25"/>
      <c r="P441" s="27"/>
      <c r="R441" s="6" t="str">
        <f>IF($H441&lt;&gt;"",RIGHT(Tabela1[[#This Row],[Ref.]],2),"")</f>
        <v/>
      </c>
      <c r="S441" s="6" t="str">
        <f t="shared" si="36"/>
        <v/>
      </c>
      <c r="T441" s="4" t="str">
        <f>IF($H441&lt;&gt;"",_xlfn.XLOOKUP(H441,Naturezas!B:B,Naturezas!E:E,"",0,1),"")</f>
        <v/>
      </c>
      <c r="U441" s="4" t="str">
        <f>IF($H441&lt;&gt;"",_xlfn.XLOOKUP($H441,Naturezas!B:B,Naturezas!D:D,"",0,1),"")</f>
        <v/>
      </c>
      <c r="V441" s="5" t="str">
        <f>IF(H441&lt;&gt;"",IF(OR(H441=Naturezas!$B$3,H441=Naturezas!$B$4,H441=Naturezas!$B$5,H441=Naturezas!$B$17,H441=Naturezas!$B$18,H441=Naturezas!$B$19),G441,-G441),"")</f>
        <v/>
      </c>
      <c r="W441" s="4" t="str">
        <f t="shared" si="40"/>
        <v/>
      </c>
      <c r="X441" s="4"/>
      <c r="Y441" s="4" t="str">
        <f t="shared" si="41"/>
        <v/>
      </c>
      <c r="Z441" s="6" t="str">
        <f>IF(H441&lt;&gt;"",Tabela1[[#This Row],[Iniciais]],"")</f>
        <v/>
      </c>
      <c r="AB441" s="6" t="str">
        <f>IF($H441&lt;&gt;"",RIGHT(Tabela1[[#This Row],[Ref.]],2),"")</f>
        <v/>
      </c>
      <c r="AC441" s="37" t="str">
        <f>IF($H441&lt;&gt;"",DATE(LEFT(Tabela1[[#This Row],[Ref.]],4),RIGHT(Tabela1[[#This Row],[Ref.]],2),1),"")</f>
        <v/>
      </c>
      <c r="AD441" s="4" t="str">
        <f t="shared" si="37"/>
        <v/>
      </c>
      <c r="AE441" s="5" t="str">
        <f t="shared" si="38"/>
        <v/>
      </c>
      <c r="AF441" s="4"/>
      <c r="AG441" s="6" t="str">
        <f t="shared" si="39"/>
        <v/>
      </c>
    </row>
    <row r="442" spans="1:33" ht="15.75" customHeight="1" x14ac:dyDescent="0.2">
      <c r="A442" s="35"/>
      <c r="B442" s="44"/>
      <c r="C442" s="35"/>
      <c r="D442" s="35"/>
      <c r="E442" s="48"/>
      <c r="F442" s="45"/>
      <c r="G442" s="38"/>
      <c r="H442" s="45"/>
      <c r="I442" s="45"/>
      <c r="L442" s="19"/>
      <c r="N442" s="25"/>
      <c r="O442" s="25"/>
      <c r="P442" s="27"/>
      <c r="R442" s="6" t="str">
        <f>IF($H442&lt;&gt;"",RIGHT(Tabela1[[#This Row],[Ref.]],2),"")</f>
        <v/>
      </c>
      <c r="S442" s="6" t="str">
        <f t="shared" si="36"/>
        <v/>
      </c>
      <c r="T442" s="4" t="str">
        <f>IF($H442&lt;&gt;"",_xlfn.XLOOKUP(H442,Naturezas!B:B,Naturezas!E:E,"",0,1),"")</f>
        <v/>
      </c>
      <c r="U442" s="4" t="str">
        <f>IF($H442&lt;&gt;"",_xlfn.XLOOKUP($H442,Naturezas!B:B,Naturezas!D:D,"",0,1),"")</f>
        <v/>
      </c>
      <c r="V442" s="5" t="str">
        <f>IF(H442&lt;&gt;"",IF(OR(H442=Naturezas!$B$3,H442=Naturezas!$B$4,H442=Naturezas!$B$5,H442=Naturezas!$B$17,H442=Naturezas!$B$18,H442=Naturezas!$B$19),G442,-G442),"")</f>
        <v/>
      </c>
      <c r="W442" s="4" t="str">
        <f t="shared" si="40"/>
        <v/>
      </c>
      <c r="X442" s="4"/>
      <c r="Y442" s="4" t="str">
        <f t="shared" si="41"/>
        <v/>
      </c>
      <c r="Z442" s="6" t="str">
        <f>IF(H442&lt;&gt;"",Tabela1[[#This Row],[Iniciais]],"")</f>
        <v/>
      </c>
      <c r="AB442" s="6" t="str">
        <f>IF($H442&lt;&gt;"",RIGHT(Tabela1[[#This Row],[Ref.]],2),"")</f>
        <v/>
      </c>
      <c r="AC442" s="37" t="str">
        <f>IF($H442&lt;&gt;"",DATE(LEFT(Tabela1[[#This Row],[Ref.]],4),RIGHT(Tabela1[[#This Row],[Ref.]],2),1),"")</f>
        <v/>
      </c>
      <c r="AD442" s="4" t="str">
        <f t="shared" si="37"/>
        <v/>
      </c>
      <c r="AE442" s="5" t="str">
        <f t="shared" si="38"/>
        <v/>
      </c>
      <c r="AF442" s="4"/>
      <c r="AG442" s="6" t="str">
        <f t="shared" si="39"/>
        <v/>
      </c>
    </row>
    <row r="443" spans="1:33" ht="15.75" customHeight="1" x14ac:dyDescent="0.2">
      <c r="A443" s="35"/>
      <c r="B443" s="44"/>
      <c r="C443" s="35"/>
      <c r="D443" s="35"/>
      <c r="E443" s="48"/>
      <c r="F443" s="45"/>
      <c r="G443" s="38"/>
      <c r="H443" s="45"/>
      <c r="I443" s="45"/>
      <c r="L443" s="19"/>
      <c r="N443" s="25"/>
      <c r="O443" s="25"/>
      <c r="P443" s="27"/>
      <c r="R443" s="6" t="str">
        <f>IF($H443&lt;&gt;"",RIGHT(Tabela1[[#This Row],[Ref.]],2),"")</f>
        <v/>
      </c>
      <c r="S443" s="6" t="str">
        <f t="shared" si="36"/>
        <v/>
      </c>
      <c r="T443" s="4" t="str">
        <f>IF($H443&lt;&gt;"",_xlfn.XLOOKUP(H443,Naturezas!B:B,Naturezas!E:E,"",0,1),"")</f>
        <v/>
      </c>
      <c r="U443" s="4" t="str">
        <f>IF($H443&lt;&gt;"",_xlfn.XLOOKUP($H443,Naturezas!B:B,Naturezas!D:D,"",0,1),"")</f>
        <v/>
      </c>
      <c r="V443" s="5" t="str">
        <f>IF(H443&lt;&gt;"",IF(OR(H443=Naturezas!$B$3,H443=Naturezas!$B$4,H443=Naturezas!$B$5,H443=Naturezas!$B$17,H443=Naturezas!$B$18,H443=Naturezas!$B$19),G443,-G443),"")</f>
        <v/>
      </c>
      <c r="W443" s="4" t="str">
        <f t="shared" si="40"/>
        <v/>
      </c>
      <c r="X443" s="4"/>
      <c r="Y443" s="4" t="str">
        <f t="shared" si="41"/>
        <v/>
      </c>
      <c r="Z443" s="6" t="str">
        <f>IF(H443&lt;&gt;"",Tabela1[[#This Row],[Iniciais]],"")</f>
        <v/>
      </c>
      <c r="AB443" s="6" t="str">
        <f>IF($H443&lt;&gt;"",RIGHT(Tabela1[[#This Row],[Ref.]],2),"")</f>
        <v/>
      </c>
      <c r="AC443" s="37" t="str">
        <f>IF($H443&lt;&gt;"",DATE(LEFT(Tabela1[[#This Row],[Ref.]],4),RIGHT(Tabela1[[#This Row],[Ref.]],2),1),"")</f>
        <v/>
      </c>
      <c r="AD443" s="4" t="str">
        <f t="shared" si="37"/>
        <v/>
      </c>
      <c r="AE443" s="5" t="str">
        <f t="shared" si="38"/>
        <v/>
      </c>
      <c r="AF443" s="4"/>
      <c r="AG443" s="6" t="str">
        <f t="shared" si="39"/>
        <v/>
      </c>
    </row>
    <row r="444" spans="1:33" ht="15.75" customHeight="1" x14ac:dyDescent="0.2">
      <c r="A444" s="35"/>
      <c r="B444" s="44"/>
      <c r="C444" s="35"/>
      <c r="D444" s="35"/>
      <c r="E444" s="48"/>
      <c r="F444" s="45"/>
      <c r="G444" s="38"/>
      <c r="H444" s="45"/>
      <c r="I444" s="45"/>
      <c r="L444" s="19"/>
      <c r="N444" s="25"/>
      <c r="O444" s="25"/>
      <c r="P444" s="27"/>
      <c r="R444" s="6" t="str">
        <f>IF($H444&lt;&gt;"",RIGHT(Tabela1[[#This Row],[Ref.]],2),"")</f>
        <v/>
      </c>
      <c r="S444" s="6" t="str">
        <f t="shared" si="36"/>
        <v/>
      </c>
      <c r="T444" s="4" t="str">
        <f>IF($H444&lt;&gt;"",_xlfn.XLOOKUP(H444,Naturezas!B:B,Naturezas!E:E,"",0,1),"")</f>
        <v/>
      </c>
      <c r="U444" s="4" t="str">
        <f>IF($H444&lt;&gt;"",_xlfn.XLOOKUP($H444,Naturezas!B:B,Naturezas!D:D,"",0,1),"")</f>
        <v/>
      </c>
      <c r="V444" s="5" t="str">
        <f>IF(H444&lt;&gt;"",IF(OR(H444=Naturezas!$B$3,H444=Naturezas!$B$4,H444=Naturezas!$B$5,H444=Naturezas!$B$17,H444=Naturezas!$B$18,H444=Naturezas!$B$19),G444,-G444),"")</f>
        <v/>
      </c>
      <c r="W444" s="4" t="str">
        <f t="shared" si="40"/>
        <v/>
      </c>
      <c r="X444" s="4"/>
      <c r="Y444" s="4" t="str">
        <f t="shared" si="41"/>
        <v/>
      </c>
      <c r="Z444" s="6" t="str">
        <f>IF(H444&lt;&gt;"",Tabela1[[#This Row],[Iniciais]],"")</f>
        <v/>
      </c>
      <c r="AB444" s="6" t="str">
        <f>IF($H444&lt;&gt;"",RIGHT(Tabela1[[#This Row],[Ref.]],2),"")</f>
        <v/>
      </c>
      <c r="AC444" s="37" t="str">
        <f>IF($H444&lt;&gt;"",DATE(LEFT(Tabela1[[#This Row],[Ref.]],4),RIGHT(Tabela1[[#This Row],[Ref.]],2),1),"")</f>
        <v/>
      </c>
      <c r="AD444" s="4" t="str">
        <f t="shared" si="37"/>
        <v/>
      </c>
      <c r="AE444" s="5" t="str">
        <f t="shared" si="38"/>
        <v/>
      </c>
      <c r="AF444" s="4"/>
      <c r="AG444" s="6" t="str">
        <f t="shared" si="39"/>
        <v/>
      </c>
    </row>
    <row r="445" spans="1:33" ht="15.75" customHeight="1" x14ac:dyDescent="0.2">
      <c r="A445" s="35"/>
      <c r="B445" s="44"/>
      <c r="C445" s="35"/>
      <c r="D445" s="35"/>
      <c r="E445" s="48"/>
      <c r="F445" s="45"/>
      <c r="G445" s="38"/>
      <c r="H445" s="45"/>
      <c r="I445" s="45"/>
      <c r="L445" s="19"/>
      <c r="N445" s="25"/>
      <c r="O445" s="25"/>
      <c r="P445" s="27"/>
      <c r="R445" s="6" t="str">
        <f>IF($H445&lt;&gt;"",RIGHT(Tabela1[[#This Row],[Ref.]],2),"")</f>
        <v/>
      </c>
      <c r="S445" s="6" t="str">
        <f t="shared" si="36"/>
        <v/>
      </c>
      <c r="T445" s="4" t="str">
        <f>IF($H445&lt;&gt;"",_xlfn.XLOOKUP(H445,Naturezas!B:B,Naturezas!E:E,"",0,1),"")</f>
        <v/>
      </c>
      <c r="U445" s="4" t="str">
        <f>IF($H445&lt;&gt;"",_xlfn.XLOOKUP($H445,Naturezas!B:B,Naturezas!D:D,"",0,1),"")</f>
        <v/>
      </c>
      <c r="V445" s="5" t="str">
        <f>IF(H445&lt;&gt;"",IF(OR(H445=Naturezas!$B$3,H445=Naturezas!$B$4,H445=Naturezas!$B$5,H445=Naturezas!$B$17,H445=Naturezas!$B$18,H445=Naturezas!$B$19),G445,-G445),"")</f>
        <v/>
      </c>
      <c r="W445" s="4" t="str">
        <f t="shared" si="40"/>
        <v/>
      </c>
      <c r="X445" s="4"/>
      <c r="Y445" s="4" t="str">
        <f t="shared" si="41"/>
        <v/>
      </c>
      <c r="Z445" s="6" t="str">
        <f>IF(H445&lt;&gt;"",Tabela1[[#This Row],[Iniciais]],"")</f>
        <v/>
      </c>
      <c r="AB445" s="6" t="str">
        <f>IF($H445&lt;&gt;"",RIGHT(Tabela1[[#This Row],[Ref.]],2),"")</f>
        <v/>
      </c>
      <c r="AC445" s="37" t="str">
        <f>IF($H445&lt;&gt;"",DATE(LEFT(Tabela1[[#This Row],[Ref.]],4),RIGHT(Tabela1[[#This Row],[Ref.]],2),1),"")</f>
        <v/>
      </c>
      <c r="AD445" s="4" t="str">
        <f t="shared" si="37"/>
        <v/>
      </c>
      <c r="AE445" s="5" t="str">
        <f t="shared" si="38"/>
        <v/>
      </c>
      <c r="AF445" s="4"/>
      <c r="AG445" s="6" t="str">
        <f t="shared" si="39"/>
        <v/>
      </c>
    </row>
    <row r="446" spans="1:33" ht="15.75" customHeight="1" x14ac:dyDescent="0.2">
      <c r="A446" s="35"/>
      <c r="B446" s="44"/>
      <c r="C446" s="35"/>
      <c r="D446" s="35"/>
      <c r="E446" s="48"/>
      <c r="F446" s="45"/>
      <c r="G446" s="38"/>
      <c r="H446" s="45"/>
      <c r="I446" s="45"/>
      <c r="L446" s="19"/>
      <c r="N446" s="25"/>
      <c r="O446" s="25"/>
      <c r="P446" s="27"/>
      <c r="R446" s="6" t="str">
        <f>IF($H446&lt;&gt;"",RIGHT(Tabela1[[#This Row],[Ref.]],2),"")</f>
        <v/>
      </c>
      <c r="S446" s="6" t="str">
        <f t="shared" si="36"/>
        <v/>
      </c>
      <c r="T446" s="4" t="str">
        <f>IF($H446&lt;&gt;"",_xlfn.XLOOKUP(H446,Naturezas!B:B,Naturezas!E:E,"",0,1),"")</f>
        <v/>
      </c>
      <c r="U446" s="4" t="str">
        <f>IF($H446&lt;&gt;"",_xlfn.XLOOKUP($H446,Naturezas!B:B,Naturezas!D:D,"",0,1),"")</f>
        <v/>
      </c>
      <c r="V446" s="5" t="str">
        <f>IF(H446&lt;&gt;"",IF(OR(H446=Naturezas!$B$3,H446=Naturezas!$B$4,H446=Naturezas!$B$5,H446=Naturezas!$B$17,H446=Naturezas!$B$18,H446=Naturezas!$B$19),G446,-G446),"")</f>
        <v/>
      </c>
      <c r="W446" s="4" t="str">
        <f t="shared" si="40"/>
        <v/>
      </c>
      <c r="X446" s="4"/>
      <c r="Y446" s="4" t="str">
        <f t="shared" si="41"/>
        <v/>
      </c>
      <c r="Z446" s="6" t="str">
        <f>IF(H446&lt;&gt;"",Tabela1[[#This Row],[Iniciais]],"")</f>
        <v/>
      </c>
      <c r="AB446" s="6" t="str">
        <f>IF($H446&lt;&gt;"",RIGHT(Tabela1[[#This Row],[Ref.]],2),"")</f>
        <v/>
      </c>
      <c r="AC446" s="37" t="str">
        <f>IF($H446&lt;&gt;"",DATE(LEFT(Tabela1[[#This Row],[Ref.]],4),RIGHT(Tabela1[[#This Row],[Ref.]],2),1),"")</f>
        <v/>
      </c>
      <c r="AD446" s="4" t="str">
        <f t="shared" si="37"/>
        <v/>
      </c>
      <c r="AE446" s="5" t="str">
        <f t="shared" si="38"/>
        <v/>
      </c>
      <c r="AF446" s="4"/>
      <c r="AG446" s="6" t="str">
        <f t="shared" si="39"/>
        <v/>
      </c>
    </row>
    <row r="447" spans="1:33" ht="15.75" customHeight="1" x14ac:dyDescent="0.2">
      <c r="A447" s="35"/>
      <c r="B447" s="44"/>
      <c r="C447" s="35"/>
      <c r="D447" s="35"/>
      <c r="E447" s="48"/>
      <c r="F447" s="45"/>
      <c r="G447" s="38"/>
      <c r="H447" s="45"/>
      <c r="I447" s="45"/>
      <c r="L447" s="19"/>
      <c r="N447" s="25"/>
      <c r="O447" s="25"/>
      <c r="P447" s="27"/>
      <c r="R447" s="6" t="str">
        <f>IF($H447&lt;&gt;"",RIGHT(Tabela1[[#This Row],[Ref.]],2),"")</f>
        <v/>
      </c>
      <c r="S447" s="6" t="str">
        <f t="shared" si="36"/>
        <v/>
      </c>
      <c r="T447" s="4" t="str">
        <f>IF($H447&lt;&gt;"",_xlfn.XLOOKUP(H447,Naturezas!B:B,Naturezas!E:E,"",0,1),"")</f>
        <v/>
      </c>
      <c r="U447" s="4" t="str">
        <f>IF($H447&lt;&gt;"",_xlfn.XLOOKUP($H447,Naturezas!B:B,Naturezas!D:D,"",0,1),"")</f>
        <v/>
      </c>
      <c r="V447" s="5" t="str">
        <f>IF(H447&lt;&gt;"",IF(OR(H447=Naturezas!$B$3,H447=Naturezas!$B$4,H447=Naturezas!$B$5,H447=Naturezas!$B$17,H447=Naturezas!$B$18,H447=Naturezas!$B$19),G447,-G447),"")</f>
        <v/>
      </c>
      <c r="W447" s="4" t="str">
        <f t="shared" si="40"/>
        <v/>
      </c>
      <c r="X447" s="4"/>
      <c r="Y447" s="4" t="str">
        <f t="shared" si="41"/>
        <v/>
      </c>
      <c r="Z447" s="6" t="str">
        <f>IF(H447&lt;&gt;"",Tabela1[[#This Row],[Iniciais]],"")</f>
        <v/>
      </c>
      <c r="AB447" s="6" t="str">
        <f>IF($H447&lt;&gt;"",RIGHT(Tabela1[[#This Row],[Ref.]],2),"")</f>
        <v/>
      </c>
      <c r="AC447" s="37" t="str">
        <f>IF($H447&lt;&gt;"",DATE(LEFT(Tabela1[[#This Row],[Ref.]],4),RIGHT(Tabela1[[#This Row],[Ref.]],2),1),"")</f>
        <v/>
      </c>
      <c r="AD447" s="4" t="str">
        <f t="shared" si="37"/>
        <v/>
      </c>
      <c r="AE447" s="5" t="str">
        <f t="shared" si="38"/>
        <v/>
      </c>
      <c r="AF447" s="4"/>
      <c r="AG447" s="6" t="str">
        <f t="shared" si="39"/>
        <v/>
      </c>
    </row>
    <row r="448" spans="1:33" ht="15.75" customHeight="1" x14ac:dyDescent="0.2">
      <c r="A448" s="35"/>
      <c r="B448" s="44"/>
      <c r="C448" s="35"/>
      <c r="D448" s="35"/>
      <c r="E448" s="48"/>
      <c r="F448" s="45"/>
      <c r="G448" s="38"/>
      <c r="H448" s="45"/>
      <c r="I448" s="45"/>
      <c r="L448" s="19"/>
      <c r="N448" s="25"/>
      <c r="O448" s="25"/>
      <c r="P448" s="27"/>
      <c r="R448" s="6" t="str">
        <f>IF($H448&lt;&gt;"",RIGHT(Tabela1[[#This Row],[Ref.]],2),"")</f>
        <v/>
      </c>
      <c r="S448" s="6" t="str">
        <f t="shared" si="36"/>
        <v/>
      </c>
      <c r="T448" s="4" t="str">
        <f>IF($H448&lt;&gt;"",_xlfn.XLOOKUP(H448,Naturezas!B:B,Naturezas!E:E,"",0,1),"")</f>
        <v/>
      </c>
      <c r="U448" s="4" t="str">
        <f>IF($H448&lt;&gt;"",_xlfn.XLOOKUP($H448,Naturezas!B:B,Naturezas!D:D,"",0,1),"")</f>
        <v/>
      </c>
      <c r="V448" s="5" t="str">
        <f>IF(H448&lt;&gt;"",IF(OR(H448=Naturezas!$B$3,H448=Naturezas!$B$4,H448=Naturezas!$B$5,H448=Naturezas!$B$17,H448=Naturezas!$B$18,H448=Naturezas!$B$19),G448,-G448),"")</f>
        <v/>
      </c>
      <c r="W448" s="4" t="str">
        <f t="shared" si="40"/>
        <v/>
      </c>
      <c r="X448" s="4"/>
      <c r="Y448" s="4" t="str">
        <f t="shared" si="41"/>
        <v/>
      </c>
      <c r="Z448" s="6" t="str">
        <f>IF(H448&lt;&gt;"",Tabela1[[#This Row],[Iniciais]],"")</f>
        <v/>
      </c>
      <c r="AB448" s="6" t="str">
        <f>IF($H448&lt;&gt;"",RIGHT(Tabela1[[#This Row],[Ref.]],2),"")</f>
        <v/>
      </c>
      <c r="AC448" s="37" t="str">
        <f>IF($H448&lt;&gt;"",DATE(LEFT(Tabela1[[#This Row],[Ref.]],4),RIGHT(Tabela1[[#This Row],[Ref.]],2),1),"")</f>
        <v/>
      </c>
      <c r="AD448" s="4" t="str">
        <f t="shared" si="37"/>
        <v/>
      </c>
      <c r="AE448" s="5" t="str">
        <f t="shared" si="38"/>
        <v/>
      </c>
      <c r="AF448" s="4"/>
      <c r="AG448" s="6" t="str">
        <f t="shared" si="39"/>
        <v/>
      </c>
    </row>
    <row r="449" spans="1:33" ht="15.75" customHeight="1" x14ac:dyDescent="0.2">
      <c r="A449" s="35"/>
      <c r="B449" s="44"/>
      <c r="C449" s="35"/>
      <c r="D449" s="35"/>
      <c r="E449" s="48"/>
      <c r="F449" s="45"/>
      <c r="G449" s="38"/>
      <c r="H449" s="45"/>
      <c r="I449" s="45"/>
      <c r="L449" s="19"/>
      <c r="N449" s="25"/>
      <c r="O449" s="25"/>
      <c r="P449" s="27"/>
      <c r="R449" s="6" t="str">
        <f>IF($H449&lt;&gt;"",RIGHT(Tabela1[[#This Row],[Ref.]],2),"")</f>
        <v/>
      </c>
      <c r="S449" s="6" t="str">
        <f t="shared" si="36"/>
        <v/>
      </c>
      <c r="T449" s="4" t="str">
        <f>IF($H449&lt;&gt;"",_xlfn.XLOOKUP(H449,Naturezas!B:B,Naturezas!E:E,"",0,1),"")</f>
        <v/>
      </c>
      <c r="U449" s="4" t="str">
        <f>IF($H449&lt;&gt;"",_xlfn.XLOOKUP($H449,Naturezas!B:B,Naturezas!D:D,"",0,1),"")</f>
        <v/>
      </c>
      <c r="V449" s="5" t="str">
        <f>IF(H449&lt;&gt;"",IF(OR(H449=Naturezas!$B$3,H449=Naturezas!$B$4,H449=Naturezas!$B$5,H449=Naturezas!$B$17,H449=Naturezas!$B$18,H449=Naturezas!$B$19),G449,-G449),"")</f>
        <v/>
      </c>
      <c r="W449" s="4" t="str">
        <f t="shared" si="40"/>
        <v/>
      </c>
      <c r="X449" s="4"/>
      <c r="Y449" s="4" t="str">
        <f t="shared" si="41"/>
        <v/>
      </c>
      <c r="Z449" s="6" t="str">
        <f>IF(H449&lt;&gt;"",Tabela1[[#This Row],[Iniciais]],"")</f>
        <v/>
      </c>
      <c r="AB449" s="6" t="str">
        <f>IF($H449&lt;&gt;"",RIGHT(Tabela1[[#This Row],[Ref.]],2),"")</f>
        <v/>
      </c>
      <c r="AC449" s="37" t="str">
        <f>IF($H449&lt;&gt;"",DATE(LEFT(Tabela1[[#This Row],[Ref.]],4),RIGHT(Tabela1[[#This Row],[Ref.]],2),1),"")</f>
        <v/>
      </c>
      <c r="AD449" s="4" t="str">
        <f t="shared" si="37"/>
        <v/>
      </c>
      <c r="AE449" s="5" t="str">
        <f t="shared" si="38"/>
        <v/>
      </c>
      <c r="AF449" s="4"/>
      <c r="AG449" s="6" t="str">
        <f t="shared" si="39"/>
        <v/>
      </c>
    </row>
    <row r="450" spans="1:33" ht="15.75" customHeight="1" x14ac:dyDescent="0.2">
      <c r="A450" s="35"/>
      <c r="B450" s="44"/>
      <c r="C450" s="35"/>
      <c r="D450" s="35"/>
      <c r="E450" s="48"/>
      <c r="F450" s="45"/>
      <c r="G450" s="38"/>
      <c r="H450" s="45"/>
      <c r="I450" s="45"/>
      <c r="L450" s="19"/>
      <c r="N450" s="25"/>
      <c r="O450" s="25"/>
      <c r="P450" s="27"/>
      <c r="R450" s="6" t="str">
        <f>IF($H450&lt;&gt;"",RIGHT(Tabela1[[#This Row],[Ref.]],2),"")</f>
        <v/>
      </c>
      <c r="S450" s="6" t="str">
        <f t="shared" si="36"/>
        <v/>
      </c>
      <c r="T450" s="4" t="str">
        <f>IF($H450&lt;&gt;"",_xlfn.XLOOKUP(H450,Naturezas!B:B,Naturezas!E:E,"",0,1),"")</f>
        <v/>
      </c>
      <c r="U450" s="4" t="str">
        <f>IF($H450&lt;&gt;"",_xlfn.XLOOKUP($H450,Naturezas!B:B,Naturezas!D:D,"",0,1),"")</f>
        <v/>
      </c>
      <c r="V450" s="5" t="str">
        <f>IF(H450&lt;&gt;"",IF(OR(H450=Naturezas!$B$3,H450=Naturezas!$B$4,H450=Naturezas!$B$5,H450=Naturezas!$B$17,H450=Naturezas!$B$18,H450=Naturezas!$B$19),G450,-G450),"")</f>
        <v/>
      </c>
      <c r="W450" s="4" t="str">
        <f t="shared" si="40"/>
        <v/>
      </c>
      <c r="X450" s="4"/>
      <c r="Y450" s="4" t="str">
        <f t="shared" si="41"/>
        <v/>
      </c>
      <c r="Z450" s="6" t="str">
        <f>IF(H450&lt;&gt;"",Tabela1[[#This Row],[Iniciais]],"")</f>
        <v/>
      </c>
      <c r="AB450" s="6" t="str">
        <f>IF($H450&lt;&gt;"",RIGHT(Tabela1[[#This Row],[Ref.]],2),"")</f>
        <v/>
      </c>
      <c r="AC450" s="37" t="str">
        <f>IF($H450&lt;&gt;"",DATE(LEFT(Tabela1[[#This Row],[Ref.]],4),RIGHT(Tabela1[[#This Row],[Ref.]],2),1),"")</f>
        <v/>
      </c>
      <c r="AD450" s="4" t="str">
        <f t="shared" si="37"/>
        <v/>
      </c>
      <c r="AE450" s="5" t="str">
        <f t="shared" si="38"/>
        <v/>
      </c>
      <c r="AF450" s="4"/>
      <c r="AG450" s="6" t="str">
        <f t="shared" si="39"/>
        <v/>
      </c>
    </row>
    <row r="451" spans="1:33" ht="15.75" customHeight="1" x14ac:dyDescent="0.2">
      <c r="A451" s="35"/>
      <c r="B451" s="44"/>
      <c r="C451" s="35"/>
      <c r="D451" s="35"/>
      <c r="E451" s="48"/>
      <c r="F451" s="45"/>
      <c r="G451" s="38"/>
      <c r="H451" s="45"/>
      <c r="I451" s="45"/>
      <c r="L451" s="19"/>
      <c r="N451" s="25"/>
      <c r="O451" s="25"/>
      <c r="P451" s="27"/>
      <c r="R451" s="6" t="str">
        <f>IF($H451&lt;&gt;"",RIGHT(Tabela1[[#This Row],[Ref.]],2),"")</f>
        <v/>
      </c>
      <c r="S451" s="6" t="str">
        <f t="shared" si="36"/>
        <v/>
      </c>
      <c r="T451" s="4" t="str">
        <f>IF($H451&lt;&gt;"",_xlfn.XLOOKUP(H451,Naturezas!B:B,Naturezas!E:E,"",0,1),"")</f>
        <v/>
      </c>
      <c r="U451" s="4" t="str">
        <f>IF($H451&lt;&gt;"",_xlfn.XLOOKUP($H451,Naturezas!B:B,Naturezas!D:D,"",0,1),"")</f>
        <v/>
      </c>
      <c r="V451" s="5" t="str">
        <f>IF(H451&lt;&gt;"",IF(OR(H451=Naturezas!$B$3,H451=Naturezas!$B$4,H451=Naturezas!$B$5,H451=Naturezas!$B$17,H451=Naturezas!$B$18,H451=Naturezas!$B$19),G451,-G451),"")</f>
        <v/>
      </c>
      <c r="W451" s="4" t="str">
        <f t="shared" si="40"/>
        <v/>
      </c>
      <c r="X451" s="4"/>
      <c r="Y451" s="4" t="str">
        <f t="shared" si="41"/>
        <v/>
      </c>
      <c r="Z451" s="6" t="str">
        <f>IF(H451&lt;&gt;"",Tabela1[[#This Row],[Iniciais]],"")</f>
        <v/>
      </c>
      <c r="AB451" s="6" t="str">
        <f>IF($H451&lt;&gt;"",RIGHT(Tabela1[[#This Row],[Ref.]],2),"")</f>
        <v/>
      </c>
      <c r="AC451" s="37" t="str">
        <f>IF($H451&lt;&gt;"",DATE(LEFT(Tabela1[[#This Row],[Ref.]],4),RIGHT(Tabela1[[#This Row],[Ref.]],2),1),"")</f>
        <v/>
      </c>
      <c r="AD451" s="4" t="str">
        <f t="shared" si="37"/>
        <v/>
      </c>
      <c r="AE451" s="5" t="str">
        <f t="shared" si="38"/>
        <v/>
      </c>
      <c r="AF451" s="4"/>
      <c r="AG451" s="6" t="str">
        <f t="shared" si="39"/>
        <v/>
      </c>
    </row>
    <row r="452" spans="1:33" ht="15.75" customHeight="1" x14ac:dyDescent="0.2">
      <c r="A452" s="35"/>
      <c r="B452" s="44"/>
      <c r="C452" s="35"/>
      <c r="D452" s="35"/>
      <c r="E452" s="48"/>
      <c r="F452" s="45"/>
      <c r="G452" s="38"/>
      <c r="H452" s="45"/>
      <c r="I452" s="45"/>
      <c r="L452" s="19"/>
      <c r="N452" s="25"/>
      <c r="O452" s="25"/>
      <c r="P452" s="27"/>
      <c r="R452" s="6" t="str">
        <f>IF($H452&lt;&gt;"",RIGHT(Tabela1[[#This Row],[Ref.]],2),"")</f>
        <v/>
      </c>
      <c r="S452" s="6" t="str">
        <f t="shared" si="36"/>
        <v/>
      </c>
      <c r="T452" s="4" t="str">
        <f>IF($H452&lt;&gt;"",_xlfn.XLOOKUP(H452,Naturezas!B:B,Naturezas!E:E,"",0,1),"")</f>
        <v/>
      </c>
      <c r="U452" s="4" t="str">
        <f>IF($H452&lt;&gt;"",_xlfn.XLOOKUP($H452,Naturezas!B:B,Naturezas!D:D,"",0,1),"")</f>
        <v/>
      </c>
      <c r="V452" s="5" t="str">
        <f>IF(H452&lt;&gt;"",IF(OR(H452=Naturezas!$B$3,H452=Naturezas!$B$4,H452=Naturezas!$B$5,H452=Naturezas!$B$17,H452=Naturezas!$B$18,H452=Naturezas!$B$19),G452,-G452),"")</f>
        <v/>
      </c>
      <c r="W452" s="4" t="str">
        <f t="shared" si="40"/>
        <v/>
      </c>
      <c r="X452" s="4"/>
      <c r="Y452" s="4" t="str">
        <f t="shared" si="41"/>
        <v/>
      </c>
      <c r="Z452" s="6" t="str">
        <f>IF(H452&lt;&gt;"",Tabela1[[#This Row],[Iniciais]],"")</f>
        <v/>
      </c>
      <c r="AB452" s="6" t="str">
        <f>IF($H452&lt;&gt;"",RIGHT(Tabela1[[#This Row],[Ref.]],2),"")</f>
        <v/>
      </c>
      <c r="AC452" s="37" t="str">
        <f>IF($H452&lt;&gt;"",DATE(LEFT(Tabela1[[#This Row],[Ref.]],4),RIGHT(Tabela1[[#This Row],[Ref.]],2),1),"")</f>
        <v/>
      </c>
      <c r="AD452" s="4" t="str">
        <f t="shared" si="37"/>
        <v/>
      </c>
      <c r="AE452" s="5" t="str">
        <f t="shared" si="38"/>
        <v/>
      </c>
      <c r="AF452" s="4"/>
      <c r="AG452" s="6" t="str">
        <f t="shared" si="39"/>
        <v/>
      </c>
    </row>
    <row r="453" spans="1:33" ht="15.75" customHeight="1" x14ac:dyDescent="0.2">
      <c r="A453" s="35"/>
      <c r="B453" s="44"/>
      <c r="C453" s="35"/>
      <c r="D453" s="35"/>
      <c r="E453" s="48"/>
      <c r="F453" s="45"/>
      <c r="G453" s="38"/>
      <c r="H453" s="45"/>
      <c r="I453" s="45"/>
      <c r="L453" s="19"/>
      <c r="N453" s="25"/>
      <c r="O453" s="25"/>
      <c r="P453" s="27"/>
      <c r="R453" s="6" t="str">
        <f>IF($H453&lt;&gt;"",RIGHT(Tabela1[[#This Row],[Ref.]],2),"")</f>
        <v/>
      </c>
      <c r="S453" s="6" t="str">
        <f t="shared" si="36"/>
        <v/>
      </c>
      <c r="T453" s="4" t="str">
        <f>IF($H453&lt;&gt;"",_xlfn.XLOOKUP(H453,Naturezas!B:B,Naturezas!E:E,"",0,1),"")</f>
        <v/>
      </c>
      <c r="U453" s="4" t="str">
        <f>IF($H453&lt;&gt;"",_xlfn.XLOOKUP($H453,Naturezas!B:B,Naturezas!D:D,"",0,1),"")</f>
        <v/>
      </c>
      <c r="V453" s="5" t="str">
        <f>IF(H453&lt;&gt;"",IF(OR(H453=Naturezas!$B$3,H453=Naturezas!$B$4,H453=Naturezas!$B$5,H453=Naturezas!$B$17,H453=Naturezas!$B$18,H453=Naturezas!$B$19),G453,-G453),"")</f>
        <v/>
      </c>
      <c r="W453" s="4" t="str">
        <f t="shared" si="40"/>
        <v/>
      </c>
      <c r="X453" s="4"/>
      <c r="Y453" s="4" t="str">
        <f t="shared" si="41"/>
        <v/>
      </c>
      <c r="Z453" s="6" t="str">
        <f>IF(H453&lt;&gt;"",Tabela1[[#This Row],[Iniciais]],"")</f>
        <v/>
      </c>
      <c r="AB453" s="6" t="str">
        <f>IF($H453&lt;&gt;"",RIGHT(Tabela1[[#This Row],[Ref.]],2),"")</f>
        <v/>
      </c>
      <c r="AC453" s="37" t="str">
        <f>IF($H453&lt;&gt;"",DATE(LEFT(Tabela1[[#This Row],[Ref.]],4),RIGHT(Tabela1[[#This Row],[Ref.]],2),1),"")</f>
        <v/>
      </c>
      <c r="AD453" s="4" t="str">
        <f t="shared" si="37"/>
        <v/>
      </c>
      <c r="AE453" s="5" t="str">
        <f t="shared" si="38"/>
        <v/>
      </c>
      <c r="AF453" s="4"/>
      <c r="AG453" s="6" t="str">
        <f t="shared" si="39"/>
        <v/>
      </c>
    </row>
    <row r="454" spans="1:33" ht="15.75" customHeight="1" x14ac:dyDescent="0.2">
      <c r="A454" s="35"/>
      <c r="B454" s="44"/>
      <c r="C454" s="35"/>
      <c r="D454" s="35"/>
      <c r="E454" s="48"/>
      <c r="F454" s="45"/>
      <c r="G454" s="38"/>
      <c r="H454" s="45"/>
      <c r="I454" s="45"/>
      <c r="L454" s="19"/>
      <c r="N454" s="25"/>
      <c r="O454" s="25"/>
      <c r="P454" s="27"/>
      <c r="R454" s="6" t="str">
        <f>IF($H454&lt;&gt;"",RIGHT(Tabela1[[#This Row],[Ref.]],2),"")</f>
        <v/>
      </c>
      <c r="S454" s="6" t="str">
        <f t="shared" si="36"/>
        <v/>
      </c>
      <c r="T454" s="4" t="str">
        <f>IF($H454&lt;&gt;"",_xlfn.XLOOKUP(H454,Naturezas!B:B,Naturezas!E:E,"",0,1),"")</f>
        <v/>
      </c>
      <c r="U454" s="4" t="str">
        <f>IF($H454&lt;&gt;"",_xlfn.XLOOKUP($H454,Naturezas!B:B,Naturezas!D:D,"",0,1),"")</f>
        <v/>
      </c>
      <c r="V454" s="5" t="str">
        <f>IF(H454&lt;&gt;"",IF(OR(H454=Naturezas!$B$3,H454=Naturezas!$B$4,H454=Naturezas!$B$5,H454=Naturezas!$B$17,H454=Naturezas!$B$18,H454=Naturezas!$B$19),G454,-G454),"")</f>
        <v/>
      </c>
      <c r="W454" s="4" t="str">
        <f t="shared" si="40"/>
        <v/>
      </c>
      <c r="X454" s="4"/>
      <c r="Y454" s="4" t="str">
        <f t="shared" si="41"/>
        <v/>
      </c>
      <c r="Z454" s="6" t="str">
        <f>IF(H454&lt;&gt;"",Tabela1[[#This Row],[Iniciais]],"")</f>
        <v/>
      </c>
      <c r="AB454" s="6" t="str">
        <f>IF($H454&lt;&gt;"",RIGHT(Tabela1[[#This Row],[Ref.]],2),"")</f>
        <v/>
      </c>
      <c r="AC454" s="37" t="str">
        <f>IF($H454&lt;&gt;"",DATE(LEFT(Tabela1[[#This Row],[Ref.]],4),RIGHT(Tabela1[[#This Row],[Ref.]],2),1),"")</f>
        <v/>
      </c>
      <c r="AD454" s="4" t="str">
        <f t="shared" si="37"/>
        <v/>
      </c>
      <c r="AE454" s="5" t="str">
        <f t="shared" si="38"/>
        <v/>
      </c>
      <c r="AF454" s="4"/>
      <c r="AG454" s="6" t="str">
        <f t="shared" si="39"/>
        <v/>
      </c>
    </row>
    <row r="455" spans="1:33" ht="15.75" customHeight="1" x14ac:dyDescent="0.2">
      <c r="A455" s="35"/>
      <c r="B455" s="44"/>
      <c r="C455" s="35"/>
      <c r="D455" s="35"/>
      <c r="E455" s="48"/>
      <c r="F455" s="45"/>
      <c r="G455" s="38"/>
      <c r="H455" s="45"/>
      <c r="I455" s="45"/>
      <c r="L455" s="19"/>
      <c r="N455" s="25"/>
      <c r="O455" s="25"/>
      <c r="P455" s="27"/>
      <c r="R455" s="6" t="str">
        <f>IF($H455&lt;&gt;"",RIGHT(Tabela1[[#This Row],[Ref.]],2),"")</f>
        <v/>
      </c>
      <c r="S455" s="6" t="str">
        <f t="shared" si="36"/>
        <v/>
      </c>
      <c r="T455" s="4" t="str">
        <f>IF($H455&lt;&gt;"",_xlfn.XLOOKUP(H455,Naturezas!B:B,Naturezas!E:E,"",0,1),"")</f>
        <v/>
      </c>
      <c r="U455" s="4" t="str">
        <f>IF($H455&lt;&gt;"",_xlfn.XLOOKUP($H455,Naturezas!B:B,Naturezas!D:D,"",0,1),"")</f>
        <v/>
      </c>
      <c r="V455" s="5" t="str">
        <f>IF(H455&lt;&gt;"",IF(OR(H455=Naturezas!$B$3,H455=Naturezas!$B$4,H455=Naturezas!$B$5,H455=Naturezas!$B$17,H455=Naturezas!$B$18,H455=Naturezas!$B$19),G455,-G455),"")</f>
        <v/>
      </c>
      <c r="W455" s="4" t="str">
        <f t="shared" si="40"/>
        <v/>
      </c>
      <c r="X455" s="4"/>
      <c r="Y455" s="4" t="str">
        <f t="shared" si="41"/>
        <v/>
      </c>
      <c r="Z455" s="6" t="str">
        <f>IF(H455&lt;&gt;"",Tabela1[[#This Row],[Iniciais]],"")</f>
        <v/>
      </c>
      <c r="AB455" s="6" t="str">
        <f>IF($H455&lt;&gt;"",RIGHT(Tabela1[[#This Row],[Ref.]],2),"")</f>
        <v/>
      </c>
      <c r="AC455" s="37" t="str">
        <f>IF($H455&lt;&gt;"",DATE(LEFT(Tabela1[[#This Row],[Ref.]],4),RIGHT(Tabela1[[#This Row],[Ref.]],2),1),"")</f>
        <v/>
      </c>
      <c r="AD455" s="4" t="str">
        <f t="shared" si="37"/>
        <v/>
      </c>
      <c r="AE455" s="5" t="str">
        <f t="shared" si="38"/>
        <v/>
      </c>
      <c r="AF455" s="4"/>
      <c r="AG455" s="6" t="str">
        <f t="shared" si="39"/>
        <v/>
      </c>
    </row>
    <row r="456" spans="1:33" ht="15.75" customHeight="1" x14ac:dyDescent="0.2">
      <c r="A456" s="35"/>
      <c r="B456" s="44"/>
      <c r="C456" s="35"/>
      <c r="D456" s="35"/>
      <c r="E456" s="48"/>
      <c r="F456" s="45"/>
      <c r="G456" s="38"/>
      <c r="H456" s="45"/>
      <c r="I456" s="45"/>
      <c r="L456" s="19"/>
      <c r="N456" s="25"/>
      <c r="O456" s="25"/>
      <c r="P456" s="27"/>
      <c r="R456" s="6" t="str">
        <f>IF($H456&lt;&gt;"",RIGHT(Tabela1[[#This Row],[Ref.]],2),"")</f>
        <v/>
      </c>
      <c r="S456" s="6" t="str">
        <f t="shared" si="36"/>
        <v/>
      </c>
      <c r="T456" s="4" t="str">
        <f>IF($H456&lt;&gt;"",_xlfn.XLOOKUP(H456,Naturezas!B:B,Naturezas!E:E,"",0,1),"")</f>
        <v/>
      </c>
      <c r="U456" s="4" t="str">
        <f>IF($H456&lt;&gt;"",_xlfn.XLOOKUP($H456,Naturezas!B:B,Naturezas!D:D,"",0,1),"")</f>
        <v/>
      </c>
      <c r="V456" s="5" t="str">
        <f>IF(H456&lt;&gt;"",IF(OR(H456=Naturezas!$B$3,H456=Naturezas!$B$4,H456=Naturezas!$B$5,H456=Naturezas!$B$17,H456=Naturezas!$B$18,H456=Naturezas!$B$19),G456,-G456),"")</f>
        <v/>
      </c>
      <c r="W456" s="4" t="str">
        <f t="shared" si="40"/>
        <v/>
      </c>
      <c r="X456" s="4"/>
      <c r="Y456" s="4" t="str">
        <f t="shared" si="41"/>
        <v/>
      </c>
      <c r="Z456" s="6" t="str">
        <f>IF(H456&lt;&gt;"",Tabela1[[#This Row],[Iniciais]],"")</f>
        <v/>
      </c>
      <c r="AB456" s="6" t="str">
        <f>IF($H456&lt;&gt;"",RIGHT(Tabela1[[#This Row],[Ref.]],2),"")</f>
        <v/>
      </c>
      <c r="AC456" s="37" t="str">
        <f>IF($H456&lt;&gt;"",DATE(LEFT(Tabela1[[#This Row],[Ref.]],4),RIGHT(Tabela1[[#This Row],[Ref.]],2),1),"")</f>
        <v/>
      </c>
      <c r="AD456" s="4" t="str">
        <f t="shared" si="37"/>
        <v/>
      </c>
      <c r="AE456" s="5" t="str">
        <f t="shared" si="38"/>
        <v/>
      </c>
      <c r="AF456" s="4"/>
      <c r="AG456" s="6" t="str">
        <f t="shared" si="39"/>
        <v/>
      </c>
    </row>
    <row r="457" spans="1:33" ht="15.75" customHeight="1" x14ac:dyDescent="0.2">
      <c r="A457" s="35"/>
      <c r="B457" s="44"/>
      <c r="C457" s="35"/>
      <c r="D457" s="35"/>
      <c r="E457" s="48"/>
      <c r="F457" s="45"/>
      <c r="G457" s="38"/>
      <c r="H457" s="45"/>
      <c r="I457" s="45"/>
      <c r="L457" s="19"/>
      <c r="N457" s="25"/>
      <c r="O457" s="25"/>
      <c r="P457" s="27"/>
      <c r="R457" s="6" t="str">
        <f>IF($H457&lt;&gt;"",RIGHT(Tabela1[[#This Row],[Ref.]],2),"")</f>
        <v/>
      </c>
      <c r="S457" s="6" t="str">
        <f t="shared" ref="S457:S504" si="42">IF($H457&lt;&gt;"",1,"")</f>
        <v/>
      </c>
      <c r="T457" s="4" t="str">
        <f>IF($H457&lt;&gt;"",_xlfn.XLOOKUP(H457,Naturezas!B:B,Naturezas!E:E,"",0,1),"")</f>
        <v/>
      </c>
      <c r="U457" s="4" t="str">
        <f>IF($H457&lt;&gt;"",_xlfn.XLOOKUP($H457,Naturezas!B:B,Naturezas!D:D,"",0,1),"")</f>
        <v/>
      </c>
      <c r="V457" s="5" t="str">
        <f>IF(H457&lt;&gt;"",IF(OR(H457=Naturezas!$B$3,H457=Naturezas!$B$4,H457=Naturezas!$B$5,H457=Naturezas!$B$17,H457=Naturezas!$B$18,H457=Naturezas!$B$19),G457,-G457),"")</f>
        <v/>
      </c>
      <c r="W457" s="4" t="str">
        <f t="shared" si="40"/>
        <v/>
      </c>
      <c r="X457" s="4"/>
      <c r="Y457" s="4" t="str">
        <f t="shared" si="41"/>
        <v/>
      </c>
      <c r="Z457" s="6" t="str">
        <f>IF(H457&lt;&gt;"",Tabela1[[#This Row],[Iniciais]],"")</f>
        <v/>
      </c>
      <c r="AB457" s="6" t="str">
        <f>IF($H457&lt;&gt;"",RIGHT(Tabela1[[#This Row],[Ref.]],2),"")</f>
        <v/>
      </c>
      <c r="AC457" s="37" t="str">
        <f>IF($H457&lt;&gt;"",DATE(LEFT(Tabela1[[#This Row],[Ref.]],4),RIGHT(Tabela1[[#This Row],[Ref.]],2),1),"")</f>
        <v/>
      </c>
      <c r="AD457" s="4" t="str">
        <f t="shared" ref="AD457:AD504" si="43">IF($H457&lt;&gt;"",$F457,"")</f>
        <v/>
      </c>
      <c r="AE457" s="5" t="str">
        <f t="shared" ref="AE457:AE504" si="44">IF($H457&lt;&gt;"",$G457,"")</f>
        <v/>
      </c>
      <c r="AF457" s="4"/>
      <c r="AG457" s="6" t="str">
        <f t="shared" ref="AG457:AG504" si="45">IF($H457&lt;&gt;"",$B$2,"")</f>
        <v/>
      </c>
    </row>
    <row r="458" spans="1:33" ht="15.75" customHeight="1" x14ac:dyDescent="0.2">
      <c r="A458" s="35"/>
      <c r="B458" s="44"/>
      <c r="C458" s="35"/>
      <c r="D458" s="35"/>
      <c r="E458" s="48"/>
      <c r="F458" s="45"/>
      <c r="G458" s="38"/>
      <c r="H458" s="45"/>
      <c r="I458" s="45"/>
      <c r="L458" s="19"/>
      <c r="N458" s="25"/>
      <c r="O458" s="25"/>
      <c r="P458" s="27"/>
      <c r="R458" s="6" t="str">
        <f>IF($H458&lt;&gt;"",RIGHT(Tabela1[[#This Row],[Ref.]],2),"")</f>
        <v/>
      </c>
      <c r="S458" s="6" t="str">
        <f t="shared" si="42"/>
        <v/>
      </c>
      <c r="T458" s="4" t="str">
        <f>IF($H458&lt;&gt;"",_xlfn.XLOOKUP(H458,Naturezas!B:B,Naturezas!E:E,"",0,1),"")</f>
        <v/>
      </c>
      <c r="U458" s="4" t="str">
        <f>IF($H458&lt;&gt;"",_xlfn.XLOOKUP($H458,Naturezas!B:B,Naturezas!D:D,"",0,1),"")</f>
        <v/>
      </c>
      <c r="V458" s="5" t="str">
        <f>IF(H458&lt;&gt;"",IF(OR(H458=Naturezas!$B$3,H458=Naturezas!$B$4,H458=Naturezas!$B$5,H458=Naturezas!$B$17,H458=Naturezas!$B$18,H458=Naturezas!$B$19),G458,-G458),"")</f>
        <v/>
      </c>
      <c r="W458" s="4" t="str">
        <f t="shared" ref="W458:W504" si="46">IF(H458&lt;&gt;"",H458,"")</f>
        <v/>
      </c>
      <c r="X458" s="4"/>
      <c r="Y458" s="4" t="str">
        <f t="shared" ref="Y458:Y504" si="47">IF(H458&lt;&gt;"",F458,"")</f>
        <v/>
      </c>
      <c r="Z458" s="6" t="str">
        <f>IF(H458&lt;&gt;"",Tabela1[[#This Row],[Iniciais]],"")</f>
        <v/>
      </c>
      <c r="AB458" s="6" t="str">
        <f>IF($H458&lt;&gt;"",RIGHT(Tabela1[[#This Row],[Ref.]],2),"")</f>
        <v/>
      </c>
      <c r="AC458" s="37" t="str">
        <f>IF($H458&lt;&gt;"",DATE(LEFT(Tabela1[[#This Row],[Ref.]],4),RIGHT(Tabela1[[#This Row],[Ref.]],2),1),"")</f>
        <v/>
      </c>
      <c r="AD458" s="4" t="str">
        <f t="shared" si="43"/>
        <v/>
      </c>
      <c r="AE458" s="5" t="str">
        <f t="shared" si="44"/>
        <v/>
      </c>
      <c r="AF458" s="4"/>
      <c r="AG458" s="6" t="str">
        <f t="shared" si="45"/>
        <v/>
      </c>
    </row>
    <row r="459" spans="1:33" ht="15.75" customHeight="1" x14ac:dyDescent="0.2">
      <c r="A459" s="35"/>
      <c r="B459" s="44"/>
      <c r="C459" s="35"/>
      <c r="D459" s="35"/>
      <c r="E459" s="48"/>
      <c r="F459" s="45"/>
      <c r="G459" s="38"/>
      <c r="H459" s="45"/>
      <c r="I459" s="45"/>
      <c r="L459" s="19"/>
      <c r="N459" s="25"/>
      <c r="O459" s="25"/>
      <c r="P459" s="27"/>
      <c r="R459" s="6" t="str">
        <f>IF($H459&lt;&gt;"",RIGHT(Tabela1[[#This Row],[Ref.]],2),"")</f>
        <v/>
      </c>
      <c r="S459" s="6" t="str">
        <f t="shared" si="42"/>
        <v/>
      </c>
      <c r="T459" s="4" t="str">
        <f>IF($H459&lt;&gt;"",_xlfn.XLOOKUP(H459,Naturezas!B:B,Naturezas!E:E,"",0,1),"")</f>
        <v/>
      </c>
      <c r="U459" s="4" t="str">
        <f>IF($H459&lt;&gt;"",_xlfn.XLOOKUP($H459,Naturezas!B:B,Naturezas!D:D,"",0,1),"")</f>
        <v/>
      </c>
      <c r="V459" s="5" t="str">
        <f>IF(H459&lt;&gt;"",IF(OR(H459=Naturezas!$B$3,H459=Naturezas!$B$4,H459=Naturezas!$B$5,H459=Naturezas!$B$17,H459=Naturezas!$B$18,H459=Naturezas!$B$19),G459,-G459),"")</f>
        <v/>
      </c>
      <c r="W459" s="4" t="str">
        <f t="shared" si="46"/>
        <v/>
      </c>
      <c r="X459" s="4"/>
      <c r="Y459" s="4" t="str">
        <f t="shared" si="47"/>
        <v/>
      </c>
      <c r="Z459" s="6" t="str">
        <f>IF(H459&lt;&gt;"",Tabela1[[#This Row],[Iniciais]],"")</f>
        <v/>
      </c>
      <c r="AB459" s="6" t="str">
        <f>IF($H459&lt;&gt;"",RIGHT(Tabela1[[#This Row],[Ref.]],2),"")</f>
        <v/>
      </c>
      <c r="AC459" s="37" t="str">
        <f>IF($H459&lt;&gt;"",DATE(LEFT(Tabela1[[#This Row],[Ref.]],4),RIGHT(Tabela1[[#This Row],[Ref.]],2),1),"")</f>
        <v/>
      </c>
      <c r="AD459" s="4" t="str">
        <f t="shared" si="43"/>
        <v/>
      </c>
      <c r="AE459" s="5" t="str">
        <f t="shared" si="44"/>
        <v/>
      </c>
      <c r="AF459" s="4"/>
      <c r="AG459" s="6" t="str">
        <f t="shared" si="45"/>
        <v/>
      </c>
    </row>
    <row r="460" spans="1:33" ht="15.75" customHeight="1" x14ac:dyDescent="0.2">
      <c r="A460" s="35"/>
      <c r="B460" s="44"/>
      <c r="C460" s="35"/>
      <c r="D460" s="35"/>
      <c r="E460" s="48"/>
      <c r="F460" s="45"/>
      <c r="G460" s="38"/>
      <c r="H460" s="45"/>
      <c r="I460" s="45"/>
      <c r="L460" s="19"/>
      <c r="N460" s="25"/>
      <c r="O460" s="25"/>
      <c r="P460" s="27"/>
      <c r="R460" s="6" t="str">
        <f>IF($H460&lt;&gt;"",RIGHT(Tabela1[[#This Row],[Ref.]],2),"")</f>
        <v/>
      </c>
      <c r="S460" s="6" t="str">
        <f t="shared" si="42"/>
        <v/>
      </c>
      <c r="T460" s="4" t="str">
        <f>IF($H460&lt;&gt;"",_xlfn.XLOOKUP(H460,Naturezas!B:B,Naturezas!E:E,"",0,1),"")</f>
        <v/>
      </c>
      <c r="U460" s="4" t="str">
        <f>IF($H460&lt;&gt;"",_xlfn.XLOOKUP($H460,Naturezas!B:B,Naturezas!D:D,"",0,1),"")</f>
        <v/>
      </c>
      <c r="V460" s="5" t="str">
        <f>IF(H460&lt;&gt;"",IF(OR(H460=Naturezas!$B$3,H460=Naturezas!$B$4,H460=Naturezas!$B$5,H460=Naturezas!$B$17,H460=Naturezas!$B$18,H460=Naturezas!$B$19),G460,-G460),"")</f>
        <v/>
      </c>
      <c r="W460" s="4" t="str">
        <f t="shared" si="46"/>
        <v/>
      </c>
      <c r="X460" s="4"/>
      <c r="Y460" s="4" t="str">
        <f t="shared" si="47"/>
        <v/>
      </c>
      <c r="Z460" s="6" t="str">
        <f>IF(H460&lt;&gt;"",Tabela1[[#This Row],[Iniciais]],"")</f>
        <v/>
      </c>
      <c r="AB460" s="6" t="str">
        <f>IF($H460&lt;&gt;"",RIGHT(Tabela1[[#This Row],[Ref.]],2),"")</f>
        <v/>
      </c>
      <c r="AC460" s="37" t="str">
        <f>IF($H460&lt;&gt;"",DATE(LEFT(Tabela1[[#This Row],[Ref.]],4),RIGHT(Tabela1[[#This Row],[Ref.]],2),1),"")</f>
        <v/>
      </c>
      <c r="AD460" s="4" t="str">
        <f t="shared" si="43"/>
        <v/>
      </c>
      <c r="AE460" s="5" t="str">
        <f t="shared" si="44"/>
        <v/>
      </c>
      <c r="AF460" s="4"/>
      <c r="AG460" s="6" t="str">
        <f t="shared" si="45"/>
        <v/>
      </c>
    </row>
    <row r="461" spans="1:33" ht="15.75" customHeight="1" x14ac:dyDescent="0.2">
      <c r="A461" s="35"/>
      <c r="B461" s="44"/>
      <c r="C461" s="35"/>
      <c r="D461" s="35"/>
      <c r="E461" s="48"/>
      <c r="F461" s="45"/>
      <c r="G461" s="38"/>
      <c r="H461" s="45"/>
      <c r="I461" s="45"/>
      <c r="L461" s="19"/>
      <c r="N461" s="25"/>
      <c r="O461" s="25"/>
      <c r="P461" s="27"/>
      <c r="R461" s="6" t="str">
        <f>IF($H461&lt;&gt;"",RIGHT(Tabela1[[#This Row],[Ref.]],2),"")</f>
        <v/>
      </c>
      <c r="S461" s="6" t="str">
        <f t="shared" si="42"/>
        <v/>
      </c>
      <c r="T461" s="4" t="str">
        <f>IF($H461&lt;&gt;"",_xlfn.XLOOKUP(H461,Naturezas!B:B,Naturezas!E:E,"",0,1),"")</f>
        <v/>
      </c>
      <c r="U461" s="4" t="str">
        <f>IF($H461&lt;&gt;"",_xlfn.XLOOKUP($H461,Naturezas!B:B,Naturezas!D:D,"",0,1),"")</f>
        <v/>
      </c>
      <c r="V461" s="5" t="str">
        <f>IF(H461&lt;&gt;"",IF(OR(H461=Naturezas!$B$3,H461=Naturezas!$B$4,H461=Naturezas!$B$5,H461=Naturezas!$B$17,H461=Naturezas!$B$18,H461=Naturezas!$B$19),G461,-G461),"")</f>
        <v/>
      </c>
      <c r="W461" s="4" t="str">
        <f t="shared" si="46"/>
        <v/>
      </c>
      <c r="X461" s="4"/>
      <c r="Y461" s="4" t="str">
        <f t="shared" si="47"/>
        <v/>
      </c>
      <c r="Z461" s="6" t="str">
        <f>IF(H461&lt;&gt;"",Tabela1[[#This Row],[Iniciais]],"")</f>
        <v/>
      </c>
      <c r="AB461" s="6" t="str">
        <f>IF($H461&lt;&gt;"",RIGHT(Tabela1[[#This Row],[Ref.]],2),"")</f>
        <v/>
      </c>
      <c r="AC461" s="37" t="str">
        <f>IF($H461&lt;&gt;"",DATE(LEFT(Tabela1[[#This Row],[Ref.]],4),RIGHT(Tabela1[[#This Row],[Ref.]],2),1),"")</f>
        <v/>
      </c>
      <c r="AD461" s="4" t="str">
        <f t="shared" si="43"/>
        <v/>
      </c>
      <c r="AE461" s="5" t="str">
        <f t="shared" si="44"/>
        <v/>
      </c>
      <c r="AF461" s="4"/>
      <c r="AG461" s="6" t="str">
        <f t="shared" si="45"/>
        <v/>
      </c>
    </row>
    <row r="462" spans="1:33" ht="15.75" customHeight="1" x14ac:dyDescent="0.2">
      <c r="A462" s="35"/>
      <c r="B462" s="44"/>
      <c r="C462" s="35"/>
      <c r="D462" s="35"/>
      <c r="E462" s="48"/>
      <c r="F462" s="45"/>
      <c r="G462" s="38"/>
      <c r="H462" s="45"/>
      <c r="I462" s="45"/>
      <c r="L462" s="19"/>
      <c r="N462" s="25"/>
      <c r="O462" s="25"/>
      <c r="P462" s="27"/>
      <c r="R462" s="6" t="str">
        <f>IF($H462&lt;&gt;"",RIGHT(Tabela1[[#This Row],[Ref.]],2),"")</f>
        <v/>
      </c>
      <c r="S462" s="6" t="str">
        <f t="shared" si="42"/>
        <v/>
      </c>
      <c r="T462" s="4" t="str">
        <f>IF($H462&lt;&gt;"",_xlfn.XLOOKUP(H462,Naturezas!B:B,Naturezas!E:E,"",0,1),"")</f>
        <v/>
      </c>
      <c r="U462" s="4" t="str">
        <f>IF($H462&lt;&gt;"",_xlfn.XLOOKUP($H462,Naturezas!B:B,Naturezas!D:D,"",0,1),"")</f>
        <v/>
      </c>
      <c r="V462" s="5" t="str">
        <f>IF(H462&lt;&gt;"",IF(OR(H462=Naturezas!$B$3,H462=Naturezas!$B$4,H462=Naturezas!$B$5,H462=Naturezas!$B$17,H462=Naturezas!$B$18,H462=Naturezas!$B$19),G462,-G462),"")</f>
        <v/>
      </c>
      <c r="W462" s="4" t="str">
        <f t="shared" si="46"/>
        <v/>
      </c>
      <c r="X462" s="4"/>
      <c r="Y462" s="4" t="str">
        <f t="shared" si="47"/>
        <v/>
      </c>
      <c r="Z462" s="6" t="str">
        <f>IF(H462&lt;&gt;"",Tabela1[[#This Row],[Iniciais]],"")</f>
        <v/>
      </c>
      <c r="AB462" s="6" t="str">
        <f>IF($H462&lt;&gt;"",RIGHT(Tabela1[[#This Row],[Ref.]],2),"")</f>
        <v/>
      </c>
      <c r="AC462" s="37" t="str">
        <f>IF($H462&lt;&gt;"",DATE(LEFT(Tabela1[[#This Row],[Ref.]],4),RIGHT(Tabela1[[#This Row],[Ref.]],2),1),"")</f>
        <v/>
      </c>
      <c r="AD462" s="4" t="str">
        <f t="shared" si="43"/>
        <v/>
      </c>
      <c r="AE462" s="5" t="str">
        <f t="shared" si="44"/>
        <v/>
      </c>
      <c r="AF462" s="4"/>
      <c r="AG462" s="6" t="str">
        <f t="shared" si="45"/>
        <v/>
      </c>
    </row>
    <row r="463" spans="1:33" ht="15.75" customHeight="1" x14ac:dyDescent="0.2">
      <c r="A463" s="35"/>
      <c r="B463" s="44"/>
      <c r="C463" s="35"/>
      <c r="D463" s="35"/>
      <c r="E463" s="48"/>
      <c r="F463" s="45"/>
      <c r="G463" s="38"/>
      <c r="H463" s="45"/>
      <c r="I463" s="45"/>
      <c r="L463" s="19"/>
      <c r="N463" s="25"/>
      <c r="O463" s="25"/>
      <c r="P463" s="27"/>
      <c r="R463" s="6" t="str">
        <f>IF($H463&lt;&gt;"",RIGHT(Tabela1[[#This Row],[Ref.]],2),"")</f>
        <v/>
      </c>
      <c r="S463" s="6" t="str">
        <f t="shared" si="42"/>
        <v/>
      </c>
      <c r="T463" s="4" t="str">
        <f>IF($H463&lt;&gt;"",_xlfn.XLOOKUP(H463,Naturezas!B:B,Naturezas!E:E,"",0,1),"")</f>
        <v/>
      </c>
      <c r="U463" s="4" t="str">
        <f>IF($H463&lt;&gt;"",_xlfn.XLOOKUP($H463,Naturezas!B:B,Naturezas!D:D,"",0,1),"")</f>
        <v/>
      </c>
      <c r="V463" s="5" t="str">
        <f>IF(H463&lt;&gt;"",IF(OR(H463=Naturezas!$B$3,H463=Naturezas!$B$4,H463=Naturezas!$B$5,H463=Naturezas!$B$17,H463=Naturezas!$B$18,H463=Naturezas!$B$19),G463,-G463),"")</f>
        <v/>
      </c>
      <c r="W463" s="4" t="str">
        <f t="shared" si="46"/>
        <v/>
      </c>
      <c r="X463" s="4"/>
      <c r="Y463" s="4" t="str">
        <f t="shared" si="47"/>
        <v/>
      </c>
      <c r="Z463" s="6" t="str">
        <f>IF(H463&lt;&gt;"",Tabela1[[#This Row],[Iniciais]],"")</f>
        <v/>
      </c>
      <c r="AB463" s="6" t="str">
        <f>IF($H463&lt;&gt;"",RIGHT(Tabela1[[#This Row],[Ref.]],2),"")</f>
        <v/>
      </c>
      <c r="AC463" s="37" t="str">
        <f>IF($H463&lt;&gt;"",DATE(LEFT(Tabela1[[#This Row],[Ref.]],4),RIGHT(Tabela1[[#This Row],[Ref.]],2),1),"")</f>
        <v/>
      </c>
      <c r="AD463" s="4" t="str">
        <f t="shared" si="43"/>
        <v/>
      </c>
      <c r="AE463" s="5" t="str">
        <f t="shared" si="44"/>
        <v/>
      </c>
      <c r="AF463" s="4"/>
      <c r="AG463" s="6" t="str">
        <f t="shared" si="45"/>
        <v/>
      </c>
    </row>
    <row r="464" spans="1:33" ht="15.75" customHeight="1" x14ac:dyDescent="0.2">
      <c r="A464" s="35"/>
      <c r="B464" s="44"/>
      <c r="C464" s="35"/>
      <c r="D464" s="35"/>
      <c r="E464" s="48"/>
      <c r="F464" s="45"/>
      <c r="G464" s="38"/>
      <c r="H464" s="45"/>
      <c r="I464" s="45"/>
      <c r="L464" s="19"/>
      <c r="N464" s="25"/>
      <c r="O464" s="25"/>
      <c r="P464" s="27"/>
      <c r="R464" s="6" t="str">
        <f>IF($H464&lt;&gt;"",RIGHT(Tabela1[[#This Row],[Ref.]],2),"")</f>
        <v/>
      </c>
      <c r="S464" s="6" t="str">
        <f t="shared" si="42"/>
        <v/>
      </c>
      <c r="T464" s="4" t="str">
        <f>IF($H464&lt;&gt;"",_xlfn.XLOOKUP(H464,Naturezas!B:B,Naturezas!E:E,"",0,1),"")</f>
        <v/>
      </c>
      <c r="U464" s="4" t="str">
        <f>IF($H464&lt;&gt;"",_xlfn.XLOOKUP($H464,Naturezas!B:B,Naturezas!D:D,"",0,1),"")</f>
        <v/>
      </c>
      <c r="V464" s="5" t="str">
        <f>IF(H464&lt;&gt;"",IF(OR(H464=Naturezas!$B$3,H464=Naturezas!$B$4,H464=Naturezas!$B$5,H464=Naturezas!$B$17,H464=Naturezas!$B$18,H464=Naturezas!$B$19),G464,-G464),"")</f>
        <v/>
      </c>
      <c r="W464" s="4" t="str">
        <f t="shared" si="46"/>
        <v/>
      </c>
      <c r="X464" s="4"/>
      <c r="Y464" s="4" t="str">
        <f t="shared" si="47"/>
        <v/>
      </c>
      <c r="Z464" s="6" t="str">
        <f>IF(H464&lt;&gt;"",Tabela1[[#This Row],[Iniciais]],"")</f>
        <v/>
      </c>
      <c r="AB464" s="6" t="str">
        <f>IF($H464&lt;&gt;"",RIGHT(Tabela1[[#This Row],[Ref.]],2),"")</f>
        <v/>
      </c>
      <c r="AC464" s="37" t="str">
        <f>IF($H464&lt;&gt;"",DATE(LEFT(Tabela1[[#This Row],[Ref.]],4),RIGHT(Tabela1[[#This Row],[Ref.]],2),1),"")</f>
        <v/>
      </c>
      <c r="AD464" s="4" t="str">
        <f t="shared" si="43"/>
        <v/>
      </c>
      <c r="AE464" s="5" t="str">
        <f t="shared" si="44"/>
        <v/>
      </c>
      <c r="AF464" s="4"/>
      <c r="AG464" s="6" t="str">
        <f t="shared" si="45"/>
        <v/>
      </c>
    </row>
    <row r="465" spans="1:33" ht="15.75" customHeight="1" x14ac:dyDescent="0.2">
      <c r="A465" s="35"/>
      <c r="B465" s="44"/>
      <c r="C465" s="35"/>
      <c r="D465" s="35"/>
      <c r="E465" s="48"/>
      <c r="F465" s="45"/>
      <c r="G465" s="38"/>
      <c r="H465" s="45"/>
      <c r="I465" s="45"/>
      <c r="L465" s="19"/>
      <c r="N465" s="25"/>
      <c r="O465" s="25"/>
      <c r="P465" s="27"/>
      <c r="R465" s="6" t="str">
        <f>IF($H465&lt;&gt;"",RIGHT(Tabela1[[#This Row],[Ref.]],2),"")</f>
        <v/>
      </c>
      <c r="S465" s="6" t="str">
        <f t="shared" si="42"/>
        <v/>
      </c>
      <c r="T465" s="4" t="str">
        <f>IF($H465&lt;&gt;"",_xlfn.XLOOKUP(H465,Naturezas!B:B,Naturezas!E:E,"",0,1),"")</f>
        <v/>
      </c>
      <c r="U465" s="4" t="str">
        <f>IF($H465&lt;&gt;"",_xlfn.XLOOKUP($H465,Naturezas!B:B,Naturezas!D:D,"",0,1),"")</f>
        <v/>
      </c>
      <c r="V465" s="5" t="str">
        <f>IF(H465&lt;&gt;"",IF(OR(H465=Naturezas!$B$3,H465=Naturezas!$B$4,H465=Naturezas!$B$5,H465=Naturezas!$B$17,H465=Naturezas!$B$18,H465=Naturezas!$B$19),G465,-G465),"")</f>
        <v/>
      </c>
      <c r="W465" s="4" t="str">
        <f t="shared" si="46"/>
        <v/>
      </c>
      <c r="X465" s="4"/>
      <c r="Y465" s="4" t="str">
        <f t="shared" si="47"/>
        <v/>
      </c>
      <c r="Z465" s="6" t="str">
        <f>IF(H465&lt;&gt;"",Tabela1[[#This Row],[Iniciais]],"")</f>
        <v/>
      </c>
      <c r="AB465" s="6" t="str">
        <f>IF($H465&lt;&gt;"",RIGHT(Tabela1[[#This Row],[Ref.]],2),"")</f>
        <v/>
      </c>
      <c r="AC465" s="37" t="str">
        <f>IF($H465&lt;&gt;"",DATE(LEFT(Tabela1[[#This Row],[Ref.]],4),RIGHT(Tabela1[[#This Row],[Ref.]],2),1),"")</f>
        <v/>
      </c>
      <c r="AD465" s="4" t="str">
        <f t="shared" si="43"/>
        <v/>
      </c>
      <c r="AE465" s="5" t="str">
        <f t="shared" si="44"/>
        <v/>
      </c>
      <c r="AF465" s="4"/>
      <c r="AG465" s="6" t="str">
        <f t="shared" si="45"/>
        <v/>
      </c>
    </row>
    <row r="466" spans="1:33" ht="15.75" customHeight="1" x14ac:dyDescent="0.2">
      <c r="A466" s="35"/>
      <c r="B466" s="44"/>
      <c r="C466" s="35"/>
      <c r="D466" s="35"/>
      <c r="E466" s="48"/>
      <c r="F466" s="45"/>
      <c r="G466" s="38"/>
      <c r="H466" s="45"/>
      <c r="I466" s="45"/>
      <c r="L466" s="19"/>
      <c r="N466" s="25"/>
      <c r="O466" s="25"/>
      <c r="P466" s="27"/>
      <c r="R466" s="6" t="str">
        <f>IF($H466&lt;&gt;"",RIGHT(Tabela1[[#This Row],[Ref.]],2),"")</f>
        <v/>
      </c>
      <c r="S466" s="6" t="str">
        <f t="shared" si="42"/>
        <v/>
      </c>
      <c r="T466" s="4" t="str">
        <f>IF($H466&lt;&gt;"",_xlfn.XLOOKUP(H466,Naturezas!B:B,Naturezas!E:E,"",0,1),"")</f>
        <v/>
      </c>
      <c r="U466" s="4" t="str">
        <f>IF($H466&lt;&gt;"",_xlfn.XLOOKUP($H466,Naturezas!B:B,Naturezas!D:D,"",0,1),"")</f>
        <v/>
      </c>
      <c r="V466" s="5" t="str">
        <f>IF(H466&lt;&gt;"",IF(OR(H466=Naturezas!$B$3,H466=Naturezas!$B$4,H466=Naturezas!$B$5,H466=Naturezas!$B$17,H466=Naturezas!$B$18,H466=Naturezas!$B$19),G466,-G466),"")</f>
        <v/>
      </c>
      <c r="W466" s="4" t="str">
        <f t="shared" si="46"/>
        <v/>
      </c>
      <c r="X466" s="4"/>
      <c r="Y466" s="4" t="str">
        <f t="shared" si="47"/>
        <v/>
      </c>
      <c r="Z466" s="6" t="str">
        <f>IF(H466&lt;&gt;"",Tabela1[[#This Row],[Iniciais]],"")</f>
        <v/>
      </c>
      <c r="AB466" s="6" t="str">
        <f>IF($H466&lt;&gt;"",RIGHT(Tabela1[[#This Row],[Ref.]],2),"")</f>
        <v/>
      </c>
      <c r="AC466" s="37" t="str">
        <f>IF($H466&lt;&gt;"",DATE(LEFT(Tabela1[[#This Row],[Ref.]],4),RIGHT(Tabela1[[#This Row],[Ref.]],2),1),"")</f>
        <v/>
      </c>
      <c r="AD466" s="4" t="str">
        <f t="shared" si="43"/>
        <v/>
      </c>
      <c r="AE466" s="5" t="str">
        <f t="shared" si="44"/>
        <v/>
      </c>
      <c r="AF466" s="4"/>
      <c r="AG466" s="6" t="str">
        <f t="shared" si="45"/>
        <v/>
      </c>
    </row>
    <row r="467" spans="1:33" ht="15.75" customHeight="1" x14ac:dyDescent="0.2">
      <c r="A467" s="35"/>
      <c r="B467" s="44"/>
      <c r="C467" s="35"/>
      <c r="D467" s="35"/>
      <c r="E467" s="48"/>
      <c r="F467" s="45"/>
      <c r="G467" s="38"/>
      <c r="H467" s="45"/>
      <c r="I467" s="45"/>
      <c r="L467" s="19"/>
      <c r="N467" s="25"/>
      <c r="O467" s="25"/>
      <c r="P467" s="27"/>
      <c r="R467" s="6" t="str">
        <f>IF($H467&lt;&gt;"",RIGHT(Tabela1[[#This Row],[Ref.]],2),"")</f>
        <v/>
      </c>
      <c r="S467" s="6" t="str">
        <f t="shared" si="42"/>
        <v/>
      </c>
      <c r="T467" s="4" t="str">
        <f>IF($H467&lt;&gt;"",_xlfn.XLOOKUP(H467,Naturezas!B:B,Naturezas!E:E,"",0,1),"")</f>
        <v/>
      </c>
      <c r="U467" s="4" t="str">
        <f>IF($H467&lt;&gt;"",_xlfn.XLOOKUP($H467,Naturezas!B:B,Naturezas!D:D,"",0,1),"")</f>
        <v/>
      </c>
      <c r="V467" s="5" t="str">
        <f>IF(H467&lt;&gt;"",IF(OR(H467=Naturezas!$B$3,H467=Naturezas!$B$4,H467=Naturezas!$B$5,H467=Naturezas!$B$17,H467=Naturezas!$B$18,H467=Naturezas!$B$19),G467,-G467),"")</f>
        <v/>
      </c>
      <c r="W467" s="4" t="str">
        <f t="shared" si="46"/>
        <v/>
      </c>
      <c r="X467" s="4"/>
      <c r="Y467" s="4" t="str">
        <f t="shared" si="47"/>
        <v/>
      </c>
      <c r="Z467" s="6" t="str">
        <f>IF(H467&lt;&gt;"",Tabela1[[#This Row],[Iniciais]],"")</f>
        <v/>
      </c>
      <c r="AB467" s="6" t="str">
        <f>IF($H467&lt;&gt;"",RIGHT(Tabela1[[#This Row],[Ref.]],2),"")</f>
        <v/>
      </c>
      <c r="AC467" s="37" t="str">
        <f>IF($H467&lt;&gt;"",DATE(LEFT(Tabela1[[#This Row],[Ref.]],4),RIGHT(Tabela1[[#This Row],[Ref.]],2),1),"")</f>
        <v/>
      </c>
      <c r="AD467" s="4" t="str">
        <f t="shared" si="43"/>
        <v/>
      </c>
      <c r="AE467" s="5" t="str">
        <f t="shared" si="44"/>
        <v/>
      </c>
      <c r="AF467" s="4"/>
      <c r="AG467" s="6" t="str">
        <f t="shared" si="45"/>
        <v/>
      </c>
    </row>
    <row r="468" spans="1:33" ht="15.75" customHeight="1" x14ac:dyDescent="0.2">
      <c r="A468" s="35"/>
      <c r="B468" s="44"/>
      <c r="C468" s="35"/>
      <c r="D468" s="35"/>
      <c r="E468" s="48"/>
      <c r="F468" s="45"/>
      <c r="G468" s="38"/>
      <c r="H468" s="45"/>
      <c r="I468" s="45"/>
      <c r="L468" s="19"/>
      <c r="N468" s="25"/>
      <c r="O468" s="25"/>
      <c r="P468" s="27"/>
      <c r="R468" s="6" t="str">
        <f>IF($H468&lt;&gt;"",RIGHT(Tabela1[[#This Row],[Ref.]],2),"")</f>
        <v/>
      </c>
      <c r="S468" s="6" t="str">
        <f t="shared" si="42"/>
        <v/>
      </c>
      <c r="T468" s="4" t="str">
        <f>IF($H468&lt;&gt;"",_xlfn.XLOOKUP(H468,Naturezas!B:B,Naturezas!E:E,"",0,1),"")</f>
        <v/>
      </c>
      <c r="U468" s="4" t="str">
        <f>IF($H468&lt;&gt;"",_xlfn.XLOOKUP($H468,Naturezas!B:B,Naturezas!D:D,"",0,1),"")</f>
        <v/>
      </c>
      <c r="V468" s="5" t="str">
        <f>IF(H468&lt;&gt;"",IF(OR(H468=Naturezas!$B$3,H468=Naturezas!$B$4,H468=Naturezas!$B$5,H468=Naturezas!$B$17,H468=Naturezas!$B$18,H468=Naturezas!$B$19),G468,-G468),"")</f>
        <v/>
      </c>
      <c r="W468" s="4" t="str">
        <f t="shared" si="46"/>
        <v/>
      </c>
      <c r="X468" s="4"/>
      <c r="Y468" s="4" t="str">
        <f t="shared" si="47"/>
        <v/>
      </c>
      <c r="Z468" s="6" t="str">
        <f>IF(H468&lt;&gt;"",Tabela1[[#This Row],[Iniciais]],"")</f>
        <v/>
      </c>
      <c r="AB468" s="6" t="str">
        <f>IF($H468&lt;&gt;"",RIGHT(Tabela1[[#This Row],[Ref.]],2),"")</f>
        <v/>
      </c>
      <c r="AC468" s="37" t="str">
        <f>IF($H468&lt;&gt;"",DATE(LEFT(Tabela1[[#This Row],[Ref.]],4),RIGHT(Tabela1[[#This Row],[Ref.]],2),1),"")</f>
        <v/>
      </c>
      <c r="AD468" s="4" t="str">
        <f t="shared" si="43"/>
        <v/>
      </c>
      <c r="AE468" s="5" t="str">
        <f t="shared" si="44"/>
        <v/>
      </c>
      <c r="AF468" s="4"/>
      <c r="AG468" s="6" t="str">
        <f t="shared" si="45"/>
        <v/>
      </c>
    </row>
    <row r="469" spans="1:33" ht="15.75" customHeight="1" x14ac:dyDescent="0.2">
      <c r="A469" s="35"/>
      <c r="B469" s="44"/>
      <c r="C469" s="35"/>
      <c r="D469" s="35"/>
      <c r="E469" s="48"/>
      <c r="F469" s="45"/>
      <c r="G469" s="38"/>
      <c r="H469" s="45"/>
      <c r="I469" s="45"/>
      <c r="L469" s="19"/>
      <c r="N469" s="25"/>
      <c r="O469" s="25"/>
      <c r="P469" s="27"/>
      <c r="R469" s="6" t="str">
        <f>IF($H469&lt;&gt;"",RIGHT(Tabela1[[#This Row],[Ref.]],2),"")</f>
        <v/>
      </c>
      <c r="S469" s="6" t="str">
        <f t="shared" si="42"/>
        <v/>
      </c>
      <c r="T469" s="4" t="str">
        <f>IF($H469&lt;&gt;"",_xlfn.XLOOKUP(H469,Naturezas!B:B,Naturezas!E:E,"",0,1),"")</f>
        <v/>
      </c>
      <c r="U469" s="4" t="str">
        <f>IF($H469&lt;&gt;"",_xlfn.XLOOKUP($H469,Naturezas!B:B,Naturezas!D:D,"",0,1),"")</f>
        <v/>
      </c>
      <c r="V469" s="5" t="str">
        <f>IF(H469&lt;&gt;"",IF(OR(H469=Naturezas!$B$3,H469=Naturezas!$B$4,H469=Naturezas!$B$5,H469=Naturezas!$B$17,H469=Naturezas!$B$18,H469=Naturezas!$B$19),G469,-G469),"")</f>
        <v/>
      </c>
      <c r="W469" s="4" t="str">
        <f t="shared" si="46"/>
        <v/>
      </c>
      <c r="X469" s="4"/>
      <c r="Y469" s="4" t="str">
        <f t="shared" si="47"/>
        <v/>
      </c>
      <c r="Z469" s="6" t="str">
        <f>IF(H469&lt;&gt;"",Tabela1[[#This Row],[Iniciais]],"")</f>
        <v/>
      </c>
      <c r="AB469" s="6" t="str">
        <f>IF($H469&lt;&gt;"",RIGHT(Tabela1[[#This Row],[Ref.]],2),"")</f>
        <v/>
      </c>
      <c r="AC469" s="37" t="str">
        <f>IF($H469&lt;&gt;"",DATE(LEFT(Tabela1[[#This Row],[Ref.]],4),RIGHT(Tabela1[[#This Row],[Ref.]],2),1),"")</f>
        <v/>
      </c>
      <c r="AD469" s="4" t="str">
        <f t="shared" si="43"/>
        <v/>
      </c>
      <c r="AE469" s="5" t="str">
        <f t="shared" si="44"/>
        <v/>
      </c>
      <c r="AF469" s="4"/>
      <c r="AG469" s="6" t="str">
        <f t="shared" si="45"/>
        <v/>
      </c>
    </row>
    <row r="470" spans="1:33" ht="15.75" customHeight="1" x14ac:dyDescent="0.2">
      <c r="A470" s="35"/>
      <c r="B470" s="44"/>
      <c r="C470" s="35"/>
      <c r="D470" s="35"/>
      <c r="E470" s="48"/>
      <c r="F470" s="45"/>
      <c r="G470" s="38"/>
      <c r="H470" s="45"/>
      <c r="I470" s="45"/>
      <c r="L470" s="19"/>
      <c r="N470" s="25"/>
      <c r="O470" s="25"/>
      <c r="P470" s="27"/>
      <c r="R470" s="6" t="str">
        <f>IF($H470&lt;&gt;"",RIGHT(Tabela1[[#This Row],[Ref.]],2),"")</f>
        <v/>
      </c>
      <c r="S470" s="6" t="str">
        <f t="shared" si="42"/>
        <v/>
      </c>
      <c r="T470" s="4" t="str">
        <f>IF($H470&lt;&gt;"",_xlfn.XLOOKUP(H470,Naturezas!B:B,Naturezas!E:E,"",0,1),"")</f>
        <v/>
      </c>
      <c r="U470" s="4" t="str">
        <f>IF($H470&lt;&gt;"",_xlfn.XLOOKUP($H470,Naturezas!B:B,Naturezas!D:D,"",0,1),"")</f>
        <v/>
      </c>
      <c r="V470" s="5" t="str">
        <f>IF(H470&lt;&gt;"",IF(OR(H470=Naturezas!$B$3,H470=Naturezas!$B$4,H470=Naturezas!$B$5,H470=Naturezas!$B$17,H470=Naturezas!$B$18,H470=Naturezas!$B$19),G470,-G470),"")</f>
        <v/>
      </c>
      <c r="W470" s="4" t="str">
        <f t="shared" si="46"/>
        <v/>
      </c>
      <c r="X470" s="4"/>
      <c r="Y470" s="4" t="str">
        <f t="shared" si="47"/>
        <v/>
      </c>
      <c r="Z470" s="6" t="str">
        <f>IF(H470&lt;&gt;"",Tabela1[[#This Row],[Iniciais]],"")</f>
        <v/>
      </c>
      <c r="AB470" s="6" t="str">
        <f>IF($H470&lt;&gt;"",RIGHT(Tabela1[[#This Row],[Ref.]],2),"")</f>
        <v/>
      </c>
      <c r="AC470" s="37" t="str">
        <f>IF($H470&lt;&gt;"",DATE(LEFT(Tabela1[[#This Row],[Ref.]],4),RIGHT(Tabela1[[#This Row],[Ref.]],2),1),"")</f>
        <v/>
      </c>
      <c r="AD470" s="4" t="str">
        <f t="shared" si="43"/>
        <v/>
      </c>
      <c r="AE470" s="5" t="str">
        <f t="shared" si="44"/>
        <v/>
      </c>
      <c r="AF470" s="4"/>
      <c r="AG470" s="6" t="str">
        <f t="shared" si="45"/>
        <v/>
      </c>
    </row>
    <row r="471" spans="1:33" ht="15.75" customHeight="1" x14ac:dyDescent="0.2">
      <c r="A471" s="35"/>
      <c r="B471" s="44"/>
      <c r="C471" s="35"/>
      <c r="D471" s="35"/>
      <c r="E471" s="48"/>
      <c r="F471" s="45"/>
      <c r="G471" s="38"/>
      <c r="H471" s="45"/>
      <c r="I471" s="45"/>
      <c r="L471" s="19"/>
      <c r="N471" s="25"/>
      <c r="O471" s="25"/>
      <c r="P471" s="27"/>
      <c r="R471" s="6" t="str">
        <f>IF($H471&lt;&gt;"",RIGHT(Tabela1[[#This Row],[Ref.]],2),"")</f>
        <v/>
      </c>
      <c r="S471" s="6" t="str">
        <f t="shared" si="42"/>
        <v/>
      </c>
      <c r="T471" s="4" t="str">
        <f>IF($H471&lt;&gt;"",_xlfn.XLOOKUP(H471,Naturezas!B:B,Naturezas!E:E,"",0,1),"")</f>
        <v/>
      </c>
      <c r="U471" s="4" t="str">
        <f>IF($H471&lt;&gt;"",_xlfn.XLOOKUP($H471,Naturezas!B:B,Naturezas!D:D,"",0,1),"")</f>
        <v/>
      </c>
      <c r="V471" s="5" t="str">
        <f>IF(H471&lt;&gt;"",IF(OR(H471=Naturezas!$B$3,H471=Naturezas!$B$4,H471=Naturezas!$B$5,H471=Naturezas!$B$17,H471=Naturezas!$B$18,H471=Naturezas!$B$19),G471,-G471),"")</f>
        <v/>
      </c>
      <c r="W471" s="4" t="str">
        <f t="shared" si="46"/>
        <v/>
      </c>
      <c r="X471" s="4"/>
      <c r="Y471" s="4" t="str">
        <f t="shared" si="47"/>
        <v/>
      </c>
      <c r="Z471" s="6" t="str">
        <f>IF(H471&lt;&gt;"",Tabela1[[#This Row],[Iniciais]],"")</f>
        <v/>
      </c>
      <c r="AB471" s="6" t="str">
        <f>IF($H471&lt;&gt;"",RIGHT(Tabela1[[#This Row],[Ref.]],2),"")</f>
        <v/>
      </c>
      <c r="AC471" s="37" t="str">
        <f>IF($H471&lt;&gt;"",DATE(LEFT(Tabela1[[#This Row],[Ref.]],4),RIGHT(Tabela1[[#This Row],[Ref.]],2),1),"")</f>
        <v/>
      </c>
      <c r="AD471" s="4" t="str">
        <f t="shared" si="43"/>
        <v/>
      </c>
      <c r="AE471" s="5" t="str">
        <f t="shared" si="44"/>
        <v/>
      </c>
      <c r="AF471" s="4"/>
      <c r="AG471" s="6" t="str">
        <f t="shared" si="45"/>
        <v/>
      </c>
    </row>
    <row r="472" spans="1:33" ht="15.75" customHeight="1" x14ac:dyDescent="0.2">
      <c r="A472" s="35"/>
      <c r="B472" s="44"/>
      <c r="C472" s="35"/>
      <c r="D472" s="35"/>
      <c r="E472" s="48"/>
      <c r="F472" s="45"/>
      <c r="G472" s="38"/>
      <c r="H472" s="45"/>
      <c r="I472" s="45"/>
      <c r="L472" s="19"/>
      <c r="N472" s="25"/>
      <c r="O472" s="25"/>
      <c r="P472" s="27"/>
      <c r="R472" s="6" t="str">
        <f>IF($H472&lt;&gt;"",RIGHT(Tabela1[[#This Row],[Ref.]],2),"")</f>
        <v/>
      </c>
      <c r="S472" s="6" t="str">
        <f t="shared" si="42"/>
        <v/>
      </c>
      <c r="T472" s="4" t="str">
        <f>IF($H472&lt;&gt;"",_xlfn.XLOOKUP(H472,Naturezas!B:B,Naturezas!E:E,"",0,1),"")</f>
        <v/>
      </c>
      <c r="U472" s="4" t="str">
        <f>IF($H472&lt;&gt;"",_xlfn.XLOOKUP($H472,Naturezas!B:B,Naturezas!D:D,"",0,1),"")</f>
        <v/>
      </c>
      <c r="V472" s="5" t="str">
        <f>IF(H472&lt;&gt;"",IF(OR(H472=Naturezas!$B$3,H472=Naturezas!$B$4,H472=Naturezas!$B$5,H472=Naturezas!$B$17,H472=Naturezas!$B$18,H472=Naturezas!$B$19),G472,-G472),"")</f>
        <v/>
      </c>
      <c r="W472" s="4" t="str">
        <f t="shared" si="46"/>
        <v/>
      </c>
      <c r="X472" s="4"/>
      <c r="Y472" s="4" t="str">
        <f t="shared" si="47"/>
        <v/>
      </c>
      <c r="Z472" s="6" t="str">
        <f>IF(H472&lt;&gt;"",Tabela1[[#This Row],[Iniciais]],"")</f>
        <v/>
      </c>
      <c r="AB472" s="6" t="str">
        <f>IF($H472&lt;&gt;"",RIGHT(Tabela1[[#This Row],[Ref.]],2),"")</f>
        <v/>
      </c>
      <c r="AC472" s="37" t="str">
        <f>IF($H472&lt;&gt;"",DATE(LEFT(Tabela1[[#This Row],[Ref.]],4),RIGHT(Tabela1[[#This Row],[Ref.]],2),1),"")</f>
        <v/>
      </c>
      <c r="AD472" s="4" t="str">
        <f t="shared" si="43"/>
        <v/>
      </c>
      <c r="AE472" s="5" t="str">
        <f t="shared" si="44"/>
        <v/>
      </c>
      <c r="AF472" s="4"/>
      <c r="AG472" s="6" t="str">
        <f t="shared" si="45"/>
        <v/>
      </c>
    </row>
    <row r="473" spans="1:33" ht="15.75" customHeight="1" x14ac:dyDescent="0.2">
      <c r="A473" s="35"/>
      <c r="B473" s="44"/>
      <c r="C473" s="35"/>
      <c r="D473" s="35"/>
      <c r="E473" s="48"/>
      <c r="F473" s="45"/>
      <c r="G473" s="38"/>
      <c r="H473" s="45"/>
      <c r="I473" s="45"/>
      <c r="L473" s="19"/>
      <c r="N473" s="25"/>
      <c r="O473" s="25"/>
      <c r="P473" s="27"/>
      <c r="R473" s="6" t="str">
        <f>IF($H473&lt;&gt;"",RIGHT(Tabela1[[#This Row],[Ref.]],2),"")</f>
        <v/>
      </c>
      <c r="S473" s="6" t="str">
        <f t="shared" si="42"/>
        <v/>
      </c>
      <c r="T473" s="4" t="str">
        <f>IF($H473&lt;&gt;"",_xlfn.XLOOKUP(H473,Naturezas!B:B,Naturezas!E:E,"",0,1),"")</f>
        <v/>
      </c>
      <c r="U473" s="4" t="str">
        <f>IF($H473&lt;&gt;"",_xlfn.XLOOKUP($H473,Naturezas!B:B,Naturezas!D:D,"",0,1),"")</f>
        <v/>
      </c>
      <c r="V473" s="5" t="str">
        <f>IF(H473&lt;&gt;"",IF(OR(H473=Naturezas!$B$3,H473=Naturezas!$B$4,H473=Naturezas!$B$5,H473=Naturezas!$B$17,H473=Naturezas!$B$18,H473=Naturezas!$B$19),G473,-G473),"")</f>
        <v/>
      </c>
      <c r="W473" s="4" t="str">
        <f t="shared" si="46"/>
        <v/>
      </c>
      <c r="X473" s="4"/>
      <c r="Y473" s="4" t="str">
        <f t="shared" si="47"/>
        <v/>
      </c>
      <c r="Z473" s="6" t="str">
        <f>IF(H473&lt;&gt;"",Tabela1[[#This Row],[Iniciais]],"")</f>
        <v/>
      </c>
      <c r="AB473" s="6" t="str">
        <f>IF($H473&lt;&gt;"",RIGHT(Tabela1[[#This Row],[Ref.]],2),"")</f>
        <v/>
      </c>
      <c r="AC473" s="37" t="str">
        <f>IF($H473&lt;&gt;"",DATE(LEFT(Tabela1[[#This Row],[Ref.]],4),RIGHT(Tabela1[[#This Row],[Ref.]],2),1),"")</f>
        <v/>
      </c>
      <c r="AD473" s="4" t="str">
        <f t="shared" si="43"/>
        <v/>
      </c>
      <c r="AE473" s="5" t="str">
        <f t="shared" si="44"/>
        <v/>
      </c>
      <c r="AF473" s="4"/>
      <c r="AG473" s="6" t="str">
        <f t="shared" si="45"/>
        <v/>
      </c>
    </row>
    <row r="474" spans="1:33" ht="15.75" customHeight="1" x14ac:dyDescent="0.2">
      <c r="A474" s="35"/>
      <c r="B474" s="44"/>
      <c r="C474" s="35"/>
      <c r="D474" s="35"/>
      <c r="E474" s="48"/>
      <c r="F474" s="45"/>
      <c r="G474" s="38"/>
      <c r="H474" s="45"/>
      <c r="I474" s="45"/>
      <c r="L474" s="19"/>
      <c r="N474" s="25"/>
      <c r="O474" s="25"/>
      <c r="P474" s="27"/>
      <c r="R474" s="6" t="str">
        <f>IF($H474&lt;&gt;"",RIGHT(Tabela1[[#This Row],[Ref.]],2),"")</f>
        <v/>
      </c>
      <c r="S474" s="6" t="str">
        <f t="shared" si="42"/>
        <v/>
      </c>
      <c r="T474" s="4" t="str">
        <f>IF($H474&lt;&gt;"",_xlfn.XLOOKUP(H474,Naturezas!B:B,Naturezas!E:E,"",0,1),"")</f>
        <v/>
      </c>
      <c r="U474" s="4" t="str">
        <f>IF($H474&lt;&gt;"",_xlfn.XLOOKUP($H474,Naturezas!B:B,Naturezas!D:D,"",0,1),"")</f>
        <v/>
      </c>
      <c r="V474" s="5" t="str">
        <f>IF(H474&lt;&gt;"",IF(OR(H474=Naturezas!$B$3,H474=Naturezas!$B$4,H474=Naturezas!$B$5,H474=Naturezas!$B$17,H474=Naturezas!$B$18,H474=Naturezas!$B$19),G474,-G474),"")</f>
        <v/>
      </c>
      <c r="W474" s="4" t="str">
        <f t="shared" si="46"/>
        <v/>
      </c>
      <c r="X474" s="4"/>
      <c r="Y474" s="4" t="str">
        <f t="shared" si="47"/>
        <v/>
      </c>
      <c r="Z474" s="6" t="str">
        <f>IF(H474&lt;&gt;"",Tabela1[[#This Row],[Iniciais]],"")</f>
        <v/>
      </c>
      <c r="AB474" s="6" t="str">
        <f>IF($H474&lt;&gt;"",RIGHT(Tabela1[[#This Row],[Ref.]],2),"")</f>
        <v/>
      </c>
      <c r="AC474" s="37" t="str">
        <f>IF($H474&lt;&gt;"",DATE(LEFT(Tabela1[[#This Row],[Ref.]],4),RIGHT(Tabela1[[#This Row],[Ref.]],2),1),"")</f>
        <v/>
      </c>
      <c r="AD474" s="4" t="str">
        <f t="shared" si="43"/>
        <v/>
      </c>
      <c r="AE474" s="5" t="str">
        <f t="shared" si="44"/>
        <v/>
      </c>
      <c r="AF474" s="4"/>
      <c r="AG474" s="6" t="str">
        <f t="shared" si="45"/>
        <v/>
      </c>
    </row>
    <row r="475" spans="1:33" ht="15.75" customHeight="1" x14ac:dyDescent="0.2">
      <c r="A475" s="35"/>
      <c r="B475" s="44"/>
      <c r="C475" s="35"/>
      <c r="D475" s="35"/>
      <c r="E475" s="48"/>
      <c r="F475" s="45"/>
      <c r="G475" s="38"/>
      <c r="H475" s="45"/>
      <c r="I475" s="45"/>
      <c r="L475" s="19"/>
      <c r="N475" s="25"/>
      <c r="O475" s="25"/>
      <c r="P475" s="27"/>
      <c r="R475" s="6" t="str">
        <f>IF($H475&lt;&gt;"",RIGHT(Tabela1[[#This Row],[Ref.]],2),"")</f>
        <v/>
      </c>
      <c r="S475" s="6" t="str">
        <f t="shared" si="42"/>
        <v/>
      </c>
      <c r="T475" s="4" t="str">
        <f>IF($H475&lt;&gt;"",_xlfn.XLOOKUP(H475,Naturezas!B:B,Naturezas!E:E,"",0,1),"")</f>
        <v/>
      </c>
      <c r="U475" s="4" t="str">
        <f>IF($H475&lt;&gt;"",_xlfn.XLOOKUP($H475,Naturezas!B:B,Naturezas!D:D,"",0,1),"")</f>
        <v/>
      </c>
      <c r="V475" s="5" t="str">
        <f>IF(H475&lt;&gt;"",IF(OR(H475=Naturezas!$B$3,H475=Naturezas!$B$4,H475=Naturezas!$B$5,H475=Naturezas!$B$17,H475=Naturezas!$B$18,H475=Naturezas!$B$19),G475,-G475),"")</f>
        <v/>
      </c>
      <c r="W475" s="4" t="str">
        <f t="shared" si="46"/>
        <v/>
      </c>
      <c r="X475" s="4"/>
      <c r="Y475" s="4" t="str">
        <f t="shared" si="47"/>
        <v/>
      </c>
      <c r="Z475" s="6" t="str">
        <f>IF(H475&lt;&gt;"",Tabela1[[#This Row],[Iniciais]],"")</f>
        <v/>
      </c>
      <c r="AB475" s="6" t="str">
        <f>IF($H475&lt;&gt;"",RIGHT(Tabela1[[#This Row],[Ref.]],2),"")</f>
        <v/>
      </c>
      <c r="AC475" s="37" t="str">
        <f>IF($H475&lt;&gt;"",DATE(LEFT(Tabela1[[#This Row],[Ref.]],4),RIGHT(Tabela1[[#This Row],[Ref.]],2),1),"")</f>
        <v/>
      </c>
      <c r="AD475" s="4" t="str">
        <f t="shared" si="43"/>
        <v/>
      </c>
      <c r="AE475" s="5" t="str">
        <f t="shared" si="44"/>
        <v/>
      </c>
      <c r="AF475" s="4"/>
      <c r="AG475" s="6" t="str">
        <f t="shared" si="45"/>
        <v/>
      </c>
    </row>
    <row r="476" spans="1:33" ht="15.75" customHeight="1" x14ac:dyDescent="0.2">
      <c r="A476" s="35"/>
      <c r="B476" s="44"/>
      <c r="C476" s="35"/>
      <c r="D476" s="35"/>
      <c r="E476" s="48"/>
      <c r="F476" s="45"/>
      <c r="G476" s="38"/>
      <c r="H476" s="45"/>
      <c r="I476" s="45"/>
      <c r="L476" s="19"/>
      <c r="N476" s="25"/>
      <c r="O476" s="25"/>
      <c r="P476" s="27"/>
      <c r="R476" s="6" t="str">
        <f>IF($H476&lt;&gt;"",RIGHT(Tabela1[[#This Row],[Ref.]],2),"")</f>
        <v/>
      </c>
      <c r="S476" s="6" t="str">
        <f t="shared" si="42"/>
        <v/>
      </c>
      <c r="T476" s="4" t="str">
        <f>IF($H476&lt;&gt;"",_xlfn.XLOOKUP(H476,Naturezas!B:B,Naturezas!E:E,"",0,1),"")</f>
        <v/>
      </c>
      <c r="U476" s="4" t="str">
        <f>IF($H476&lt;&gt;"",_xlfn.XLOOKUP($H476,Naturezas!B:B,Naturezas!D:D,"",0,1),"")</f>
        <v/>
      </c>
      <c r="V476" s="5" t="str">
        <f>IF(H476&lt;&gt;"",IF(OR(H476=Naturezas!$B$3,H476=Naturezas!$B$4,H476=Naturezas!$B$5,H476=Naturezas!$B$17,H476=Naturezas!$B$18,H476=Naturezas!$B$19),G476,-G476),"")</f>
        <v/>
      </c>
      <c r="W476" s="4" t="str">
        <f t="shared" si="46"/>
        <v/>
      </c>
      <c r="X476" s="4"/>
      <c r="Y476" s="4" t="str">
        <f t="shared" si="47"/>
        <v/>
      </c>
      <c r="Z476" s="6" t="str">
        <f>IF(H476&lt;&gt;"",Tabela1[[#This Row],[Iniciais]],"")</f>
        <v/>
      </c>
      <c r="AB476" s="6" t="str">
        <f>IF($H476&lt;&gt;"",RIGHT(Tabela1[[#This Row],[Ref.]],2),"")</f>
        <v/>
      </c>
      <c r="AC476" s="37" t="str">
        <f>IF($H476&lt;&gt;"",DATE(LEFT(Tabela1[[#This Row],[Ref.]],4),RIGHT(Tabela1[[#This Row],[Ref.]],2),1),"")</f>
        <v/>
      </c>
      <c r="AD476" s="4" t="str">
        <f t="shared" si="43"/>
        <v/>
      </c>
      <c r="AE476" s="5" t="str">
        <f t="shared" si="44"/>
        <v/>
      </c>
      <c r="AF476" s="4"/>
      <c r="AG476" s="6" t="str">
        <f t="shared" si="45"/>
        <v/>
      </c>
    </row>
    <row r="477" spans="1:33" ht="15.75" customHeight="1" x14ac:dyDescent="0.2">
      <c r="A477" s="35"/>
      <c r="B477" s="44"/>
      <c r="C477" s="35"/>
      <c r="D477" s="35"/>
      <c r="E477" s="48"/>
      <c r="F477" s="45"/>
      <c r="G477" s="38"/>
      <c r="H477" s="45"/>
      <c r="I477" s="45"/>
      <c r="L477" s="19"/>
      <c r="N477" s="25"/>
      <c r="O477" s="25"/>
      <c r="P477" s="27"/>
      <c r="R477" s="6" t="str">
        <f>IF($H477&lt;&gt;"",RIGHT(Tabela1[[#This Row],[Ref.]],2),"")</f>
        <v/>
      </c>
      <c r="S477" s="6" t="str">
        <f t="shared" si="42"/>
        <v/>
      </c>
      <c r="T477" s="4" t="str">
        <f>IF($H477&lt;&gt;"",_xlfn.XLOOKUP(H477,Naturezas!B:B,Naturezas!E:E,"",0,1),"")</f>
        <v/>
      </c>
      <c r="U477" s="4" t="str">
        <f>IF($H477&lt;&gt;"",_xlfn.XLOOKUP($H477,Naturezas!B:B,Naturezas!D:D,"",0,1),"")</f>
        <v/>
      </c>
      <c r="V477" s="5" t="str">
        <f>IF(H477&lt;&gt;"",IF(OR(H477=Naturezas!$B$3,H477=Naturezas!$B$4,H477=Naturezas!$B$5,H477=Naturezas!$B$17,H477=Naturezas!$B$18,H477=Naturezas!$B$19),G477,-G477),"")</f>
        <v/>
      </c>
      <c r="W477" s="4" t="str">
        <f t="shared" si="46"/>
        <v/>
      </c>
      <c r="X477" s="4"/>
      <c r="Y477" s="4" t="str">
        <f t="shared" si="47"/>
        <v/>
      </c>
      <c r="Z477" s="6" t="str">
        <f>IF(H477&lt;&gt;"",Tabela1[[#This Row],[Iniciais]],"")</f>
        <v/>
      </c>
      <c r="AB477" s="6" t="str">
        <f>IF($H477&lt;&gt;"",RIGHT(Tabela1[[#This Row],[Ref.]],2),"")</f>
        <v/>
      </c>
      <c r="AC477" s="37" t="str">
        <f>IF($H477&lt;&gt;"",DATE(LEFT(Tabela1[[#This Row],[Ref.]],4),RIGHT(Tabela1[[#This Row],[Ref.]],2),1),"")</f>
        <v/>
      </c>
      <c r="AD477" s="4" t="str">
        <f t="shared" si="43"/>
        <v/>
      </c>
      <c r="AE477" s="5" t="str">
        <f t="shared" si="44"/>
        <v/>
      </c>
      <c r="AF477" s="4"/>
      <c r="AG477" s="6" t="str">
        <f t="shared" si="45"/>
        <v/>
      </c>
    </row>
    <row r="478" spans="1:33" ht="15.75" customHeight="1" x14ac:dyDescent="0.2">
      <c r="A478" s="35"/>
      <c r="B478" s="44"/>
      <c r="C478" s="35"/>
      <c r="D478" s="35"/>
      <c r="E478" s="48"/>
      <c r="F478" s="45"/>
      <c r="G478" s="38"/>
      <c r="H478" s="45"/>
      <c r="I478" s="45"/>
      <c r="L478" s="19"/>
      <c r="N478" s="25"/>
      <c r="O478" s="25"/>
      <c r="P478" s="27"/>
      <c r="R478" s="6" t="str">
        <f>IF($H478&lt;&gt;"",RIGHT(Tabela1[[#This Row],[Ref.]],2),"")</f>
        <v/>
      </c>
      <c r="S478" s="6" t="str">
        <f t="shared" si="42"/>
        <v/>
      </c>
      <c r="T478" s="4" t="str">
        <f>IF($H478&lt;&gt;"",_xlfn.XLOOKUP(H478,Naturezas!B:B,Naturezas!E:E,"",0,1),"")</f>
        <v/>
      </c>
      <c r="U478" s="4" t="str">
        <f>IF($H478&lt;&gt;"",_xlfn.XLOOKUP($H478,Naturezas!B:B,Naturezas!D:D,"",0,1),"")</f>
        <v/>
      </c>
      <c r="V478" s="5" t="str">
        <f>IF(H478&lt;&gt;"",IF(OR(H478=Naturezas!$B$3,H478=Naturezas!$B$4,H478=Naturezas!$B$5,H478=Naturezas!$B$17,H478=Naturezas!$B$18,H478=Naturezas!$B$19),G478,-G478),"")</f>
        <v/>
      </c>
      <c r="W478" s="4" t="str">
        <f t="shared" si="46"/>
        <v/>
      </c>
      <c r="X478" s="4"/>
      <c r="Y478" s="4" t="str">
        <f t="shared" si="47"/>
        <v/>
      </c>
      <c r="Z478" s="6" t="str">
        <f>IF(H478&lt;&gt;"",Tabela1[[#This Row],[Iniciais]],"")</f>
        <v/>
      </c>
      <c r="AB478" s="6" t="str">
        <f>IF($H478&lt;&gt;"",RIGHT(Tabela1[[#This Row],[Ref.]],2),"")</f>
        <v/>
      </c>
      <c r="AC478" s="37" t="str">
        <f>IF($H478&lt;&gt;"",DATE(LEFT(Tabela1[[#This Row],[Ref.]],4),RIGHT(Tabela1[[#This Row],[Ref.]],2),1),"")</f>
        <v/>
      </c>
      <c r="AD478" s="4" t="str">
        <f t="shared" si="43"/>
        <v/>
      </c>
      <c r="AE478" s="5" t="str">
        <f t="shared" si="44"/>
        <v/>
      </c>
      <c r="AF478" s="4"/>
      <c r="AG478" s="6" t="str">
        <f t="shared" si="45"/>
        <v/>
      </c>
    </row>
    <row r="479" spans="1:33" ht="15.75" customHeight="1" x14ac:dyDescent="0.2">
      <c r="A479" s="35"/>
      <c r="B479" s="44"/>
      <c r="C479" s="35"/>
      <c r="D479" s="35"/>
      <c r="E479" s="48"/>
      <c r="F479" s="45"/>
      <c r="G479" s="38"/>
      <c r="H479" s="45"/>
      <c r="I479" s="45"/>
      <c r="L479" s="19"/>
      <c r="N479" s="25"/>
      <c r="O479" s="25"/>
      <c r="P479" s="27"/>
      <c r="R479" s="6" t="str">
        <f>IF($H479&lt;&gt;"",RIGHT(Tabela1[[#This Row],[Ref.]],2),"")</f>
        <v/>
      </c>
      <c r="S479" s="6" t="str">
        <f t="shared" si="42"/>
        <v/>
      </c>
      <c r="T479" s="4" t="str">
        <f>IF($H479&lt;&gt;"",_xlfn.XLOOKUP(H479,Naturezas!B:B,Naturezas!E:E,"",0,1),"")</f>
        <v/>
      </c>
      <c r="U479" s="4" t="str">
        <f>IF($H479&lt;&gt;"",_xlfn.XLOOKUP($H479,Naturezas!B:B,Naturezas!D:D,"",0,1),"")</f>
        <v/>
      </c>
      <c r="V479" s="5" t="str">
        <f>IF(H479&lt;&gt;"",IF(OR(H479=Naturezas!$B$3,H479=Naturezas!$B$4,H479=Naturezas!$B$5,H479=Naturezas!$B$17,H479=Naturezas!$B$18,H479=Naturezas!$B$19),G479,-G479),"")</f>
        <v/>
      </c>
      <c r="W479" s="4" t="str">
        <f t="shared" si="46"/>
        <v/>
      </c>
      <c r="X479" s="4"/>
      <c r="Y479" s="4" t="str">
        <f t="shared" si="47"/>
        <v/>
      </c>
      <c r="Z479" s="6" t="str">
        <f>IF(H479&lt;&gt;"",Tabela1[[#This Row],[Iniciais]],"")</f>
        <v/>
      </c>
      <c r="AB479" s="6" t="str">
        <f>IF($H479&lt;&gt;"",RIGHT(Tabela1[[#This Row],[Ref.]],2),"")</f>
        <v/>
      </c>
      <c r="AC479" s="37" t="str">
        <f>IF($H479&lt;&gt;"",DATE(LEFT(Tabela1[[#This Row],[Ref.]],4),RIGHT(Tabela1[[#This Row],[Ref.]],2),1),"")</f>
        <v/>
      </c>
      <c r="AD479" s="4" t="str">
        <f t="shared" si="43"/>
        <v/>
      </c>
      <c r="AE479" s="5" t="str">
        <f t="shared" si="44"/>
        <v/>
      </c>
      <c r="AF479" s="4"/>
      <c r="AG479" s="6" t="str">
        <f t="shared" si="45"/>
        <v/>
      </c>
    </row>
    <row r="480" spans="1:33" ht="15.75" customHeight="1" x14ac:dyDescent="0.2">
      <c r="A480" s="35"/>
      <c r="B480" s="44"/>
      <c r="C480" s="35"/>
      <c r="D480" s="35"/>
      <c r="E480" s="48"/>
      <c r="F480" s="45"/>
      <c r="G480" s="38"/>
      <c r="H480" s="45"/>
      <c r="I480" s="45"/>
      <c r="L480" s="19"/>
      <c r="N480" s="25"/>
      <c r="O480" s="25"/>
      <c r="P480" s="27"/>
      <c r="R480" s="6" t="str">
        <f>IF($H480&lt;&gt;"",RIGHT(Tabela1[[#This Row],[Ref.]],2),"")</f>
        <v/>
      </c>
      <c r="S480" s="6" t="str">
        <f t="shared" si="42"/>
        <v/>
      </c>
      <c r="T480" s="4" t="str">
        <f>IF($H480&lt;&gt;"",_xlfn.XLOOKUP(H480,Naturezas!B:B,Naturezas!E:E,"",0,1),"")</f>
        <v/>
      </c>
      <c r="U480" s="4" t="str">
        <f>IF($H480&lt;&gt;"",_xlfn.XLOOKUP($H480,Naturezas!B:B,Naturezas!D:D,"",0,1),"")</f>
        <v/>
      </c>
      <c r="V480" s="5" t="str">
        <f>IF(H480&lt;&gt;"",IF(OR(H480=Naturezas!$B$3,H480=Naturezas!$B$4,H480=Naturezas!$B$5,H480=Naturezas!$B$17,H480=Naturezas!$B$18,H480=Naturezas!$B$19),G480,-G480),"")</f>
        <v/>
      </c>
      <c r="W480" s="4" t="str">
        <f t="shared" si="46"/>
        <v/>
      </c>
      <c r="X480" s="4"/>
      <c r="Y480" s="4" t="str">
        <f t="shared" si="47"/>
        <v/>
      </c>
      <c r="Z480" s="6" t="str">
        <f>IF(H480&lt;&gt;"",Tabela1[[#This Row],[Iniciais]],"")</f>
        <v/>
      </c>
      <c r="AB480" s="6" t="str">
        <f>IF($H480&lt;&gt;"",RIGHT(Tabela1[[#This Row],[Ref.]],2),"")</f>
        <v/>
      </c>
      <c r="AC480" s="37" t="str">
        <f>IF($H480&lt;&gt;"",DATE(LEFT(Tabela1[[#This Row],[Ref.]],4),RIGHT(Tabela1[[#This Row],[Ref.]],2),1),"")</f>
        <v/>
      </c>
      <c r="AD480" s="4" t="str">
        <f t="shared" si="43"/>
        <v/>
      </c>
      <c r="AE480" s="5" t="str">
        <f t="shared" si="44"/>
        <v/>
      </c>
      <c r="AF480" s="4"/>
      <c r="AG480" s="6" t="str">
        <f t="shared" si="45"/>
        <v/>
      </c>
    </row>
    <row r="481" spans="1:33" ht="15.75" customHeight="1" x14ac:dyDescent="0.2">
      <c r="A481" s="35"/>
      <c r="B481" s="44"/>
      <c r="C481" s="35"/>
      <c r="D481" s="35"/>
      <c r="E481" s="48"/>
      <c r="F481" s="45"/>
      <c r="G481" s="38"/>
      <c r="H481" s="45"/>
      <c r="I481" s="45"/>
      <c r="L481" s="19"/>
      <c r="N481" s="25"/>
      <c r="O481" s="25"/>
      <c r="P481" s="27"/>
      <c r="R481" s="6" t="str">
        <f>IF($H481&lt;&gt;"",RIGHT(Tabela1[[#This Row],[Ref.]],2),"")</f>
        <v/>
      </c>
      <c r="S481" s="6" t="str">
        <f t="shared" si="42"/>
        <v/>
      </c>
      <c r="T481" s="4" t="str">
        <f>IF($H481&lt;&gt;"",_xlfn.XLOOKUP(H481,Naturezas!B:B,Naturezas!E:E,"",0,1),"")</f>
        <v/>
      </c>
      <c r="U481" s="4" t="str">
        <f>IF($H481&lt;&gt;"",_xlfn.XLOOKUP($H481,Naturezas!B:B,Naturezas!D:D,"",0,1),"")</f>
        <v/>
      </c>
      <c r="V481" s="5" t="str">
        <f>IF(H481&lt;&gt;"",IF(OR(H481=Naturezas!$B$3,H481=Naturezas!$B$4,H481=Naturezas!$B$5,H481=Naturezas!$B$17,H481=Naturezas!$B$18,H481=Naturezas!$B$19),G481,-G481),"")</f>
        <v/>
      </c>
      <c r="W481" s="4" t="str">
        <f t="shared" si="46"/>
        <v/>
      </c>
      <c r="X481" s="4"/>
      <c r="Y481" s="4" t="str">
        <f t="shared" si="47"/>
        <v/>
      </c>
      <c r="Z481" s="6" t="str">
        <f>IF(H481&lt;&gt;"",Tabela1[[#This Row],[Iniciais]],"")</f>
        <v/>
      </c>
      <c r="AB481" s="6" t="str">
        <f>IF($H481&lt;&gt;"",RIGHT(Tabela1[[#This Row],[Ref.]],2),"")</f>
        <v/>
      </c>
      <c r="AC481" s="37" t="str">
        <f>IF($H481&lt;&gt;"",DATE(LEFT(Tabela1[[#This Row],[Ref.]],4),RIGHT(Tabela1[[#This Row],[Ref.]],2),1),"")</f>
        <v/>
      </c>
      <c r="AD481" s="4" t="str">
        <f t="shared" si="43"/>
        <v/>
      </c>
      <c r="AE481" s="5" t="str">
        <f t="shared" si="44"/>
        <v/>
      </c>
      <c r="AF481" s="4"/>
      <c r="AG481" s="6" t="str">
        <f t="shared" si="45"/>
        <v/>
      </c>
    </row>
    <row r="482" spans="1:33" ht="15.75" customHeight="1" x14ac:dyDescent="0.2">
      <c r="A482" s="35"/>
      <c r="B482" s="44"/>
      <c r="C482" s="35"/>
      <c r="D482" s="35"/>
      <c r="E482" s="48"/>
      <c r="F482" s="45"/>
      <c r="G482" s="38"/>
      <c r="H482" s="45"/>
      <c r="I482" s="45"/>
      <c r="L482" s="19"/>
      <c r="N482" s="25"/>
      <c r="O482" s="25"/>
      <c r="P482" s="27"/>
      <c r="R482" s="6" t="str">
        <f>IF($H482&lt;&gt;"",RIGHT(Tabela1[[#This Row],[Ref.]],2),"")</f>
        <v/>
      </c>
      <c r="S482" s="6" t="str">
        <f t="shared" si="42"/>
        <v/>
      </c>
      <c r="T482" s="4" t="str">
        <f>IF($H482&lt;&gt;"",_xlfn.XLOOKUP(H482,Naturezas!B:B,Naturezas!E:E,"",0,1),"")</f>
        <v/>
      </c>
      <c r="U482" s="4" t="str">
        <f>IF($H482&lt;&gt;"",_xlfn.XLOOKUP($H482,Naturezas!B:B,Naturezas!D:D,"",0,1),"")</f>
        <v/>
      </c>
      <c r="V482" s="5" t="str">
        <f>IF(H482&lt;&gt;"",IF(OR(H482=Naturezas!$B$3,H482=Naturezas!$B$4,H482=Naturezas!$B$5,H482=Naturezas!$B$17,H482=Naturezas!$B$18,H482=Naturezas!$B$19),G482,-G482),"")</f>
        <v/>
      </c>
      <c r="W482" s="4" t="str">
        <f t="shared" si="46"/>
        <v/>
      </c>
      <c r="X482" s="4"/>
      <c r="Y482" s="4" t="str">
        <f t="shared" si="47"/>
        <v/>
      </c>
      <c r="Z482" s="6" t="str">
        <f>IF(H482&lt;&gt;"",Tabela1[[#This Row],[Iniciais]],"")</f>
        <v/>
      </c>
      <c r="AB482" s="6" t="str">
        <f>IF($H482&lt;&gt;"",RIGHT(Tabela1[[#This Row],[Ref.]],2),"")</f>
        <v/>
      </c>
      <c r="AC482" s="37" t="str">
        <f>IF($H482&lt;&gt;"",DATE(LEFT(Tabela1[[#This Row],[Ref.]],4),RIGHT(Tabela1[[#This Row],[Ref.]],2),1),"")</f>
        <v/>
      </c>
      <c r="AD482" s="4" t="str">
        <f t="shared" si="43"/>
        <v/>
      </c>
      <c r="AE482" s="5" t="str">
        <f t="shared" si="44"/>
        <v/>
      </c>
      <c r="AF482" s="4"/>
      <c r="AG482" s="6" t="str">
        <f t="shared" si="45"/>
        <v/>
      </c>
    </row>
    <row r="483" spans="1:33" ht="15.75" customHeight="1" x14ac:dyDescent="0.2">
      <c r="A483" s="35"/>
      <c r="B483" s="44"/>
      <c r="C483" s="35"/>
      <c r="D483" s="35"/>
      <c r="E483" s="48"/>
      <c r="F483" s="45"/>
      <c r="G483" s="38"/>
      <c r="H483" s="45"/>
      <c r="I483" s="45"/>
      <c r="L483" s="19"/>
      <c r="N483" s="25"/>
      <c r="O483" s="25"/>
      <c r="P483" s="27"/>
      <c r="R483" s="6" t="str">
        <f>IF($H483&lt;&gt;"",RIGHT(Tabela1[[#This Row],[Ref.]],2),"")</f>
        <v/>
      </c>
      <c r="S483" s="6" t="str">
        <f t="shared" si="42"/>
        <v/>
      </c>
      <c r="T483" s="4" t="str">
        <f>IF($H483&lt;&gt;"",_xlfn.XLOOKUP(H483,Naturezas!B:B,Naturezas!E:E,"",0,1),"")</f>
        <v/>
      </c>
      <c r="U483" s="4" t="str">
        <f>IF($H483&lt;&gt;"",_xlfn.XLOOKUP($H483,Naturezas!B:B,Naturezas!D:D,"",0,1),"")</f>
        <v/>
      </c>
      <c r="V483" s="5" t="str">
        <f>IF(H483&lt;&gt;"",IF(OR(H483=Naturezas!$B$3,H483=Naturezas!$B$4,H483=Naturezas!$B$5,H483=Naturezas!$B$17,H483=Naturezas!$B$18,H483=Naturezas!$B$19),G483,-G483),"")</f>
        <v/>
      </c>
      <c r="W483" s="4" t="str">
        <f t="shared" si="46"/>
        <v/>
      </c>
      <c r="X483" s="4"/>
      <c r="Y483" s="4" t="str">
        <f t="shared" si="47"/>
        <v/>
      </c>
      <c r="Z483" s="6" t="str">
        <f>IF(H483&lt;&gt;"",Tabela1[[#This Row],[Iniciais]],"")</f>
        <v/>
      </c>
      <c r="AB483" s="6" t="str">
        <f>IF($H483&lt;&gt;"",RIGHT(Tabela1[[#This Row],[Ref.]],2),"")</f>
        <v/>
      </c>
      <c r="AC483" s="37" t="str">
        <f>IF($H483&lt;&gt;"",DATE(LEFT(Tabela1[[#This Row],[Ref.]],4),RIGHT(Tabela1[[#This Row],[Ref.]],2),1),"")</f>
        <v/>
      </c>
      <c r="AD483" s="4" t="str">
        <f t="shared" si="43"/>
        <v/>
      </c>
      <c r="AE483" s="5" t="str">
        <f t="shared" si="44"/>
        <v/>
      </c>
      <c r="AF483" s="4"/>
      <c r="AG483" s="6" t="str">
        <f t="shared" si="45"/>
        <v/>
      </c>
    </row>
    <row r="484" spans="1:33" ht="15.75" customHeight="1" x14ac:dyDescent="0.2">
      <c r="A484" s="35"/>
      <c r="B484" s="44"/>
      <c r="C484" s="35"/>
      <c r="D484" s="35"/>
      <c r="E484" s="48"/>
      <c r="F484" s="45"/>
      <c r="G484" s="38"/>
      <c r="H484" s="45"/>
      <c r="I484" s="45"/>
      <c r="L484" s="19"/>
      <c r="N484" s="25"/>
      <c r="O484" s="25"/>
      <c r="P484" s="27"/>
      <c r="R484" s="6" t="str">
        <f>IF($H484&lt;&gt;"",RIGHT(Tabela1[[#This Row],[Ref.]],2),"")</f>
        <v/>
      </c>
      <c r="S484" s="6" t="str">
        <f t="shared" si="42"/>
        <v/>
      </c>
      <c r="T484" s="4" t="str">
        <f>IF($H484&lt;&gt;"",_xlfn.XLOOKUP(H484,Naturezas!B:B,Naturezas!E:E,"",0,1),"")</f>
        <v/>
      </c>
      <c r="U484" s="4" t="str">
        <f>IF($H484&lt;&gt;"",_xlfn.XLOOKUP($H484,Naturezas!B:B,Naturezas!D:D,"",0,1),"")</f>
        <v/>
      </c>
      <c r="V484" s="5" t="str">
        <f>IF(H484&lt;&gt;"",IF(OR(H484=Naturezas!$B$3,H484=Naturezas!$B$4,H484=Naturezas!$B$5,H484=Naturezas!$B$17,H484=Naturezas!$B$18,H484=Naturezas!$B$19),G484,-G484),"")</f>
        <v/>
      </c>
      <c r="W484" s="4" t="str">
        <f t="shared" si="46"/>
        <v/>
      </c>
      <c r="X484" s="4"/>
      <c r="Y484" s="4" t="str">
        <f t="shared" si="47"/>
        <v/>
      </c>
      <c r="Z484" s="6" t="str">
        <f>IF(H484&lt;&gt;"",Tabela1[[#This Row],[Iniciais]],"")</f>
        <v/>
      </c>
      <c r="AB484" s="6" t="str">
        <f>IF($H484&lt;&gt;"",RIGHT(Tabela1[[#This Row],[Ref.]],2),"")</f>
        <v/>
      </c>
      <c r="AC484" s="37" t="str">
        <f>IF($H484&lt;&gt;"",DATE(LEFT(Tabela1[[#This Row],[Ref.]],4),RIGHT(Tabela1[[#This Row],[Ref.]],2),1),"")</f>
        <v/>
      </c>
      <c r="AD484" s="4" t="str">
        <f t="shared" si="43"/>
        <v/>
      </c>
      <c r="AE484" s="5" t="str">
        <f t="shared" si="44"/>
        <v/>
      </c>
      <c r="AF484" s="4"/>
      <c r="AG484" s="6" t="str">
        <f t="shared" si="45"/>
        <v/>
      </c>
    </row>
    <row r="485" spans="1:33" ht="15.75" customHeight="1" x14ac:dyDescent="0.2">
      <c r="A485" s="35"/>
      <c r="B485" s="44"/>
      <c r="C485" s="35"/>
      <c r="D485" s="35"/>
      <c r="E485" s="48"/>
      <c r="F485" s="45"/>
      <c r="G485" s="38"/>
      <c r="H485" s="45"/>
      <c r="I485" s="45"/>
      <c r="L485" s="19"/>
      <c r="N485" s="25"/>
      <c r="O485" s="25"/>
      <c r="P485" s="27"/>
      <c r="R485" s="6" t="str">
        <f>IF($H485&lt;&gt;"",RIGHT(Tabela1[[#This Row],[Ref.]],2),"")</f>
        <v/>
      </c>
      <c r="S485" s="6" t="str">
        <f t="shared" si="42"/>
        <v/>
      </c>
      <c r="T485" s="4" t="str">
        <f>IF($H485&lt;&gt;"",_xlfn.XLOOKUP(H485,Naturezas!B:B,Naturezas!E:E,"",0,1),"")</f>
        <v/>
      </c>
      <c r="U485" s="4" t="str">
        <f>IF($H485&lt;&gt;"",_xlfn.XLOOKUP($H485,Naturezas!B:B,Naturezas!D:D,"",0,1),"")</f>
        <v/>
      </c>
      <c r="V485" s="5" t="str">
        <f>IF(H485&lt;&gt;"",IF(OR(H485=Naturezas!$B$3,H485=Naturezas!$B$4,H485=Naturezas!$B$5,H485=Naturezas!$B$17,H485=Naturezas!$B$18,H485=Naturezas!$B$19),G485,-G485),"")</f>
        <v/>
      </c>
      <c r="W485" s="4" t="str">
        <f t="shared" si="46"/>
        <v/>
      </c>
      <c r="X485" s="4"/>
      <c r="Y485" s="4" t="str">
        <f t="shared" si="47"/>
        <v/>
      </c>
      <c r="Z485" s="6" t="str">
        <f>IF(H485&lt;&gt;"",Tabela1[[#This Row],[Iniciais]],"")</f>
        <v/>
      </c>
      <c r="AB485" s="6" t="str">
        <f>IF($H485&lt;&gt;"",RIGHT(Tabela1[[#This Row],[Ref.]],2),"")</f>
        <v/>
      </c>
      <c r="AC485" s="37" t="str">
        <f>IF($H485&lt;&gt;"",DATE(LEFT(Tabela1[[#This Row],[Ref.]],4),RIGHT(Tabela1[[#This Row],[Ref.]],2),1),"")</f>
        <v/>
      </c>
      <c r="AD485" s="4" t="str">
        <f t="shared" si="43"/>
        <v/>
      </c>
      <c r="AE485" s="5" t="str">
        <f t="shared" si="44"/>
        <v/>
      </c>
      <c r="AF485" s="4"/>
      <c r="AG485" s="6" t="str">
        <f t="shared" si="45"/>
        <v/>
      </c>
    </row>
    <row r="486" spans="1:33" ht="15.75" customHeight="1" x14ac:dyDescent="0.2">
      <c r="A486" s="35"/>
      <c r="B486" s="44"/>
      <c r="C486" s="35"/>
      <c r="D486" s="35"/>
      <c r="E486" s="48"/>
      <c r="F486" s="45"/>
      <c r="G486" s="38"/>
      <c r="H486" s="45"/>
      <c r="I486" s="45"/>
      <c r="L486" s="19"/>
      <c r="N486" s="25"/>
      <c r="O486" s="25"/>
      <c r="P486" s="27"/>
      <c r="R486" s="6" t="str">
        <f>IF($H486&lt;&gt;"",RIGHT(Tabela1[[#This Row],[Ref.]],2),"")</f>
        <v/>
      </c>
      <c r="S486" s="6" t="str">
        <f t="shared" si="42"/>
        <v/>
      </c>
      <c r="T486" s="4" t="str">
        <f>IF($H486&lt;&gt;"",_xlfn.XLOOKUP(H486,Naturezas!B:B,Naturezas!E:E,"",0,1),"")</f>
        <v/>
      </c>
      <c r="U486" s="4" t="str">
        <f>IF($H486&lt;&gt;"",_xlfn.XLOOKUP($H486,Naturezas!B:B,Naturezas!D:D,"",0,1),"")</f>
        <v/>
      </c>
      <c r="V486" s="5" t="str">
        <f>IF(H486&lt;&gt;"",IF(OR(H486=Naturezas!$B$3,H486=Naturezas!$B$4,H486=Naturezas!$B$5,H486=Naturezas!$B$17,H486=Naturezas!$B$18,H486=Naturezas!$B$19),G486,-G486),"")</f>
        <v/>
      </c>
      <c r="W486" s="4" t="str">
        <f t="shared" si="46"/>
        <v/>
      </c>
      <c r="X486" s="4"/>
      <c r="Y486" s="4" t="str">
        <f t="shared" si="47"/>
        <v/>
      </c>
      <c r="Z486" s="6" t="str">
        <f>IF(H486&lt;&gt;"",Tabela1[[#This Row],[Iniciais]],"")</f>
        <v/>
      </c>
      <c r="AB486" s="6" t="str">
        <f>IF($H486&lt;&gt;"",RIGHT(Tabela1[[#This Row],[Ref.]],2),"")</f>
        <v/>
      </c>
      <c r="AC486" s="37" t="str">
        <f>IF($H486&lt;&gt;"",DATE(LEFT(Tabela1[[#This Row],[Ref.]],4),RIGHT(Tabela1[[#This Row],[Ref.]],2),1),"")</f>
        <v/>
      </c>
      <c r="AD486" s="4" t="str">
        <f t="shared" si="43"/>
        <v/>
      </c>
      <c r="AE486" s="5" t="str">
        <f t="shared" si="44"/>
        <v/>
      </c>
      <c r="AF486" s="4"/>
      <c r="AG486" s="6" t="str">
        <f t="shared" si="45"/>
        <v/>
      </c>
    </row>
    <row r="487" spans="1:33" ht="15.75" customHeight="1" x14ac:dyDescent="0.2">
      <c r="A487" s="35"/>
      <c r="B487" s="44"/>
      <c r="C487" s="35"/>
      <c r="D487" s="35"/>
      <c r="E487" s="48"/>
      <c r="F487" s="45"/>
      <c r="G487" s="38"/>
      <c r="H487" s="45"/>
      <c r="I487" s="45"/>
      <c r="L487" s="19"/>
      <c r="N487" s="25"/>
      <c r="O487" s="25"/>
      <c r="P487" s="27"/>
      <c r="R487" s="6" t="str">
        <f>IF($H487&lt;&gt;"",RIGHT(Tabela1[[#This Row],[Ref.]],2),"")</f>
        <v/>
      </c>
      <c r="S487" s="6" t="str">
        <f t="shared" si="42"/>
        <v/>
      </c>
      <c r="T487" s="4" t="str">
        <f>IF($H487&lt;&gt;"",_xlfn.XLOOKUP(H487,Naturezas!B:B,Naturezas!E:E,"",0,1),"")</f>
        <v/>
      </c>
      <c r="U487" s="4" t="str">
        <f>IF($H487&lt;&gt;"",_xlfn.XLOOKUP($H487,Naturezas!B:B,Naturezas!D:D,"",0,1),"")</f>
        <v/>
      </c>
      <c r="V487" s="5" t="str">
        <f>IF(H487&lt;&gt;"",IF(OR(H487=Naturezas!$B$3,H487=Naturezas!$B$4,H487=Naturezas!$B$5,H487=Naturezas!$B$17,H487=Naturezas!$B$18,H487=Naturezas!$B$19),G487,-G487),"")</f>
        <v/>
      </c>
      <c r="W487" s="4" t="str">
        <f t="shared" si="46"/>
        <v/>
      </c>
      <c r="X487" s="4"/>
      <c r="Y487" s="4" t="str">
        <f t="shared" si="47"/>
        <v/>
      </c>
      <c r="Z487" s="6" t="str">
        <f>IF(H487&lt;&gt;"",Tabela1[[#This Row],[Iniciais]],"")</f>
        <v/>
      </c>
      <c r="AB487" s="6" t="str">
        <f>IF($H487&lt;&gt;"",RIGHT(Tabela1[[#This Row],[Ref.]],2),"")</f>
        <v/>
      </c>
      <c r="AC487" s="37" t="str">
        <f>IF($H487&lt;&gt;"",DATE(LEFT(Tabela1[[#This Row],[Ref.]],4),RIGHT(Tabela1[[#This Row],[Ref.]],2),1),"")</f>
        <v/>
      </c>
      <c r="AD487" s="4" t="str">
        <f t="shared" si="43"/>
        <v/>
      </c>
      <c r="AE487" s="5" t="str">
        <f t="shared" si="44"/>
        <v/>
      </c>
      <c r="AF487" s="4"/>
      <c r="AG487" s="6" t="str">
        <f t="shared" si="45"/>
        <v/>
      </c>
    </row>
    <row r="488" spans="1:33" ht="15.75" customHeight="1" x14ac:dyDescent="0.2">
      <c r="A488" s="35"/>
      <c r="B488" s="44"/>
      <c r="C488" s="35"/>
      <c r="D488" s="35"/>
      <c r="E488" s="48"/>
      <c r="F488" s="45"/>
      <c r="G488" s="38"/>
      <c r="H488" s="45"/>
      <c r="I488" s="45"/>
      <c r="L488" s="19"/>
      <c r="N488" s="25"/>
      <c r="O488" s="25"/>
      <c r="P488" s="27"/>
      <c r="R488" s="6" t="str">
        <f>IF($H488&lt;&gt;"",RIGHT(Tabela1[[#This Row],[Ref.]],2),"")</f>
        <v/>
      </c>
      <c r="S488" s="6" t="str">
        <f t="shared" si="42"/>
        <v/>
      </c>
      <c r="T488" s="4" t="str">
        <f>IF($H488&lt;&gt;"",_xlfn.XLOOKUP(H488,Naturezas!B:B,Naturezas!E:E,"",0,1),"")</f>
        <v/>
      </c>
      <c r="U488" s="4" t="str">
        <f>IF($H488&lt;&gt;"",_xlfn.XLOOKUP($H488,Naturezas!B:B,Naturezas!D:D,"",0,1),"")</f>
        <v/>
      </c>
      <c r="V488" s="5" t="str">
        <f>IF(H488&lt;&gt;"",IF(OR(H488=Naturezas!$B$3,H488=Naturezas!$B$4,H488=Naturezas!$B$5,H488=Naturezas!$B$17,H488=Naturezas!$B$18,H488=Naturezas!$B$19),G488,-G488),"")</f>
        <v/>
      </c>
      <c r="W488" s="4" t="str">
        <f t="shared" si="46"/>
        <v/>
      </c>
      <c r="X488" s="4"/>
      <c r="Y488" s="4" t="str">
        <f t="shared" si="47"/>
        <v/>
      </c>
      <c r="Z488" s="6" t="str">
        <f>IF(H488&lt;&gt;"",Tabela1[[#This Row],[Iniciais]],"")</f>
        <v/>
      </c>
      <c r="AB488" s="6" t="str">
        <f>IF($H488&lt;&gt;"",RIGHT(Tabela1[[#This Row],[Ref.]],2),"")</f>
        <v/>
      </c>
      <c r="AC488" s="37" t="str">
        <f>IF($H488&lt;&gt;"",DATE(LEFT(Tabela1[[#This Row],[Ref.]],4),RIGHT(Tabela1[[#This Row],[Ref.]],2),1),"")</f>
        <v/>
      </c>
      <c r="AD488" s="4" t="str">
        <f t="shared" si="43"/>
        <v/>
      </c>
      <c r="AE488" s="5" t="str">
        <f t="shared" si="44"/>
        <v/>
      </c>
      <c r="AF488" s="4"/>
      <c r="AG488" s="6" t="str">
        <f t="shared" si="45"/>
        <v/>
      </c>
    </row>
    <row r="489" spans="1:33" ht="15.75" customHeight="1" x14ac:dyDescent="0.2">
      <c r="A489" s="35"/>
      <c r="B489" s="44"/>
      <c r="C489" s="35"/>
      <c r="D489" s="35"/>
      <c r="E489" s="48"/>
      <c r="F489" s="45"/>
      <c r="G489" s="38"/>
      <c r="H489" s="45"/>
      <c r="I489" s="45"/>
      <c r="L489" s="19"/>
      <c r="N489" s="25"/>
      <c r="O489" s="25"/>
      <c r="P489" s="27"/>
      <c r="R489" s="6" t="str">
        <f>IF($H489&lt;&gt;"",RIGHT(Tabela1[[#This Row],[Ref.]],2),"")</f>
        <v/>
      </c>
      <c r="S489" s="6" t="str">
        <f t="shared" si="42"/>
        <v/>
      </c>
      <c r="T489" s="4" t="str">
        <f>IF($H489&lt;&gt;"",_xlfn.XLOOKUP(H489,Naturezas!B:B,Naturezas!E:E,"",0,1),"")</f>
        <v/>
      </c>
      <c r="U489" s="4" t="str">
        <f>IF($H489&lt;&gt;"",_xlfn.XLOOKUP($H489,Naturezas!B:B,Naturezas!D:D,"",0,1),"")</f>
        <v/>
      </c>
      <c r="V489" s="5" t="str">
        <f>IF(H489&lt;&gt;"",IF(OR(H489=Naturezas!$B$3,H489=Naturezas!$B$4,H489=Naturezas!$B$5,H489=Naturezas!$B$17,H489=Naturezas!$B$18,H489=Naturezas!$B$19),G489,-G489),"")</f>
        <v/>
      </c>
      <c r="W489" s="4" t="str">
        <f t="shared" si="46"/>
        <v/>
      </c>
      <c r="X489" s="4"/>
      <c r="Y489" s="4" t="str">
        <f t="shared" si="47"/>
        <v/>
      </c>
      <c r="Z489" s="6" t="str">
        <f>IF(H489&lt;&gt;"",Tabela1[[#This Row],[Iniciais]],"")</f>
        <v/>
      </c>
      <c r="AB489" s="6" t="str">
        <f>IF($H489&lt;&gt;"",RIGHT(Tabela1[[#This Row],[Ref.]],2),"")</f>
        <v/>
      </c>
      <c r="AC489" s="37" t="str">
        <f>IF($H489&lt;&gt;"",DATE(LEFT(Tabela1[[#This Row],[Ref.]],4),RIGHT(Tabela1[[#This Row],[Ref.]],2),1),"")</f>
        <v/>
      </c>
      <c r="AD489" s="4" t="str">
        <f t="shared" si="43"/>
        <v/>
      </c>
      <c r="AE489" s="5" t="str">
        <f t="shared" si="44"/>
        <v/>
      </c>
      <c r="AF489" s="4"/>
      <c r="AG489" s="6" t="str">
        <f t="shared" si="45"/>
        <v/>
      </c>
    </row>
    <row r="490" spans="1:33" ht="15.75" customHeight="1" x14ac:dyDescent="0.2">
      <c r="A490" s="35"/>
      <c r="B490" s="44"/>
      <c r="C490" s="35"/>
      <c r="D490" s="35"/>
      <c r="E490" s="48"/>
      <c r="F490" s="45"/>
      <c r="G490" s="38"/>
      <c r="H490" s="45"/>
      <c r="I490" s="45"/>
      <c r="L490" s="19"/>
      <c r="N490" s="25"/>
      <c r="O490" s="25"/>
      <c r="P490" s="27"/>
      <c r="R490" s="6" t="str">
        <f>IF($H490&lt;&gt;"",RIGHT(Tabela1[[#This Row],[Ref.]],2),"")</f>
        <v/>
      </c>
      <c r="S490" s="6" t="str">
        <f t="shared" si="42"/>
        <v/>
      </c>
      <c r="T490" s="4" t="str">
        <f>IF($H490&lt;&gt;"",_xlfn.XLOOKUP(H490,Naturezas!B:B,Naturezas!E:E,"",0,1),"")</f>
        <v/>
      </c>
      <c r="U490" s="4" t="str">
        <f>IF($H490&lt;&gt;"",_xlfn.XLOOKUP($H490,Naturezas!B:B,Naturezas!D:D,"",0,1),"")</f>
        <v/>
      </c>
      <c r="V490" s="5" t="str">
        <f>IF(H490&lt;&gt;"",IF(OR(H490=Naturezas!$B$3,H490=Naturezas!$B$4,H490=Naturezas!$B$5,H490=Naturezas!$B$17,H490=Naturezas!$B$18,H490=Naturezas!$B$19),G490,-G490),"")</f>
        <v/>
      </c>
      <c r="W490" s="4" t="str">
        <f t="shared" si="46"/>
        <v/>
      </c>
      <c r="X490" s="4"/>
      <c r="Y490" s="4" t="str">
        <f t="shared" si="47"/>
        <v/>
      </c>
      <c r="Z490" s="6" t="str">
        <f>IF(H490&lt;&gt;"",Tabela1[[#This Row],[Iniciais]],"")</f>
        <v/>
      </c>
      <c r="AB490" s="6" t="str">
        <f>IF($H490&lt;&gt;"",RIGHT(Tabela1[[#This Row],[Ref.]],2),"")</f>
        <v/>
      </c>
      <c r="AC490" s="37" t="str">
        <f>IF($H490&lt;&gt;"",DATE(LEFT(Tabela1[[#This Row],[Ref.]],4),RIGHT(Tabela1[[#This Row],[Ref.]],2),1),"")</f>
        <v/>
      </c>
      <c r="AD490" s="4" t="str">
        <f t="shared" si="43"/>
        <v/>
      </c>
      <c r="AE490" s="5" t="str">
        <f t="shared" si="44"/>
        <v/>
      </c>
      <c r="AF490" s="4"/>
      <c r="AG490" s="6" t="str">
        <f t="shared" si="45"/>
        <v/>
      </c>
    </row>
    <row r="491" spans="1:33" ht="15.75" customHeight="1" x14ac:dyDescent="0.2">
      <c r="A491" s="35"/>
      <c r="B491" s="44"/>
      <c r="C491" s="35"/>
      <c r="D491" s="35"/>
      <c r="E491" s="48"/>
      <c r="F491" s="45"/>
      <c r="G491" s="38"/>
      <c r="H491" s="45"/>
      <c r="I491" s="45"/>
      <c r="L491" s="19"/>
      <c r="N491" s="25"/>
      <c r="O491" s="25"/>
      <c r="P491" s="27"/>
      <c r="R491" s="6" t="str">
        <f>IF($H491&lt;&gt;"",RIGHT(Tabela1[[#This Row],[Ref.]],2),"")</f>
        <v/>
      </c>
      <c r="S491" s="6" t="str">
        <f t="shared" si="42"/>
        <v/>
      </c>
      <c r="T491" s="4" t="str">
        <f>IF($H491&lt;&gt;"",_xlfn.XLOOKUP(H491,Naturezas!B:B,Naturezas!E:E,"",0,1),"")</f>
        <v/>
      </c>
      <c r="U491" s="4" t="str">
        <f>IF($H491&lt;&gt;"",_xlfn.XLOOKUP($H491,Naturezas!B:B,Naturezas!D:D,"",0,1),"")</f>
        <v/>
      </c>
      <c r="V491" s="5" t="str">
        <f>IF(H491&lt;&gt;"",IF(OR(H491=Naturezas!$B$3,H491=Naturezas!$B$4,H491=Naturezas!$B$5,H491=Naturezas!$B$17,H491=Naturezas!$B$18,H491=Naturezas!$B$19),G491,-G491),"")</f>
        <v/>
      </c>
      <c r="W491" s="4" t="str">
        <f t="shared" si="46"/>
        <v/>
      </c>
      <c r="X491" s="4"/>
      <c r="Y491" s="4" t="str">
        <f t="shared" si="47"/>
        <v/>
      </c>
      <c r="Z491" s="6" t="str">
        <f>IF(H491&lt;&gt;"",Tabela1[[#This Row],[Iniciais]],"")</f>
        <v/>
      </c>
      <c r="AB491" s="6" t="str">
        <f>IF($H491&lt;&gt;"",RIGHT(Tabela1[[#This Row],[Ref.]],2),"")</f>
        <v/>
      </c>
      <c r="AC491" s="37" t="str">
        <f>IF($H491&lt;&gt;"",DATE(LEFT(Tabela1[[#This Row],[Ref.]],4),RIGHT(Tabela1[[#This Row],[Ref.]],2),1),"")</f>
        <v/>
      </c>
      <c r="AD491" s="4" t="str">
        <f t="shared" si="43"/>
        <v/>
      </c>
      <c r="AE491" s="5" t="str">
        <f t="shared" si="44"/>
        <v/>
      </c>
      <c r="AF491" s="4"/>
      <c r="AG491" s="6" t="str">
        <f t="shared" si="45"/>
        <v/>
      </c>
    </row>
    <row r="492" spans="1:33" ht="15.75" customHeight="1" x14ac:dyDescent="0.2">
      <c r="A492" s="35"/>
      <c r="B492" s="44"/>
      <c r="C492" s="35"/>
      <c r="D492" s="35"/>
      <c r="E492" s="48"/>
      <c r="F492" s="45"/>
      <c r="G492" s="38"/>
      <c r="H492" s="45"/>
      <c r="I492" s="45"/>
      <c r="L492" s="19"/>
      <c r="N492" s="25"/>
      <c r="O492" s="25"/>
      <c r="P492" s="27"/>
      <c r="R492" s="6" t="str">
        <f>IF($H492&lt;&gt;"",RIGHT(Tabela1[[#This Row],[Ref.]],2),"")</f>
        <v/>
      </c>
      <c r="S492" s="6" t="str">
        <f t="shared" si="42"/>
        <v/>
      </c>
      <c r="T492" s="4" t="str">
        <f>IF($H492&lt;&gt;"",_xlfn.XLOOKUP(H492,Naturezas!B:B,Naturezas!E:E,"",0,1),"")</f>
        <v/>
      </c>
      <c r="U492" s="4" t="str">
        <f>IF($H492&lt;&gt;"",_xlfn.XLOOKUP($H492,Naturezas!B:B,Naturezas!D:D,"",0,1),"")</f>
        <v/>
      </c>
      <c r="V492" s="5" t="str">
        <f>IF(H492&lt;&gt;"",IF(OR(H492=Naturezas!$B$3,H492=Naturezas!$B$4,H492=Naturezas!$B$5,H492=Naturezas!$B$17,H492=Naturezas!$B$18,H492=Naturezas!$B$19),G492,-G492),"")</f>
        <v/>
      </c>
      <c r="W492" s="4" t="str">
        <f t="shared" si="46"/>
        <v/>
      </c>
      <c r="X492" s="4"/>
      <c r="Y492" s="4" t="str">
        <f t="shared" si="47"/>
        <v/>
      </c>
      <c r="Z492" s="6" t="str">
        <f>IF(H492&lt;&gt;"",Tabela1[[#This Row],[Iniciais]],"")</f>
        <v/>
      </c>
      <c r="AB492" s="6" t="str">
        <f>IF($H492&lt;&gt;"",RIGHT(Tabela1[[#This Row],[Ref.]],2),"")</f>
        <v/>
      </c>
      <c r="AC492" s="37" t="str">
        <f>IF($H492&lt;&gt;"",DATE(LEFT(Tabela1[[#This Row],[Ref.]],4),RIGHT(Tabela1[[#This Row],[Ref.]],2),1),"")</f>
        <v/>
      </c>
      <c r="AD492" s="4" t="str">
        <f t="shared" si="43"/>
        <v/>
      </c>
      <c r="AE492" s="5" t="str">
        <f t="shared" si="44"/>
        <v/>
      </c>
      <c r="AF492" s="4"/>
      <c r="AG492" s="6" t="str">
        <f t="shared" si="45"/>
        <v/>
      </c>
    </row>
    <row r="493" spans="1:33" ht="15.75" customHeight="1" x14ac:dyDescent="0.2">
      <c r="A493" s="35"/>
      <c r="B493" s="44"/>
      <c r="C493" s="35"/>
      <c r="D493" s="35"/>
      <c r="E493" s="48"/>
      <c r="F493" s="45"/>
      <c r="G493" s="38"/>
      <c r="H493" s="45"/>
      <c r="I493" s="45"/>
      <c r="L493" s="19"/>
      <c r="N493" s="25"/>
      <c r="O493" s="25"/>
      <c r="P493" s="27"/>
      <c r="R493" s="6" t="str">
        <f>IF($H493&lt;&gt;"",RIGHT(Tabela1[[#This Row],[Ref.]],2),"")</f>
        <v/>
      </c>
      <c r="S493" s="6" t="str">
        <f t="shared" si="42"/>
        <v/>
      </c>
      <c r="T493" s="4" t="str">
        <f>IF($H493&lt;&gt;"",_xlfn.XLOOKUP(H493,Naturezas!B:B,Naturezas!E:E,"",0,1),"")</f>
        <v/>
      </c>
      <c r="U493" s="4" t="str">
        <f>IF($H493&lt;&gt;"",_xlfn.XLOOKUP($H493,Naturezas!B:B,Naturezas!D:D,"",0,1),"")</f>
        <v/>
      </c>
      <c r="V493" s="5" t="str">
        <f>IF(H493&lt;&gt;"",IF(OR(H493=Naturezas!$B$3,H493=Naturezas!$B$4,H493=Naturezas!$B$5,H493=Naturezas!$B$17,H493=Naturezas!$B$18,H493=Naturezas!$B$19),G493,-G493),"")</f>
        <v/>
      </c>
      <c r="W493" s="4" t="str">
        <f t="shared" si="46"/>
        <v/>
      </c>
      <c r="X493" s="4"/>
      <c r="Y493" s="4" t="str">
        <f t="shared" si="47"/>
        <v/>
      </c>
      <c r="Z493" s="6" t="str">
        <f>IF(H493&lt;&gt;"",Tabela1[[#This Row],[Iniciais]],"")</f>
        <v/>
      </c>
      <c r="AB493" s="6" t="str">
        <f>IF($H493&lt;&gt;"",RIGHT(Tabela1[[#This Row],[Ref.]],2),"")</f>
        <v/>
      </c>
      <c r="AC493" s="37" t="str">
        <f>IF($H493&lt;&gt;"",DATE(LEFT(Tabela1[[#This Row],[Ref.]],4),RIGHT(Tabela1[[#This Row],[Ref.]],2),1),"")</f>
        <v/>
      </c>
      <c r="AD493" s="4" t="str">
        <f t="shared" si="43"/>
        <v/>
      </c>
      <c r="AE493" s="5" t="str">
        <f t="shared" si="44"/>
        <v/>
      </c>
      <c r="AF493" s="4"/>
      <c r="AG493" s="6" t="str">
        <f t="shared" si="45"/>
        <v/>
      </c>
    </row>
    <row r="494" spans="1:33" ht="15.75" customHeight="1" x14ac:dyDescent="0.2">
      <c r="A494" s="35"/>
      <c r="B494" s="44"/>
      <c r="C494" s="35"/>
      <c r="D494" s="35"/>
      <c r="E494" s="48"/>
      <c r="F494" s="45"/>
      <c r="G494" s="38"/>
      <c r="H494" s="45"/>
      <c r="I494" s="45"/>
      <c r="L494" s="19"/>
      <c r="N494" s="25"/>
      <c r="O494" s="25"/>
      <c r="P494" s="27"/>
      <c r="R494" s="6" t="str">
        <f>IF($H494&lt;&gt;"",RIGHT(Tabela1[[#This Row],[Ref.]],2),"")</f>
        <v/>
      </c>
      <c r="S494" s="6" t="str">
        <f t="shared" si="42"/>
        <v/>
      </c>
      <c r="T494" s="4" t="str">
        <f>IF($H494&lt;&gt;"",_xlfn.XLOOKUP(H494,Naturezas!B:B,Naturezas!E:E,"",0,1),"")</f>
        <v/>
      </c>
      <c r="U494" s="4" t="str">
        <f>IF($H494&lt;&gt;"",_xlfn.XLOOKUP($H494,Naturezas!B:B,Naturezas!D:D,"",0,1),"")</f>
        <v/>
      </c>
      <c r="V494" s="5" t="str">
        <f>IF(H494&lt;&gt;"",IF(OR(H494=Naturezas!$B$3,H494=Naturezas!$B$4,H494=Naturezas!$B$5,H494=Naturezas!$B$17,H494=Naturezas!$B$18,H494=Naturezas!$B$19),G494,-G494),"")</f>
        <v/>
      </c>
      <c r="W494" s="4" t="str">
        <f t="shared" si="46"/>
        <v/>
      </c>
      <c r="X494" s="4"/>
      <c r="Y494" s="4" t="str">
        <f t="shared" si="47"/>
        <v/>
      </c>
      <c r="Z494" s="6" t="str">
        <f>IF(H494&lt;&gt;"",Tabela1[[#This Row],[Iniciais]],"")</f>
        <v/>
      </c>
      <c r="AB494" s="6" t="str">
        <f>IF($H494&lt;&gt;"",RIGHT(Tabela1[[#This Row],[Ref.]],2),"")</f>
        <v/>
      </c>
      <c r="AC494" s="37" t="str">
        <f>IF($H494&lt;&gt;"",DATE(LEFT(Tabela1[[#This Row],[Ref.]],4),RIGHT(Tabela1[[#This Row],[Ref.]],2),1),"")</f>
        <v/>
      </c>
      <c r="AD494" s="4" t="str">
        <f t="shared" si="43"/>
        <v/>
      </c>
      <c r="AE494" s="5" t="str">
        <f t="shared" si="44"/>
        <v/>
      </c>
      <c r="AF494" s="4"/>
      <c r="AG494" s="6" t="str">
        <f t="shared" si="45"/>
        <v/>
      </c>
    </row>
    <row r="495" spans="1:33" ht="15.75" customHeight="1" x14ac:dyDescent="0.2">
      <c r="A495" s="35"/>
      <c r="B495" s="44"/>
      <c r="C495" s="35"/>
      <c r="D495" s="35"/>
      <c r="E495" s="48"/>
      <c r="F495" s="45"/>
      <c r="G495" s="38"/>
      <c r="H495" s="45"/>
      <c r="I495" s="45"/>
      <c r="L495" s="19"/>
      <c r="N495" s="25"/>
      <c r="O495" s="25"/>
      <c r="P495" s="27"/>
      <c r="R495" s="6" t="str">
        <f>IF($H495&lt;&gt;"",RIGHT(Tabela1[[#This Row],[Ref.]],2),"")</f>
        <v/>
      </c>
      <c r="S495" s="6" t="str">
        <f t="shared" si="42"/>
        <v/>
      </c>
      <c r="T495" s="4" t="str">
        <f>IF($H495&lt;&gt;"",_xlfn.XLOOKUP(H495,Naturezas!B:B,Naturezas!E:E,"",0,1),"")</f>
        <v/>
      </c>
      <c r="U495" s="4" t="str">
        <f>IF($H495&lt;&gt;"",_xlfn.XLOOKUP($H495,Naturezas!B:B,Naturezas!D:D,"",0,1),"")</f>
        <v/>
      </c>
      <c r="V495" s="5" t="str">
        <f>IF(H495&lt;&gt;"",IF(OR(H495=Naturezas!$B$3,H495=Naturezas!$B$4,H495=Naturezas!$B$5,H495=Naturezas!$B$17,H495=Naturezas!$B$18,H495=Naturezas!$B$19),G495,-G495),"")</f>
        <v/>
      </c>
      <c r="W495" s="4" t="str">
        <f t="shared" si="46"/>
        <v/>
      </c>
      <c r="X495" s="4"/>
      <c r="Y495" s="4" t="str">
        <f t="shared" si="47"/>
        <v/>
      </c>
      <c r="Z495" s="6" t="str">
        <f>IF(H495&lt;&gt;"",Tabela1[[#This Row],[Iniciais]],"")</f>
        <v/>
      </c>
      <c r="AB495" s="6" t="str">
        <f>IF($H495&lt;&gt;"",RIGHT(Tabela1[[#This Row],[Ref.]],2),"")</f>
        <v/>
      </c>
      <c r="AC495" s="37" t="str">
        <f>IF($H495&lt;&gt;"",DATE(LEFT(Tabela1[[#This Row],[Ref.]],4),RIGHT(Tabela1[[#This Row],[Ref.]],2),1),"")</f>
        <v/>
      </c>
      <c r="AD495" s="4" t="str">
        <f t="shared" si="43"/>
        <v/>
      </c>
      <c r="AE495" s="5" t="str">
        <f t="shared" si="44"/>
        <v/>
      </c>
      <c r="AF495" s="4"/>
      <c r="AG495" s="6" t="str">
        <f t="shared" si="45"/>
        <v/>
      </c>
    </row>
    <row r="496" spans="1:33" ht="15.75" customHeight="1" x14ac:dyDescent="0.2">
      <c r="A496" s="35"/>
      <c r="B496" s="44"/>
      <c r="C496" s="35"/>
      <c r="D496" s="35"/>
      <c r="E496" s="48"/>
      <c r="F496" s="45"/>
      <c r="G496" s="38"/>
      <c r="H496" s="45"/>
      <c r="I496" s="45"/>
      <c r="L496" s="19"/>
      <c r="N496" s="25"/>
      <c r="O496" s="25"/>
      <c r="P496" s="27"/>
      <c r="R496" s="6" t="str">
        <f>IF($H496&lt;&gt;"",RIGHT(Tabela1[[#This Row],[Ref.]],2),"")</f>
        <v/>
      </c>
      <c r="S496" s="6" t="str">
        <f t="shared" si="42"/>
        <v/>
      </c>
      <c r="T496" s="4" t="str">
        <f>IF($H496&lt;&gt;"",_xlfn.XLOOKUP(H496,Naturezas!B:B,Naturezas!E:E,"",0,1),"")</f>
        <v/>
      </c>
      <c r="U496" s="4" t="str">
        <f>IF($H496&lt;&gt;"",_xlfn.XLOOKUP($H496,Naturezas!B:B,Naturezas!D:D,"",0,1),"")</f>
        <v/>
      </c>
      <c r="V496" s="5" t="str">
        <f>IF(H496&lt;&gt;"",IF(OR(H496=Naturezas!$B$3,H496=Naturezas!$B$4,H496=Naturezas!$B$5,H496=Naturezas!$B$17,H496=Naturezas!$B$18,H496=Naturezas!$B$19),G496,-G496),"")</f>
        <v/>
      </c>
      <c r="W496" s="4" t="str">
        <f t="shared" si="46"/>
        <v/>
      </c>
      <c r="X496" s="4"/>
      <c r="Y496" s="4" t="str">
        <f t="shared" si="47"/>
        <v/>
      </c>
      <c r="Z496" s="6" t="str">
        <f>IF(H496&lt;&gt;"",Tabela1[[#This Row],[Iniciais]],"")</f>
        <v/>
      </c>
      <c r="AB496" s="6" t="str">
        <f>IF($H496&lt;&gt;"",RIGHT(Tabela1[[#This Row],[Ref.]],2),"")</f>
        <v/>
      </c>
      <c r="AC496" s="37" t="str">
        <f>IF($H496&lt;&gt;"",DATE(LEFT(Tabela1[[#This Row],[Ref.]],4),RIGHT(Tabela1[[#This Row],[Ref.]],2),1),"")</f>
        <v/>
      </c>
      <c r="AD496" s="4" t="str">
        <f t="shared" si="43"/>
        <v/>
      </c>
      <c r="AE496" s="5" t="str">
        <f t="shared" si="44"/>
        <v/>
      </c>
      <c r="AF496" s="4"/>
      <c r="AG496" s="6" t="str">
        <f t="shared" si="45"/>
        <v/>
      </c>
    </row>
    <row r="497" spans="1:33" ht="15.75" customHeight="1" x14ac:dyDescent="0.2">
      <c r="A497" s="35"/>
      <c r="B497" s="44"/>
      <c r="C497" s="35"/>
      <c r="D497" s="35"/>
      <c r="E497" s="48"/>
      <c r="F497" s="45"/>
      <c r="G497" s="38"/>
      <c r="H497" s="45"/>
      <c r="I497" s="45"/>
      <c r="L497" s="19"/>
      <c r="N497" s="25"/>
      <c r="O497" s="25"/>
      <c r="P497" s="27"/>
      <c r="R497" s="6" t="str">
        <f>IF($H497&lt;&gt;"",RIGHT(Tabela1[[#This Row],[Ref.]],2),"")</f>
        <v/>
      </c>
      <c r="S497" s="6" t="str">
        <f t="shared" si="42"/>
        <v/>
      </c>
      <c r="T497" s="4" t="str">
        <f>IF($H497&lt;&gt;"",_xlfn.XLOOKUP(H497,Naturezas!B:B,Naturezas!E:E,"",0,1),"")</f>
        <v/>
      </c>
      <c r="U497" s="4" t="str">
        <f>IF($H497&lt;&gt;"",_xlfn.XLOOKUP($H497,Naturezas!B:B,Naturezas!D:D,"",0,1),"")</f>
        <v/>
      </c>
      <c r="V497" s="5" t="str">
        <f>IF(H497&lt;&gt;"",IF(OR(H497=Naturezas!$B$3,H497=Naturezas!$B$4,H497=Naturezas!$B$5,H497=Naturezas!$B$17,H497=Naturezas!$B$18,H497=Naturezas!$B$19),G497,-G497),"")</f>
        <v/>
      </c>
      <c r="W497" s="4" t="str">
        <f t="shared" si="46"/>
        <v/>
      </c>
      <c r="X497" s="4"/>
      <c r="Y497" s="4" t="str">
        <f t="shared" si="47"/>
        <v/>
      </c>
      <c r="Z497" s="6" t="str">
        <f>IF(H497&lt;&gt;"",Tabela1[[#This Row],[Iniciais]],"")</f>
        <v/>
      </c>
      <c r="AB497" s="6" t="str">
        <f>IF($H497&lt;&gt;"",RIGHT(Tabela1[[#This Row],[Ref.]],2),"")</f>
        <v/>
      </c>
      <c r="AC497" s="37" t="str">
        <f>IF($H497&lt;&gt;"",DATE(LEFT(Tabela1[[#This Row],[Ref.]],4),RIGHT(Tabela1[[#This Row],[Ref.]],2),1),"")</f>
        <v/>
      </c>
      <c r="AD497" s="4" t="str">
        <f t="shared" si="43"/>
        <v/>
      </c>
      <c r="AE497" s="5" t="str">
        <f t="shared" si="44"/>
        <v/>
      </c>
      <c r="AF497" s="4"/>
      <c r="AG497" s="6" t="str">
        <f t="shared" si="45"/>
        <v/>
      </c>
    </row>
    <row r="498" spans="1:33" ht="15.75" customHeight="1" x14ac:dyDescent="0.2">
      <c r="A498" s="35"/>
      <c r="B498" s="44"/>
      <c r="C498" s="35"/>
      <c r="D498" s="35"/>
      <c r="E498" s="48"/>
      <c r="F498" s="45"/>
      <c r="G498" s="38"/>
      <c r="H498" s="45"/>
      <c r="I498" s="45"/>
      <c r="L498" s="19"/>
      <c r="N498" s="25"/>
      <c r="O498" s="25"/>
      <c r="P498" s="27"/>
      <c r="R498" s="6" t="str">
        <f>IF($H498&lt;&gt;"",RIGHT(Tabela1[[#This Row],[Ref.]],2),"")</f>
        <v/>
      </c>
      <c r="S498" s="6" t="str">
        <f t="shared" si="42"/>
        <v/>
      </c>
      <c r="T498" s="4" t="str">
        <f>IF($H498&lt;&gt;"",_xlfn.XLOOKUP(H498,Naturezas!B:B,Naturezas!E:E,"",0,1),"")</f>
        <v/>
      </c>
      <c r="U498" s="4" t="str">
        <f>IF($H498&lt;&gt;"",_xlfn.XLOOKUP($H498,Naturezas!B:B,Naturezas!D:D,"",0,1),"")</f>
        <v/>
      </c>
      <c r="V498" s="5" t="str">
        <f>IF(H498&lt;&gt;"",IF(OR(H498=Naturezas!$B$3,H498=Naturezas!$B$4,H498=Naturezas!$B$5,H498=Naturezas!$B$17,H498=Naturezas!$B$18,H498=Naturezas!$B$19),G498,-G498),"")</f>
        <v/>
      </c>
      <c r="W498" s="4" t="str">
        <f t="shared" si="46"/>
        <v/>
      </c>
      <c r="X498" s="4"/>
      <c r="Y498" s="4" t="str">
        <f t="shared" si="47"/>
        <v/>
      </c>
      <c r="Z498" s="6" t="str">
        <f>IF(H498&lt;&gt;"",Tabela1[[#This Row],[Iniciais]],"")</f>
        <v/>
      </c>
      <c r="AB498" s="6" t="str">
        <f>IF($H498&lt;&gt;"",RIGHT(Tabela1[[#This Row],[Ref.]],2),"")</f>
        <v/>
      </c>
      <c r="AC498" s="37" t="str">
        <f>IF($H498&lt;&gt;"",DATE(LEFT(Tabela1[[#This Row],[Ref.]],4),RIGHT(Tabela1[[#This Row],[Ref.]],2),1),"")</f>
        <v/>
      </c>
      <c r="AD498" s="4" t="str">
        <f t="shared" si="43"/>
        <v/>
      </c>
      <c r="AE498" s="5" t="str">
        <f t="shared" si="44"/>
        <v/>
      </c>
      <c r="AF498" s="4"/>
      <c r="AG498" s="6" t="str">
        <f t="shared" si="45"/>
        <v/>
      </c>
    </row>
    <row r="499" spans="1:33" ht="15.75" customHeight="1" x14ac:dyDescent="0.2">
      <c r="A499" s="35"/>
      <c r="B499" s="44"/>
      <c r="C499" s="35"/>
      <c r="D499" s="35"/>
      <c r="E499" s="48"/>
      <c r="F499" s="45"/>
      <c r="G499" s="38"/>
      <c r="H499" s="45"/>
      <c r="I499" s="45"/>
      <c r="L499" s="19"/>
      <c r="N499" s="25"/>
      <c r="O499" s="25"/>
      <c r="P499" s="27"/>
      <c r="R499" s="6" t="str">
        <f>IF($H499&lt;&gt;"",RIGHT(Tabela1[[#This Row],[Ref.]],2),"")</f>
        <v/>
      </c>
      <c r="S499" s="6" t="str">
        <f t="shared" si="42"/>
        <v/>
      </c>
      <c r="T499" s="4" t="str">
        <f>IF($H499&lt;&gt;"",_xlfn.XLOOKUP(H499,Naturezas!B:B,Naturezas!E:E,"",0,1),"")</f>
        <v/>
      </c>
      <c r="U499" s="4" t="str">
        <f>IF($H499&lt;&gt;"",_xlfn.XLOOKUP($H499,Naturezas!B:B,Naturezas!D:D,"",0,1),"")</f>
        <v/>
      </c>
      <c r="V499" s="5" t="str">
        <f>IF(H499&lt;&gt;"",IF(OR(H499=Naturezas!$B$3,H499=Naturezas!$B$4,H499=Naturezas!$B$5,H499=Naturezas!$B$17,H499=Naturezas!$B$18,H499=Naturezas!$B$19),G499,-G499),"")</f>
        <v/>
      </c>
      <c r="W499" s="4" t="str">
        <f t="shared" si="46"/>
        <v/>
      </c>
      <c r="X499" s="4"/>
      <c r="Y499" s="4" t="str">
        <f t="shared" si="47"/>
        <v/>
      </c>
      <c r="Z499" s="6" t="str">
        <f>IF(H499&lt;&gt;"",Tabela1[[#This Row],[Iniciais]],"")</f>
        <v/>
      </c>
      <c r="AB499" s="6" t="str">
        <f>IF($H499&lt;&gt;"",RIGHT(Tabela1[[#This Row],[Ref.]],2),"")</f>
        <v/>
      </c>
      <c r="AC499" s="37" t="str">
        <f>IF($H499&lt;&gt;"",DATE(LEFT(Tabela1[[#This Row],[Ref.]],4),RIGHT(Tabela1[[#This Row],[Ref.]],2),1),"")</f>
        <v/>
      </c>
      <c r="AD499" s="4" t="str">
        <f t="shared" si="43"/>
        <v/>
      </c>
      <c r="AE499" s="5" t="str">
        <f t="shared" si="44"/>
        <v/>
      </c>
      <c r="AF499" s="4"/>
      <c r="AG499" s="6" t="str">
        <f t="shared" si="45"/>
        <v/>
      </c>
    </row>
    <row r="500" spans="1:33" ht="15.75" customHeight="1" x14ac:dyDescent="0.2">
      <c r="A500" s="35"/>
      <c r="B500" s="44"/>
      <c r="C500" s="35"/>
      <c r="D500" s="35"/>
      <c r="E500" s="48"/>
      <c r="F500" s="45"/>
      <c r="G500" s="38"/>
      <c r="H500" s="45"/>
      <c r="I500" s="45"/>
      <c r="L500" s="19"/>
      <c r="N500" s="25"/>
      <c r="O500" s="25"/>
      <c r="P500" s="27"/>
      <c r="R500" s="6" t="str">
        <f>IF($H500&lt;&gt;"",RIGHT(Tabela1[[#This Row],[Ref.]],2),"")</f>
        <v/>
      </c>
      <c r="S500" s="6" t="str">
        <f t="shared" si="42"/>
        <v/>
      </c>
      <c r="T500" s="4" t="str">
        <f>IF($H500&lt;&gt;"",_xlfn.XLOOKUP(H500,Naturezas!B:B,Naturezas!E:E,"",0,1),"")</f>
        <v/>
      </c>
      <c r="U500" s="4" t="str">
        <f>IF($H500&lt;&gt;"",_xlfn.XLOOKUP($H500,Naturezas!B:B,Naturezas!D:D,"",0,1),"")</f>
        <v/>
      </c>
      <c r="V500" s="5" t="str">
        <f>IF(H500&lt;&gt;"",IF(OR(H500=Naturezas!$B$3,H500=Naturezas!$B$4,H500=Naturezas!$B$5,H500=Naturezas!$B$17,H500=Naturezas!$B$18,H500=Naturezas!$B$19),G500,-G500),"")</f>
        <v/>
      </c>
      <c r="W500" s="4" t="str">
        <f t="shared" si="46"/>
        <v/>
      </c>
      <c r="X500" s="4"/>
      <c r="Y500" s="4" t="str">
        <f t="shared" si="47"/>
        <v/>
      </c>
      <c r="Z500" s="6" t="str">
        <f>IF(H500&lt;&gt;"",Tabela1[[#This Row],[Iniciais]],"")</f>
        <v/>
      </c>
      <c r="AB500" s="6" t="str">
        <f>IF($H500&lt;&gt;"",RIGHT(Tabela1[[#This Row],[Ref.]],2),"")</f>
        <v/>
      </c>
      <c r="AC500" s="37" t="str">
        <f>IF($H500&lt;&gt;"",DATE(LEFT(Tabela1[[#This Row],[Ref.]],4),RIGHT(Tabela1[[#This Row],[Ref.]],2),1),"")</f>
        <v/>
      </c>
      <c r="AD500" s="4" t="str">
        <f t="shared" si="43"/>
        <v/>
      </c>
      <c r="AE500" s="5" t="str">
        <f t="shared" si="44"/>
        <v/>
      </c>
      <c r="AF500" s="4"/>
      <c r="AG500" s="6" t="str">
        <f t="shared" si="45"/>
        <v/>
      </c>
    </row>
    <row r="501" spans="1:33" ht="15.75" customHeight="1" x14ac:dyDescent="0.2">
      <c r="A501" s="35"/>
      <c r="B501" s="44"/>
      <c r="C501" s="35"/>
      <c r="D501" s="35"/>
      <c r="E501" s="48"/>
      <c r="F501" s="45"/>
      <c r="G501" s="38"/>
      <c r="H501" s="45"/>
      <c r="I501" s="45"/>
      <c r="L501" s="19"/>
      <c r="N501" s="25"/>
      <c r="O501" s="25"/>
      <c r="P501" s="27"/>
      <c r="R501" s="6" t="str">
        <f>IF($H501&lt;&gt;"",RIGHT(Tabela1[[#This Row],[Ref.]],2),"")</f>
        <v/>
      </c>
      <c r="S501" s="6" t="str">
        <f t="shared" si="42"/>
        <v/>
      </c>
      <c r="T501" s="4" t="str">
        <f>IF($H501&lt;&gt;"",_xlfn.XLOOKUP(H501,Naturezas!B:B,Naturezas!E:E,"",0,1),"")</f>
        <v/>
      </c>
      <c r="U501" s="4" t="str">
        <f>IF($H501&lt;&gt;"",_xlfn.XLOOKUP($H501,Naturezas!B:B,Naturezas!D:D,"",0,1),"")</f>
        <v/>
      </c>
      <c r="V501" s="5" t="str">
        <f>IF(H501&lt;&gt;"",IF(OR(H501=Naturezas!$B$3,H501=Naturezas!$B$4,H501=Naturezas!$B$5,H501=Naturezas!$B$17,H501=Naturezas!$B$18,H501=Naturezas!$B$19),G501,-G501),"")</f>
        <v/>
      </c>
      <c r="W501" s="4" t="str">
        <f t="shared" si="46"/>
        <v/>
      </c>
      <c r="X501" s="4"/>
      <c r="Y501" s="4" t="str">
        <f t="shared" si="47"/>
        <v/>
      </c>
      <c r="Z501" s="6" t="str">
        <f>IF(H501&lt;&gt;"",Tabela1[[#This Row],[Iniciais]],"")</f>
        <v/>
      </c>
      <c r="AB501" s="6" t="str">
        <f>IF($H501&lt;&gt;"",RIGHT(Tabela1[[#This Row],[Ref.]],2),"")</f>
        <v/>
      </c>
      <c r="AC501" s="37" t="str">
        <f>IF($H501&lt;&gt;"",DATE(LEFT(Tabela1[[#This Row],[Ref.]],4),RIGHT(Tabela1[[#This Row],[Ref.]],2),1),"")</f>
        <v/>
      </c>
      <c r="AD501" s="4" t="str">
        <f t="shared" si="43"/>
        <v/>
      </c>
      <c r="AE501" s="5" t="str">
        <f t="shared" si="44"/>
        <v/>
      </c>
      <c r="AF501" s="4"/>
      <c r="AG501" s="6" t="str">
        <f t="shared" si="45"/>
        <v/>
      </c>
    </row>
    <row r="502" spans="1:33" ht="15.75" customHeight="1" x14ac:dyDescent="0.2">
      <c r="A502" s="35"/>
      <c r="B502" s="44"/>
      <c r="C502" s="35"/>
      <c r="D502" s="35"/>
      <c r="E502" s="48"/>
      <c r="F502" s="45"/>
      <c r="G502" s="38"/>
      <c r="H502" s="45"/>
      <c r="I502" s="45"/>
      <c r="L502" s="19"/>
      <c r="N502" s="25"/>
      <c r="O502" s="25"/>
      <c r="P502" s="27"/>
      <c r="R502" s="6" t="str">
        <f>IF($H502&lt;&gt;"",RIGHT(Tabela1[[#This Row],[Ref.]],2),"")</f>
        <v/>
      </c>
      <c r="S502" s="6" t="str">
        <f t="shared" si="42"/>
        <v/>
      </c>
      <c r="T502" s="4" t="str">
        <f>IF($H502&lt;&gt;"",_xlfn.XLOOKUP(H502,Naturezas!B:B,Naturezas!E:E,"",0,1),"")</f>
        <v/>
      </c>
      <c r="U502" s="4" t="str">
        <f>IF($H502&lt;&gt;"",_xlfn.XLOOKUP($H502,Naturezas!B:B,Naturezas!D:D,"",0,1),"")</f>
        <v/>
      </c>
      <c r="V502" s="5" t="str">
        <f>IF(H502&lt;&gt;"",IF(OR(H502=Naturezas!$B$3,H502=Naturezas!$B$4,H502=Naturezas!$B$5,H502=Naturezas!$B$17,H502=Naturezas!$B$18,H502=Naturezas!$B$19),G502,-G502),"")</f>
        <v/>
      </c>
      <c r="W502" s="4" t="str">
        <f t="shared" si="46"/>
        <v/>
      </c>
      <c r="X502" s="4"/>
      <c r="Y502" s="4" t="str">
        <f t="shared" si="47"/>
        <v/>
      </c>
      <c r="Z502" s="6" t="str">
        <f>IF(H502&lt;&gt;"",Tabela1[[#This Row],[Iniciais]],"")</f>
        <v/>
      </c>
      <c r="AB502" s="6" t="str">
        <f>IF($H502&lt;&gt;"",RIGHT(Tabela1[[#This Row],[Ref.]],2),"")</f>
        <v/>
      </c>
      <c r="AC502" s="37" t="str">
        <f>IF($H502&lt;&gt;"",DATE(LEFT(Tabela1[[#This Row],[Ref.]],4),RIGHT(Tabela1[[#This Row],[Ref.]],2),1),"")</f>
        <v/>
      </c>
      <c r="AD502" s="4" t="str">
        <f t="shared" si="43"/>
        <v/>
      </c>
      <c r="AE502" s="5" t="str">
        <f t="shared" si="44"/>
        <v/>
      </c>
      <c r="AF502" s="4"/>
      <c r="AG502" s="6" t="str">
        <f t="shared" si="45"/>
        <v/>
      </c>
    </row>
    <row r="503" spans="1:33" ht="15.75" customHeight="1" x14ac:dyDescent="0.2">
      <c r="A503" s="35"/>
      <c r="B503" s="44"/>
      <c r="C503" s="35"/>
      <c r="D503" s="35"/>
      <c r="E503" s="48"/>
      <c r="F503" s="45"/>
      <c r="G503" s="38"/>
      <c r="H503" s="45"/>
      <c r="I503" s="45"/>
      <c r="L503" s="19"/>
      <c r="N503" s="25"/>
      <c r="O503" s="25"/>
      <c r="P503" s="27"/>
      <c r="R503" s="6" t="str">
        <f>IF($H503&lt;&gt;"",RIGHT(Tabela1[[#This Row],[Ref.]],2),"")</f>
        <v/>
      </c>
      <c r="S503" s="6" t="str">
        <f t="shared" si="42"/>
        <v/>
      </c>
      <c r="T503" s="4" t="str">
        <f>IF($H503&lt;&gt;"",_xlfn.XLOOKUP(H503,Naturezas!B:B,Naturezas!E:E,"",0,1),"")</f>
        <v/>
      </c>
      <c r="U503" s="4" t="str">
        <f>IF($H503&lt;&gt;"",_xlfn.XLOOKUP($H503,Naturezas!B:B,Naturezas!D:D,"",0,1),"")</f>
        <v/>
      </c>
      <c r="V503" s="5" t="str">
        <f>IF(H503&lt;&gt;"",IF(OR(H503=Naturezas!$B$3,H503=Naturezas!$B$4,H503=Naturezas!$B$5,H503=Naturezas!$B$17,H503=Naturezas!$B$18,H503=Naturezas!$B$19),G503,-G503),"")</f>
        <v/>
      </c>
      <c r="W503" s="4" t="str">
        <f t="shared" si="46"/>
        <v/>
      </c>
      <c r="X503" s="4"/>
      <c r="Y503" s="4" t="str">
        <f t="shared" si="47"/>
        <v/>
      </c>
      <c r="Z503" s="6" t="str">
        <f>IF(H503&lt;&gt;"",Tabela1[[#This Row],[Iniciais]],"")</f>
        <v/>
      </c>
      <c r="AB503" s="6" t="str">
        <f>IF($H503&lt;&gt;"",RIGHT(Tabela1[[#This Row],[Ref.]],2),"")</f>
        <v/>
      </c>
      <c r="AC503" s="37" t="str">
        <f>IF($H503&lt;&gt;"",DATE(LEFT(Tabela1[[#This Row],[Ref.]],4),RIGHT(Tabela1[[#This Row],[Ref.]],2),1),"")</f>
        <v/>
      </c>
      <c r="AD503" s="4" t="str">
        <f t="shared" si="43"/>
        <v/>
      </c>
      <c r="AE503" s="5" t="str">
        <f t="shared" si="44"/>
        <v/>
      </c>
      <c r="AF503" s="4"/>
      <c r="AG503" s="6" t="str">
        <f t="shared" si="45"/>
        <v/>
      </c>
    </row>
    <row r="504" spans="1:33" ht="15.75" customHeight="1" x14ac:dyDescent="0.2">
      <c r="A504" s="35"/>
      <c r="B504" s="44"/>
      <c r="C504" s="35"/>
      <c r="D504" s="35"/>
      <c r="E504" s="48"/>
      <c r="F504" s="45"/>
      <c r="G504" s="38"/>
      <c r="H504" s="45"/>
      <c r="I504" s="45"/>
      <c r="L504" s="19"/>
      <c r="N504" s="25"/>
      <c r="O504" s="25"/>
      <c r="P504" s="27"/>
      <c r="R504" s="6" t="str">
        <f>IF($H504&lt;&gt;"",RIGHT(Tabela1[[#This Row],[Ref.]],2),"")</f>
        <v/>
      </c>
      <c r="S504" s="6" t="str">
        <f t="shared" si="42"/>
        <v/>
      </c>
      <c r="T504" s="4" t="str">
        <f>IF($H504&lt;&gt;"",_xlfn.XLOOKUP(H504,Naturezas!B:B,Naturezas!E:E,"",0,1),"")</f>
        <v/>
      </c>
      <c r="U504" s="4" t="str">
        <f>IF($H504&lt;&gt;"",_xlfn.XLOOKUP($H504,Naturezas!B:B,Naturezas!D:D,"",0,1),"")</f>
        <v/>
      </c>
      <c r="V504" s="5" t="str">
        <f>IF(H504&lt;&gt;"",IF(OR(H504=Naturezas!$B$3,H504=Naturezas!$B$4,H504=Naturezas!$B$5,H504=Naturezas!$B$17,H504=Naturezas!$B$18,H504=Naturezas!$B$19),G504,-G504),"")</f>
        <v/>
      </c>
      <c r="W504" s="4" t="str">
        <f t="shared" si="46"/>
        <v/>
      </c>
      <c r="X504" s="4"/>
      <c r="Y504" s="4" t="str">
        <f t="shared" si="47"/>
        <v/>
      </c>
      <c r="Z504" s="6" t="str">
        <f>IF(H504&lt;&gt;"",Tabela1[[#This Row],[Iniciais]],"")</f>
        <v/>
      </c>
      <c r="AB504" s="6" t="str">
        <f>IF($H504&lt;&gt;"",RIGHT(Tabela1[[#This Row],[Ref.]],2),"")</f>
        <v/>
      </c>
      <c r="AC504" s="37" t="str">
        <f>IF($H504&lt;&gt;"",DATE(LEFT(Tabela1[[#This Row],[Ref.]],4),RIGHT(Tabela1[[#This Row],[Ref.]],2),1),"")</f>
        <v/>
      </c>
      <c r="AD504" s="4" t="str">
        <f t="shared" si="43"/>
        <v/>
      </c>
      <c r="AE504" s="5" t="str">
        <f t="shared" si="44"/>
        <v/>
      </c>
      <c r="AF504" s="4"/>
      <c r="AG504" s="6" t="str">
        <f t="shared" si="45"/>
        <v/>
      </c>
    </row>
    <row r="505" spans="1:33" ht="15.75" customHeight="1" x14ac:dyDescent="0.2">
      <c r="L505"/>
      <c r="P505"/>
    </row>
    <row r="506" spans="1:33" ht="15.75" customHeight="1" x14ac:dyDescent="0.2">
      <c r="A506" s="35"/>
      <c r="B506" s="35"/>
      <c r="C506" s="35"/>
      <c r="D506" s="35"/>
      <c r="E506" s="49"/>
      <c r="F506" s="35"/>
      <c r="I506" s="2"/>
    </row>
    <row r="507" spans="1:33" ht="15.75" customHeight="1" x14ac:dyDescent="0.2">
      <c r="A507" s="35"/>
      <c r="B507" s="35"/>
      <c r="C507" s="35"/>
      <c r="D507" s="35"/>
      <c r="E507" s="49"/>
      <c r="F507" s="35"/>
      <c r="I507" s="2"/>
    </row>
    <row r="508" spans="1:33" ht="15.75" customHeight="1" x14ac:dyDescent="0.2">
      <c r="A508" s="35"/>
      <c r="B508" s="35"/>
      <c r="C508" s="35"/>
      <c r="D508" s="35"/>
      <c r="E508" s="49"/>
      <c r="F508" s="35"/>
      <c r="I508" s="2"/>
    </row>
    <row r="509" spans="1:33" ht="15.75" customHeight="1" x14ac:dyDescent="0.2">
      <c r="A509" s="35"/>
      <c r="B509" s="35"/>
      <c r="C509" s="35"/>
      <c r="D509" s="35"/>
      <c r="E509" s="49"/>
      <c r="F509" s="35"/>
      <c r="I509" s="2"/>
    </row>
    <row r="510" spans="1:33" ht="15.75" customHeight="1" x14ac:dyDescent="0.2">
      <c r="A510" s="35"/>
      <c r="B510" s="35"/>
      <c r="C510" s="35"/>
      <c r="D510" s="35"/>
      <c r="E510" s="49"/>
      <c r="F510" s="35"/>
      <c r="I510" s="2"/>
    </row>
    <row r="511" spans="1:33" ht="15.75" customHeight="1" x14ac:dyDescent="0.2">
      <c r="A511" s="35"/>
      <c r="B511" s="35"/>
      <c r="C511" s="35"/>
      <c r="D511" s="35"/>
      <c r="E511" s="49"/>
      <c r="F511" s="35"/>
      <c r="I511" s="2"/>
    </row>
    <row r="512" spans="1:33" ht="15.75" customHeight="1" x14ac:dyDescent="0.2">
      <c r="A512" s="35"/>
      <c r="B512" s="35"/>
      <c r="C512" s="35"/>
      <c r="D512" s="35"/>
      <c r="E512" s="49"/>
      <c r="F512" s="35"/>
      <c r="I512" s="2"/>
    </row>
    <row r="513" spans="1:9" ht="15.75" customHeight="1" x14ac:dyDescent="0.2">
      <c r="A513" s="35"/>
      <c r="B513" s="35"/>
      <c r="C513" s="35"/>
      <c r="D513" s="35"/>
      <c r="E513" s="49"/>
      <c r="F513" s="35"/>
      <c r="I513" s="2"/>
    </row>
    <row r="514" spans="1:9" ht="15.75" customHeight="1" x14ac:dyDescent="0.2">
      <c r="A514" s="35"/>
      <c r="B514" s="35"/>
      <c r="C514" s="35"/>
      <c r="D514" s="35"/>
      <c r="E514" s="49"/>
      <c r="F514" s="35"/>
      <c r="I514" s="2"/>
    </row>
    <row r="515" spans="1:9" ht="15.75" customHeight="1" x14ac:dyDescent="0.2">
      <c r="A515" s="35"/>
      <c r="B515" s="35"/>
      <c r="C515" s="35"/>
      <c r="D515" s="35"/>
      <c r="E515" s="49"/>
      <c r="F515" s="35"/>
      <c r="I515" s="2"/>
    </row>
    <row r="516" spans="1:9" ht="15.75" customHeight="1" x14ac:dyDescent="0.2">
      <c r="A516" s="35"/>
      <c r="B516" s="35"/>
      <c r="C516" s="35"/>
      <c r="D516" s="35"/>
      <c r="E516" s="49"/>
      <c r="F516" s="35"/>
      <c r="I516" s="2"/>
    </row>
    <row r="517" spans="1:9" ht="15.75" customHeight="1" x14ac:dyDescent="0.2">
      <c r="A517" s="35"/>
      <c r="B517" s="35"/>
      <c r="C517" s="35"/>
      <c r="D517" s="35"/>
      <c r="E517" s="49"/>
      <c r="F517" s="35"/>
      <c r="I517" s="2"/>
    </row>
    <row r="518" spans="1:9" ht="15.75" customHeight="1" x14ac:dyDescent="0.2">
      <c r="A518" s="35"/>
      <c r="B518" s="35"/>
      <c r="C518" s="35"/>
      <c r="D518" s="35"/>
      <c r="E518" s="49"/>
      <c r="F518" s="35"/>
      <c r="I518" s="2"/>
    </row>
    <row r="519" spans="1:9" ht="15.75" customHeight="1" x14ac:dyDescent="0.2">
      <c r="A519" s="35"/>
      <c r="B519" s="35"/>
      <c r="C519" s="35"/>
      <c r="D519" s="35"/>
      <c r="E519" s="49"/>
      <c r="F519" s="35"/>
      <c r="I519" s="2"/>
    </row>
    <row r="520" spans="1:9" ht="15.75" customHeight="1" x14ac:dyDescent="0.2">
      <c r="A520" s="35"/>
      <c r="B520" s="35"/>
      <c r="C520" s="35"/>
      <c r="D520" s="35"/>
      <c r="E520" s="49"/>
      <c r="F520" s="35"/>
      <c r="I520" s="2"/>
    </row>
    <row r="521" spans="1:9" ht="15.75" customHeight="1" x14ac:dyDescent="0.2">
      <c r="A521" s="35"/>
      <c r="B521" s="35"/>
      <c r="C521" s="35"/>
      <c r="D521" s="35"/>
      <c r="E521" s="49"/>
      <c r="F521" s="35"/>
      <c r="I521" s="2"/>
    </row>
    <row r="522" spans="1:9" ht="15.75" customHeight="1" x14ac:dyDescent="0.2">
      <c r="A522" s="35"/>
      <c r="B522" s="35"/>
      <c r="C522" s="35"/>
      <c r="D522" s="35"/>
      <c r="E522" s="49"/>
      <c r="F522" s="35"/>
      <c r="I522" s="2"/>
    </row>
    <row r="523" spans="1:9" ht="15.75" customHeight="1" x14ac:dyDescent="0.2">
      <c r="A523" s="35"/>
      <c r="B523" s="35"/>
      <c r="C523" s="35"/>
      <c r="D523" s="35"/>
      <c r="E523" s="49"/>
      <c r="F523" s="35"/>
      <c r="I523" s="2"/>
    </row>
    <row r="524" spans="1:9" ht="15.75" customHeight="1" x14ac:dyDescent="0.2">
      <c r="A524" s="35"/>
      <c r="B524" s="35"/>
      <c r="C524" s="35"/>
      <c r="D524" s="35"/>
      <c r="E524" s="49"/>
      <c r="F524" s="35"/>
      <c r="I524" s="2"/>
    </row>
    <row r="525" spans="1:9" ht="15.75" customHeight="1" x14ac:dyDescent="0.2">
      <c r="A525" s="35"/>
      <c r="B525" s="35"/>
      <c r="C525" s="35"/>
      <c r="D525" s="35"/>
      <c r="E525" s="49"/>
      <c r="F525" s="35"/>
      <c r="I525" s="2"/>
    </row>
    <row r="526" spans="1:9" ht="15.75" customHeight="1" x14ac:dyDescent="0.2">
      <c r="A526" s="35"/>
      <c r="B526" s="35"/>
      <c r="C526" s="35"/>
      <c r="D526" s="35"/>
      <c r="E526" s="49"/>
      <c r="F526" s="35"/>
      <c r="I526" s="2"/>
    </row>
    <row r="527" spans="1:9" ht="15.75" customHeight="1" x14ac:dyDescent="0.2">
      <c r="A527" s="35"/>
      <c r="B527" s="35"/>
      <c r="C527" s="35"/>
      <c r="D527" s="35"/>
      <c r="E527" s="49"/>
      <c r="F527" s="35"/>
      <c r="I527" s="2"/>
    </row>
    <row r="528" spans="1:9" ht="15.75" customHeight="1" x14ac:dyDescent="0.2">
      <c r="A528" s="35"/>
      <c r="B528" s="35"/>
      <c r="C528" s="35"/>
      <c r="D528" s="35"/>
      <c r="E528" s="49"/>
      <c r="F528" s="35"/>
      <c r="I528" s="2"/>
    </row>
    <row r="529" spans="1:9" ht="15.75" customHeight="1" x14ac:dyDescent="0.2">
      <c r="A529" s="35"/>
      <c r="B529" s="35"/>
      <c r="C529" s="35"/>
      <c r="D529" s="35"/>
      <c r="E529" s="49"/>
      <c r="F529" s="35"/>
      <c r="I529" s="2"/>
    </row>
    <row r="530" spans="1:9" ht="15.75" customHeight="1" x14ac:dyDescent="0.2">
      <c r="A530" s="35"/>
      <c r="B530" s="35"/>
      <c r="C530" s="35"/>
      <c r="D530" s="35"/>
      <c r="E530" s="49"/>
      <c r="F530" s="35"/>
      <c r="I530" s="2"/>
    </row>
    <row r="531" spans="1:9" ht="15.75" customHeight="1" x14ac:dyDescent="0.2">
      <c r="A531" s="35"/>
      <c r="B531" s="35"/>
      <c r="C531" s="35"/>
      <c r="D531" s="35"/>
      <c r="E531" s="49"/>
      <c r="F531" s="35"/>
      <c r="I531" s="2"/>
    </row>
    <row r="532" spans="1:9" ht="15.75" customHeight="1" x14ac:dyDescent="0.2">
      <c r="A532" s="35"/>
      <c r="B532" s="35"/>
      <c r="C532" s="35"/>
      <c r="D532" s="35"/>
      <c r="E532" s="49"/>
      <c r="F532" s="35"/>
      <c r="I532" s="2"/>
    </row>
    <row r="533" spans="1:9" ht="15.75" customHeight="1" x14ac:dyDescent="0.2">
      <c r="A533" s="35"/>
      <c r="B533" s="35"/>
      <c r="C533" s="35"/>
      <c r="D533" s="35"/>
      <c r="E533" s="49"/>
      <c r="F533" s="35"/>
      <c r="I533" s="2"/>
    </row>
    <row r="534" spans="1:9" ht="15.75" customHeight="1" x14ac:dyDescent="0.2">
      <c r="A534" s="35"/>
      <c r="B534" s="35"/>
      <c r="C534" s="35"/>
      <c r="D534" s="35"/>
      <c r="E534" s="49"/>
      <c r="F534" s="35"/>
      <c r="I534" s="2"/>
    </row>
    <row r="535" spans="1:9" ht="15.75" customHeight="1" x14ac:dyDescent="0.2">
      <c r="A535" s="35"/>
      <c r="B535" s="35"/>
      <c r="C535" s="35"/>
      <c r="D535" s="35"/>
      <c r="E535" s="49"/>
      <c r="F535" s="35"/>
      <c r="I535" s="2"/>
    </row>
    <row r="536" spans="1:9" ht="15.75" customHeight="1" x14ac:dyDescent="0.2">
      <c r="A536" s="35"/>
      <c r="B536" s="35"/>
      <c r="C536" s="35"/>
      <c r="D536" s="35"/>
      <c r="E536" s="49"/>
      <c r="F536" s="35"/>
      <c r="I536" s="2"/>
    </row>
    <row r="537" spans="1:9" ht="15.75" customHeight="1" x14ac:dyDescent="0.2">
      <c r="A537" s="35"/>
      <c r="B537" s="35"/>
      <c r="C537" s="35"/>
      <c r="D537" s="35"/>
      <c r="E537" s="49"/>
      <c r="F537" s="35"/>
      <c r="I537" s="2"/>
    </row>
    <row r="538" spans="1:9" ht="15.75" customHeight="1" x14ac:dyDescent="0.2">
      <c r="A538" s="35"/>
      <c r="B538" s="35"/>
      <c r="C538" s="35"/>
      <c r="D538" s="35"/>
      <c r="E538" s="49"/>
      <c r="F538" s="35"/>
      <c r="I538" s="2"/>
    </row>
    <row r="539" spans="1:9" ht="15.75" customHeight="1" x14ac:dyDescent="0.2">
      <c r="A539" s="35"/>
      <c r="B539" s="35"/>
      <c r="C539" s="35"/>
      <c r="D539" s="35"/>
      <c r="E539" s="49"/>
      <c r="F539" s="35"/>
      <c r="I539" s="2"/>
    </row>
    <row r="540" spans="1:9" ht="15.75" customHeight="1" x14ac:dyDescent="0.2">
      <c r="A540" s="35"/>
      <c r="B540" s="35"/>
      <c r="C540" s="35"/>
      <c r="D540" s="35"/>
      <c r="E540" s="49"/>
      <c r="F540" s="35"/>
      <c r="I540" s="2"/>
    </row>
    <row r="541" spans="1:9" ht="15.75" customHeight="1" x14ac:dyDescent="0.2">
      <c r="A541" s="35"/>
      <c r="B541" s="35"/>
      <c r="C541" s="35"/>
      <c r="D541" s="35"/>
      <c r="E541" s="49"/>
      <c r="F541" s="35"/>
      <c r="I541" s="2"/>
    </row>
    <row r="542" spans="1:9" ht="15.75" customHeight="1" x14ac:dyDescent="0.2">
      <c r="A542" s="35"/>
      <c r="B542" s="35"/>
      <c r="C542" s="35"/>
      <c r="D542" s="35"/>
      <c r="E542" s="49"/>
      <c r="F542" s="35"/>
      <c r="I542" s="2"/>
    </row>
    <row r="543" spans="1:9" ht="15.75" customHeight="1" x14ac:dyDescent="0.2">
      <c r="A543" s="35"/>
      <c r="B543" s="35"/>
      <c r="C543" s="35"/>
      <c r="D543" s="35"/>
      <c r="E543" s="49"/>
      <c r="F543" s="35"/>
      <c r="I543" s="2"/>
    </row>
    <row r="544" spans="1:9" ht="15.75" customHeight="1" x14ac:dyDescent="0.2">
      <c r="A544" s="35"/>
      <c r="B544" s="35"/>
      <c r="C544" s="35"/>
      <c r="D544" s="35"/>
      <c r="E544" s="49"/>
      <c r="F544" s="35"/>
      <c r="I544" s="2"/>
    </row>
    <row r="545" spans="1:9" ht="15.75" customHeight="1" x14ac:dyDescent="0.2">
      <c r="A545" s="35"/>
      <c r="B545" s="35"/>
      <c r="C545" s="35"/>
      <c r="D545" s="35"/>
      <c r="E545" s="49"/>
      <c r="F545" s="35"/>
      <c r="I545" s="2"/>
    </row>
    <row r="546" spans="1:9" ht="15.75" customHeight="1" x14ac:dyDescent="0.2">
      <c r="A546" s="35"/>
      <c r="B546" s="35"/>
      <c r="C546" s="35"/>
      <c r="D546" s="35"/>
      <c r="E546" s="49"/>
      <c r="F546" s="35"/>
      <c r="I546" s="2"/>
    </row>
    <row r="547" spans="1:9" ht="15.75" customHeight="1" x14ac:dyDescent="0.2">
      <c r="A547" s="35"/>
      <c r="B547" s="35"/>
      <c r="C547" s="35"/>
      <c r="D547" s="35"/>
      <c r="E547" s="49"/>
      <c r="F547" s="35"/>
      <c r="I547" s="2"/>
    </row>
    <row r="548" spans="1:9" ht="15.75" customHeight="1" x14ac:dyDescent="0.2">
      <c r="A548" s="35"/>
      <c r="B548" s="35"/>
      <c r="C548" s="35"/>
      <c r="D548" s="35"/>
      <c r="E548" s="49"/>
      <c r="F548" s="35"/>
      <c r="I548" s="2"/>
    </row>
    <row r="549" spans="1:9" ht="15.75" customHeight="1" x14ac:dyDescent="0.2">
      <c r="A549" s="35"/>
      <c r="B549" s="35"/>
      <c r="C549" s="35"/>
      <c r="D549" s="35"/>
      <c r="E549" s="49"/>
      <c r="F549" s="35"/>
      <c r="I549" s="2"/>
    </row>
    <row r="550" spans="1:9" ht="15.75" customHeight="1" x14ac:dyDescent="0.2">
      <c r="A550" s="35"/>
      <c r="B550" s="35"/>
      <c r="C550" s="35"/>
      <c r="D550" s="35"/>
      <c r="E550" s="49"/>
      <c r="F550" s="35"/>
      <c r="I550" s="2"/>
    </row>
    <row r="551" spans="1:9" ht="15.75" customHeight="1" x14ac:dyDescent="0.2">
      <c r="A551" s="35"/>
      <c r="B551" s="35"/>
      <c r="C551" s="35"/>
      <c r="D551" s="35"/>
      <c r="E551" s="49"/>
      <c r="F551" s="35"/>
      <c r="I551" s="2"/>
    </row>
    <row r="552" spans="1:9" ht="15.75" customHeight="1" x14ac:dyDescent="0.2">
      <c r="A552" s="35"/>
      <c r="B552" s="35"/>
      <c r="C552" s="35"/>
      <c r="D552" s="35"/>
      <c r="E552" s="49"/>
      <c r="F552" s="35"/>
      <c r="I552" s="2"/>
    </row>
    <row r="553" spans="1:9" ht="15.75" customHeight="1" x14ac:dyDescent="0.2">
      <c r="A553" s="35"/>
      <c r="B553" s="35"/>
      <c r="C553" s="35"/>
      <c r="D553" s="35"/>
      <c r="E553" s="49"/>
      <c r="F553" s="35"/>
      <c r="I553" s="2"/>
    </row>
    <row r="554" spans="1:9" ht="15.75" customHeight="1" x14ac:dyDescent="0.2">
      <c r="A554" s="35"/>
      <c r="B554" s="35"/>
      <c r="C554" s="35"/>
      <c r="D554" s="35"/>
      <c r="E554" s="49"/>
      <c r="F554" s="35"/>
      <c r="I554" s="2"/>
    </row>
    <row r="555" spans="1:9" ht="15.75" customHeight="1" x14ac:dyDescent="0.2">
      <c r="A555" s="35"/>
      <c r="B555" s="35"/>
      <c r="C555" s="35"/>
      <c r="D555" s="35"/>
      <c r="E555" s="49"/>
      <c r="F555" s="35"/>
      <c r="I555" s="2"/>
    </row>
    <row r="556" spans="1:9" ht="15.75" customHeight="1" x14ac:dyDescent="0.2">
      <c r="A556" s="35"/>
      <c r="B556" s="35"/>
      <c r="C556" s="35"/>
      <c r="D556" s="35"/>
      <c r="E556" s="49"/>
      <c r="F556" s="35"/>
      <c r="I556" s="2"/>
    </row>
    <row r="557" spans="1:9" ht="15.75" customHeight="1" x14ac:dyDescent="0.2">
      <c r="A557" s="35"/>
      <c r="B557" s="35"/>
      <c r="C557" s="35"/>
      <c r="D557" s="35"/>
      <c r="E557" s="49"/>
      <c r="F557" s="35"/>
      <c r="I557" s="2"/>
    </row>
    <row r="558" spans="1:9" ht="15.75" customHeight="1" x14ac:dyDescent="0.2">
      <c r="A558" s="35"/>
      <c r="B558" s="35"/>
      <c r="C558" s="35"/>
      <c r="D558" s="35"/>
      <c r="E558" s="49"/>
      <c r="F558" s="35"/>
      <c r="I558" s="2"/>
    </row>
    <row r="559" spans="1:9" ht="15.75" customHeight="1" x14ac:dyDescent="0.2">
      <c r="A559" s="35"/>
      <c r="B559" s="35"/>
      <c r="C559" s="35"/>
      <c r="D559" s="35"/>
      <c r="E559" s="49"/>
      <c r="F559" s="35"/>
      <c r="I559" s="2"/>
    </row>
    <row r="560" spans="1:9" ht="15.75" customHeight="1" x14ac:dyDescent="0.2">
      <c r="A560" s="35"/>
      <c r="B560" s="35"/>
      <c r="C560" s="35"/>
      <c r="D560" s="35"/>
      <c r="E560" s="49"/>
      <c r="F560" s="35"/>
      <c r="I560" s="2"/>
    </row>
    <row r="561" spans="1:9" ht="15.75" customHeight="1" x14ac:dyDescent="0.2">
      <c r="A561" s="35"/>
      <c r="B561" s="35"/>
      <c r="C561" s="35"/>
      <c r="D561" s="35"/>
      <c r="E561" s="49"/>
      <c r="F561" s="35"/>
      <c r="I561" s="2"/>
    </row>
    <row r="562" spans="1:9" ht="15.75" customHeight="1" x14ac:dyDescent="0.2">
      <c r="A562" s="35"/>
      <c r="B562" s="35"/>
      <c r="C562" s="35"/>
      <c r="D562" s="35"/>
      <c r="E562" s="49"/>
      <c r="F562" s="35"/>
      <c r="I562" s="2"/>
    </row>
    <row r="563" spans="1:9" ht="15.75" customHeight="1" x14ac:dyDescent="0.2">
      <c r="A563" s="35"/>
      <c r="B563" s="35"/>
      <c r="C563" s="35"/>
      <c r="D563" s="35"/>
      <c r="E563" s="49"/>
      <c r="F563" s="35"/>
      <c r="I563" s="2"/>
    </row>
    <row r="564" spans="1:9" ht="15.75" customHeight="1" x14ac:dyDescent="0.2">
      <c r="A564" s="35"/>
      <c r="B564" s="35"/>
      <c r="C564" s="35"/>
      <c r="D564" s="35"/>
      <c r="E564" s="49"/>
      <c r="F564" s="35"/>
      <c r="I564" s="2"/>
    </row>
    <row r="565" spans="1:9" ht="15.75" customHeight="1" x14ac:dyDescent="0.2">
      <c r="A565" s="35"/>
      <c r="B565" s="35"/>
      <c r="C565" s="35"/>
      <c r="D565" s="35"/>
      <c r="E565" s="49"/>
      <c r="F565" s="35"/>
      <c r="I565" s="2"/>
    </row>
    <row r="566" spans="1:9" ht="15.75" customHeight="1" x14ac:dyDescent="0.2">
      <c r="A566" s="35"/>
      <c r="B566" s="35"/>
      <c r="C566" s="35"/>
      <c r="D566" s="35"/>
      <c r="E566" s="49"/>
      <c r="F566" s="35"/>
      <c r="I566" s="2"/>
    </row>
    <row r="567" spans="1:9" ht="15.75" customHeight="1" x14ac:dyDescent="0.2">
      <c r="A567" s="35"/>
      <c r="B567" s="35"/>
      <c r="C567" s="35"/>
      <c r="D567" s="35"/>
      <c r="E567" s="49"/>
      <c r="F567" s="35"/>
      <c r="I567" s="2"/>
    </row>
    <row r="568" spans="1:9" ht="15.75" customHeight="1" x14ac:dyDescent="0.2">
      <c r="A568" s="35"/>
      <c r="B568" s="35"/>
      <c r="C568" s="35"/>
      <c r="D568" s="35"/>
      <c r="E568" s="49"/>
      <c r="F568" s="35"/>
      <c r="I568" s="2"/>
    </row>
    <row r="569" spans="1:9" ht="15.75" customHeight="1" x14ac:dyDescent="0.2">
      <c r="A569" s="35"/>
      <c r="B569" s="35"/>
      <c r="C569" s="35"/>
      <c r="D569" s="35"/>
      <c r="E569" s="49"/>
      <c r="F569" s="35"/>
      <c r="I569" s="2"/>
    </row>
    <row r="570" spans="1:9" ht="15.75" customHeight="1" x14ac:dyDescent="0.2">
      <c r="A570" s="35"/>
      <c r="B570" s="35"/>
      <c r="C570" s="35"/>
      <c r="D570" s="35"/>
      <c r="E570" s="49"/>
      <c r="F570" s="35"/>
      <c r="I570" s="2"/>
    </row>
    <row r="571" spans="1:9" ht="15.75" customHeight="1" x14ac:dyDescent="0.2">
      <c r="A571" s="35"/>
      <c r="B571" s="35"/>
      <c r="C571" s="35"/>
      <c r="D571" s="35"/>
      <c r="E571" s="49"/>
      <c r="F571" s="35"/>
      <c r="I571" s="2"/>
    </row>
    <row r="572" spans="1:9" ht="15.75" customHeight="1" x14ac:dyDescent="0.2">
      <c r="A572" s="35"/>
      <c r="B572" s="35"/>
      <c r="C572" s="35"/>
      <c r="D572" s="35"/>
      <c r="E572" s="49"/>
      <c r="F572" s="35"/>
      <c r="I572" s="2"/>
    </row>
    <row r="573" spans="1:9" ht="15.75" customHeight="1" x14ac:dyDescent="0.2">
      <c r="A573" s="35"/>
      <c r="B573" s="35"/>
      <c r="C573" s="35"/>
      <c r="D573" s="35"/>
      <c r="E573" s="49"/>
      <c r="F573" s="35"/>
      <c r="I573" s="2"/>
    </row>
    <row r="574" spans="1:9" ht="15.75" customHeight="1" x14ac:dyDescent="0.2">
      <c r="A574" s="35"/>
      <c r="B574" s="35"/>
      <c r="C574" s="35"/>
      <c r="D574" s="35"/>
      <c r="E574" s="49"/>
      <c r="F574" s="35"/>
      <c r="I574" s="2"/>
    </row>
    <row r="575" spans="1:9" ht="15.75" customHeight="1" x14ac:dyDescent="0.2">
      <c r="A575" s="35"/>
      <c r="B575" s="35"/>
      <c r="C575" s="35"/>
      <c r="D575" s="35"/>
      <c r="E575" s="49"/>
      <c r="F575" s="35"/>
      <c r="I575" s="2"/>
    </row>
    <row r="576" spans="1:9" ht="15.75" customHeight="1" x14ac:dyDescent="0.2">
      <c r="A576" s="35"/>
      <c r="B576" s="35"/>
      <c r="C576" s="35"/>
      <c r="D576" s="35"/>
      <c r="E576" s="49"/>
      <c r="F576" s="35"/>
      <c r="I576" s="2"/>
    </row>
    <row r="577" spans="1:9" ht="15.75" customHeight="1" x14ac:dyDescent="0.2">
      <c r="A577" s="35"/>
      <c r="B577" s="35"/>
      <c r="C577" s="35"/>
      <c r="D577" s="35"/>
      <c r="E577" s="49"/>
      <c r="F577" s="35"/>
      <c r="I577" s="2"/>
    </row>
    <row r="578" spans="1:9" ht="15.75" customHeight="1" x14ac:dyDescent="0.2">
      <c r="A578" s="35"/>
      <c r="B578" s="35"/>
      <c r="C578" s="35"/>
      <c r="D578" s="35"/>
      <c r="E578" s="49"/>
      <c r="F578" s="35"/>
      <c r="I578" s="2"/>
    </row>
    <row r="579" spans="1:9" ht="15.75" customHeight="1" x14ac:dyDescent="0.2">
      <c r="A579" s="35"/>
      <c r="B579" s="35"/>
      <c r="C579" s="35"/>
      <c r="D579" s="35"/>
      <c r="E579" s="49"/>
      <c r="F579" s="35"/>
      <c r="I579" s="2"/>
    </row>
    <row r="580" spans="1:9" ht="15.75" customHeight="1" x14ac:dyDescent="0.2">
      <c r="A580" s="35"/>
      <c r="B580" s="35"/>
      <c r="C580" s="35"/>
      <c r="D580" s="35"/>
      <c r="E580" s="49"/>
      <c r="F580" s="35"/>
      <c r="I580" s="2"/>
    </row>
    <row r="581" spans="1:9" ht="15.75" customHeight="1" x14ac:dyDescent="0.2">
      <c r="A581" s="35"/>
      <c r="B581" s="35"/>
      <c r="C581" s="35"/>
      <c r="D581" s="35"/>
      <c r="E581" s="49"/>
      <c r="F581" s="35"/>
      <c r="I581" s="2"/>
    </row>
    <row r="582" spans="1:9" ht="15.75" customHeight="1" x14ac:dyDescent="0.2">
      <c r="A582" s="35"/>
      <c r="B582" s="35"/>
      <c r="C582" s="35"/>
      <c r="D582" s="35"/>
      <c r="E582" s="49"/>
      <c r="F582" s="35"/>
      <c r="I582" s="2"/>
    </row>
    <row r="583" spans="1:9" ht="15.75" customHeight="1" x14ac:dyDescent="0.2">
      <c r="A583" s="35"/>
      <c r="B583" s="35"/>
      <c r="C583" s="35"/>
      <c r="D583" s="35"/>
      <c r="E583" s="49"/>
      <c r="F583" s="35"/>
      <c r="I583" s="2"/>
    </row>
    <row r="584" spans="1:9" ht="15.75" customHeight="1" x14ac:dyDescent="0.2">
      <c r="A584" s="35"/>
      <c r="B584" s="35"/>
      <c r="C584" s="35"/>
      <c r="D584" s="35"/>
      <c r="E584" s="49"/>
      <c r="F584" s="35"/>
      <c r="I584" s="2"/>
    </row>
    <row r="585" spans="1:9" ht="15.75" customHeight="1" x14ac:dyDescent="0.2">
      <c r="A585" s="35"/>
      <c r="B585" s="35"/>
      <c r="C585" s="35"/>
      <c r="D585" s="35"/>
      <c r="E585" s="49"/>
      <c r="F585" s="35"/>
      <c r="I585" s="2"/>
    </row>
    <row r="586" spans="1:9" ht="15.75" customHeight="1" x14ac:dyDescent="0.2">
      <c r="A586" s="35"/>
      <c r="B586" s="35"/>
      <c r="C586" s="35"/>
      <c r="D586" s="35"/>
      <c r="E586" s="49"/>
      <c r="F586" s="35"/>
      <c r="I586" s="2"/>
    </row>
    <row r="587" spans="1:9" ht="15.75" customHeight="1" x14ac:dyDescent="0.2">
      <c r="A587" s="35"/>
      <c r="B587" s="35"/>
      <c r="C587" s="35"/>
      <c r="D587" s="35"/>
      <c r="E587" s="49"/>
      <c r="F587" s="35"/>
      <c r="I587" s="2"/>
    </row>
    <row r="588" spans="1:9" ht="15.75" customHeight="1" x14ac:dyDescent="0.2">
      <c r="A588" s="35"/>
      <c r="B588" s="35"/>
      <c r="C588" s="35"/>
      <c r="D588" s="35"/>
      <c r="E588" s="49"/>
      <c r="F588" s="35"/>
      <c r="I588" s="2"/>
    </row>
    <row r="589" spans="1:9" ht="15.75" customHeight="1" x14ac:dyDescent="0.2">
      <c r="A589" s="35"/>
      <c r="B589" s="35"/>
      <c r="C589" s="35"/>
      <c r="D589" s="35"/>
      <c r="E589" s="49"/>
      <c r="F589" s="35"/>
      <c r="I589" s="2"/>
    </row>
    <row r="590" spans="1:9" ht="15.75" customHeight="1" x14ac:dyDescent="0.2">
      <c r="A590" s="35"/>
      <c r="B590" s="35"/>
      <c r="C590" s="35"/>
      <c r="D590" s="35"/>
      <c r="E590" s="49"/>
      <c r="F590" s="35"/>
      <c r="I590" s="2"/>
    </row>
    <row r="591" spans="1:9" ht="15.75" customHeight="1" x14ac:dyDescent="0.2">
      <c r="A591" s="35"/>
      <c r="B591" s="35"/>
      <c r="C591" s="35"/>
      <c r="D591" s="35"/>
      <c r="E591" s="49"/>
      <c r="F591" s="35"/>
      <c r="I591" s="2"/>
    </row>
    <row r="592" spans="1:9" ht="15.75" customHeight="1" x14ac:dyDescent="0.2">
      <c r="A592" s="35"/>
      <c r="B592" s="35"/>
      <c r="C592" s="35"/>
      <c r="D592" s="35"/>
      <c r="E592" s="49"/>
      <c r="F592" s="35"/>
      <c r="I592" s="2"/>
    </row>
    <row r="593" spans="1:9" ht="15.75" customHeight="1" x14ac:dyDescent="0.2">
      <c r="A593" s="35"/>
      <c r="B593" s="35"/>
      <c r="C593" s="35"/>
      <c r="D593" s="35"/>
      <c r="E593" s="49"/>
      <c r="F593" s="35"/>
      <c r="I593" s="2"/>
    </row>
    <row r="594" spans="1:9" ht="15.75" customHeight="1" x14ac:dyDescent="0.2">
      <c r="A594" s="35"/>
      <c r="B594" s="35"/>
      <c r="C594" s="35"/>
      <c r="D594" s="35"/>
      <c r="E594" s="49"/>
      <c r="F594" s="35"/>
      <c r="I594" s="2"/>
    </row>
    <row r="595" spans="1:9" ht="15.75" customHeight="1" x14ac:dyDescent="0.2">
      <c r="A595" s="35"/>
      <c r="B595" s="35"/>
      <c r="C595" s="35"/>
      <c r="D595" s="35"/>
      <c r="E595" s="49"/>
      <c r="F595" s="35"/>
      <c r="I595" s="2"/>
    </row>
    <row r="596" spans="1:9" ht="15.75" customHeight="1" x14ac:dyDescent="0.2">
      <c r="A596" s="35"/>
      <c r="B596" s="35"/>
      <c r="C596" s="35"/>
      <c r="D596" s="35"/>
      <c r="E596" s="49"/>
      <c r="F596" s="35"/>
      <c r="I596" s="2"/>
    </row>
    <row r="597" spans="1:9" ht="15.75" customHeight="1" x14ac:dyDescent="0.2">
      <c r="A597" s="35"/>
      <c r="B597" s="35"/>
      <c r="C597" s="35"/>
      <c r="D597" s="35"/>
      <c r="E597" s="49"/>
      <c r="F597" s="35"/>
      <c r="I597" s="2"/>
    </row>
    <row r="598" spans="1:9" ht="15.75" customHeight="1" x14ac:dyDescent="0.2">
      <c r="A598" s="35"/>
      <c r="B598" s="35"/>
      <c r="C598" s="35"/>
      <c r="D598" s="35"/>
      <c r="E598" s="49"/>
      <c r="F598" s="35"/>
      <c r="I598" s="2"/>
    </row>
    <row r="599" spans="1:9" ht="15.75" customHeight="1" x14ac:dyDescent="0.2">
      <c r="A599" s="35"/>
      <c r="B599" s="35"/>
      <c r="C599" s="35"/>
      <c r="D599" s="35"/>
      <c r="E599" s="49"/>
      <c r="F599" s="35"/>
      <c r="I599" s="2"/>
    </row>
    <row r="600" spans="1:9" ht="15.75" customHeight="1" x14ac:dyDescent="0.2">
      <c r="A600" s="35"/>
      <c r="B600" s="35"/>
      <c r="C600" s="35"/>
      <c r="D600" s="35"/>
      <c r="E600" s="49"/>
      <c r="F600" s="35"/>
      <c r="I600" s="2"/>
    </row>
    <row r="601" spans="1:9" ht="15.75" customHeight="1" x14ac:dyDescent="0.2">
      <c r="A601" s="35"/>
      <c r="B601" s="35"/>
      <c r="C601" s="35"/>
      <c r="D601" s="35"/>
      <c r="E601" s="49"/>
      <c r="F601" s="35"/>
      <c r="I601" s="2"/>
    </row>
    <row r="602" spans="1:9" ht="15.75" customHeight="1" x14ac:dyDescent="0.2">
      <c r="A602" s="35"/>
      <c r="B602" s="35"/>
      <c r="C602" s="35"/>
      <c r="D602" s="35"/>
      <c r="E602" s="49"/>
      <c r="F602" s="35"/>
      <c r="I602" s="2"/>
    </row>
    <row r="603" spans="1:9" ht="15.75" customHeight="1" x14ac:dyDescent="0.2">
      <c r="A603" s="35"/>
      <c r="B603" s="35"/>
      <c r="C603" s="35"/>
      <c r="D603" s="35"/>
      <c r="E603" s="49"/>
      <c r="F603" s="35"/>
      <c r="I603" s="2"/>
    </row>
    <row r="604" spans="1:9" ht="15.75" customHeight="1" x14ac:dyDescent="0.2">
      <c r="A604" s="35"/>
      <c r="B604" s="35"/>
      <c r="C604" s="35"/>
      <c r="D604" s="35"/>
      <c r="E604" s="49"/>
      <c r="F604" s="35"/>
      <c r="I604" s="2"/>
    </row>
    <row r="605" spans="1:9" ht="15.75" customHeight="1" x14ac:dyDescent="0.2">
      <c r="A605" s="35"/>
      <c r="B605" s="35"/>
      <c r="C605" s="35"/>
      <c r="D605" s="35"/>
      <c r="E605" s="49"/>
      <c r="F605" s="35"/>
      <c r="I605" s="2"/>
    </row>
    <row r="606" spans="1:9" ht="15.75" customHeight="1" x14ac:dyDescent="0.2">
      <c r="A606" s="35"/>
      <c r="B606" s="35"/>
      <c r="C606" s="35"/>
      <c r="D606" s="35"/>
      <c r="E606" s="49"/>
      <c r="F606" s="35"/>
      <c r="I606" s="2"/>
    </row>
    <row r="607" spans="1:9" ht="15.75" customHeight="1" x14ac:dyDescent="0.2">
      <c r="A607" s="35"/>
      <c r="B607" s="35"/>
      <c r="C607" s="35"/>
      <c r="D607" s="35"/>
      <c r="E607" s="49"/>
      <c r="F607" s="35"/>
      <c r="I607" s="2"/>
    </row>
    <row r="608" spans="1:9" ht="15.75" customHeight="1" x14ac:dyDescent="0.2">
      <c r="A608" s="35"/>
      <c r="B608" s="35"/>
      <c r="C608" s="35"/>
      <c r="D608" s="35"/>
      <c r="E608" s="49"/>
      <c r="F608" s="35"/>
      <c r="I608" s="2"/>
    </row>
    <row r="609" spans="1:9" ht="15.75" customHeight="1" x14ac:dyDescent="0.2">
      <c r="A609" s="35"/>
      <c r="B609" s="35"/>
      <c r="C609" s="35"/>
      <c r="D609" s="35"/>
      <c r="E609" s="49"/>
      <c r="F609" s="35"/>
      <c r="I609" s="2"/>
    </row>
    <row r="610" spans="1:9" ht="15.75" customHeight="1" x14ac:dyDescent="0.2">
      <c r="A610" s="35"/>
      <c r="B610" s="35"/>
      <c r="C610" s="35"/>
      <c r="D610" s="35"/>
      <c r="E610" s="49"/>
      <c r="F610" s="35"/>
      <c r="I610" s="2"/>
    </row>
    <row r="611" spans="1:9" ht="15.75" customHeight="1" x14ac:dyDescent="0.2">
      <c r="A611" s="35"/>
      <c r="B611" s="35"/>
      <c r="C611" s="35"/>
      <c r="D611" s="35"/>
      <c r="E611" s="49"/>
      <c r="F611" s="35"/>
      <c r="I611" s="2"/>
    </row>
    <row r="612" spans="1:9" ht="15.75" customHeight="1" x14ac:dyDescent="0.2">
      <c r="A612" s="35"/>
      <c r="B612" s="35"/>
      <c r="C612" s="35"/>
      <c r="D612" s="35"/>
      <c r="E612" s="49"/>
      <c r="F612" s="35"/>
      <c r="I612" s="2"/>
    </row>
    <row r="613" spans="1:9" ht="15.75" customHeight="1" x14ac:dyDescent="0.2">
      <c r="A613" s="35"/>
      <c r="B613" s="35"/>
      <c r="C613" s="35"/>
      <c r="D613" s="35"/>
      <c r="E613" s="49"/>
      <c r="F613" s="35"/>
      <c r="I613" s="2"/>
    </row>
    <row r="614" spans="1:9" ht="15.75" customHeight="1" x14ac:dyDescent="0.2">
      <c r="A614" s="35"/>
      <c r="B614" s="35"/>
      <c r="C614" s="35"/>
      <c r="D614" s="35"/>
      <c r="E614" s="49"/>
      <c r="F614" s="35"/>
      <c r="I614" s="2"/>
    </row>
    <row r="615" spans="1:9" ht="15.75" customHeight="1" x14ac:dyDescent="0.2">
      <c r="A615" s="35"/>
      <c r="B615" s="35"/>
      <c r="C615" s="35"/>
      <c r="D615" s="35"/>
      <c r="E615" s="49"/>
      <c r="F615" s="35"/>
      <c r="I615" s="2"/>
    </row>
    <row r="616" spans="1:9" ht="15.75" customHeight="1" x14ac:dyDescent="0.2">
      <c r="A616" s="35"/>
      <c r="B616" s="35"/>
      <c r="C616" s="35"/>
      <c r="D616" s="35"/>
      <c r="E616" s="49"/>
      <c r="F616" s="35"/>
      <c r="I616" s="2"/>
    </row>
    <row r="617" spans="1:9" ht="15.75" customHeight="1" x14ac:dyDescent="0.2">
      <c r="A617" s="35"/>
      <c r="B617" s="35"/>
      <c r="C617" s="35"/>
      <c r="D617" s="35"/>
      <c r="E617" s="49"/>
      <c r="F617" s="35"/>
      <c r="I617" s="2"/>
    </row>
    <row r="618" spans="1:9" ht="15.75" customHeight="1" x14ac:dyDescent="0.2">
      <c r="A618" s="35"/>
      <c r="B618" s="35"/>
      <c r="C618" s="35"/>
      <c r="D618" s="35"/>
      <c r="E618" s="49"/>
      <c r="F618" s="35"/>
      <c r="I618" s="2"/>
    </row>
    <row r="619" spans="1:9" ht="15.75" customHeight="1" x14ac:dyDescent="0.2">
      <c r="A619" s="35"/>
      <c r="B619" s="35"/>
      <c r="C619" s="35"/>
      <c r="D619" s="35"/>
      <c r="E619" s="49"/>
      <c r="F619" s="35"/>
      <c r="I619" s="2"/>
    </row>
    <row r="620" spans="1:9" ht="15.75" customHeight="1" x14ac:dyDescent="0.2">
      <c r="A620" s="35"/>
      <c r="B620" s="35"/>
      <c r="C620" s="35"/>
      <c r="D620" s="35"/>
      <c r="E620" s="49"/>
      <c r="F620" s="35"/>
      <c r="I620" s="2"/>
    </row>
    <row r="621" spans="1:9" ht="15.75" customHeight="1" x14ac:dyDescent="0.2">
      <c r="A621" s="35"/>
      <c r="B621" s="35"/>
      <c r="C621" s="35"/>
      <c r="D621" s="35"/>
      <c r="E621" s="49"/>
      <c r="F621" s="35"/>
      <c r="I621" s="2"/>
    </row>
    <row r="622" spans="1:9" ht="15.75" customHeight="1" x14ac:dyDescent="0.2">
      <c r="A622" s="35"/>
      <c r="B622" s="35"/>
      <c r="C622" s="35"/>
      <c r="D622" s="35"/>
      <c r="E622" s="49"/>
      <c r="F622" s="35"/>
      <c r="I622" s="2"/>
    </row>
    <row r="623" spans="1:9" ht="15.75" customHeight="1" x14ac:dyDescent="0.2">
      <c r="A623" s="35"/>
      <c r="B623" s="35"/>
      <c r="C623" s="35"/>
      <c r="D623" s="35"/>
      <c r="E623" s="49"/>
      <c r="F623" s="35"/>
      <c r="I623" s="2"/>
    </row>
    <row r="624" spans="1:9" ht="15.75" customHeight="1" x14ac:dyDescent="0.2">
      <c r="A624" s="35"/>
      <c r="B624" s="35"/>
      <c r="C624" s="35"/>
      <c r="D624" s="35"/>
      <c r="E624" s="49"/>
      <c r="F624" s="35"/>
      <c r="I624" s="2"/>
    </row>
    <row r="625" spans="1:9" ht="15.75" customHeight="1" x14ac:dyDescent="0.2">
      <c r="A625" s="35"/>
      <c r="B625" s="35"/>
      <c r="C625" s="35"/>
      <c r="D625" s="35"/>
      <c r="E625" s="49"/>
      <c r="F625" s="35"/>
      <c r="I625" s="2"/>
    </row>
    <row r="626" spans="1:9" ht="15.75" customHeight="1" x14ac:dyDescent="0.2">
      <c r="A626" s="35"/>
      <c r="B626" s="35"/>
      <c r="C626" s="35"/>
      <c r="D626" s="35"/>
      <c r="E626" s="49"/>
      <c r="F626" s="35"/>
      <c r="I626" s="2"/>
    </row>
    <row r="627" spans="1:9" ht="15.75" customHeight="1" x14ac:dyDescent="0.2">
      <c r="A627" s="35"/>
      <c r="B627" s="35"/>
      <c r="C627" s="35"/>
      <c r="D627" s="35"/>
      <c r="E627" s="49"/>
      <c r="F627" s="35"/>
      <c r="I627" s="2"/>
    </row>
    <row r="628" spans="1:9" ht="15.75" customHeight="1" x14ac:dyDescent="0.2">
      <c r="A628" s="35"/>
      <c r="B628" s="35"/>
      <c r="C628" s="35"/>
      <c r="D628" s="35"/>
      <c r="E628" s="49"/>
      <c r="F628" s="35"/>
      <c r="I628" s="2"/>
    </row>
    <row r="629" spans="1:9" ht="15.75" customHeight="1" x14ac:dyDescent="0.2">
      <c r="A629" s="35"/>
      <c r="B629" s="35"/>
      <c r="C629" s="35"/>
      <c r="D629" s="35"/>
      <c r="E629" s="49"/>
      <c r="F629" s="35"/>
      <c r="I629" s="2"/>
    </row>
    <row r="630" spans="1:9" ht="15.75" customHeight="1" x14ac:dyDescent="0.2">
      <c r="A630" s="35"/>
      <c r="B630" s="35"/>
      <c r="C630" s="35"/>
      <c r="D630" s="35"/>
      <c r="E630" s="49"/>
      <c r="F630" s="35"/>
      <c r="I630" s="2"/>
    </row>
    <row r="631" spans="1:9" ht="15.75" customHeight="1" x14ac:dyDescent="0.2">
      <c r="A631" s="35"/>
      <c r="B631" s="35"/>
      <c r="C631" s="35"/>
      <c r="D631" s="35"/>
      <c r="E631" s="49"/>
      <c r="F631" s="35"/>
      <c r="I631" s="2"/>
    </row>
    <row r="632" spans="1:9" ht="15.75" customHeight="1" x14ac:dyDescent="0.2">
      <c r="A632" s="35"/>
      <c r="B632" s="35"/>
      <c r="C632" s="35"/>
      <c r="D632" s="35"/>
      <c r="E632" s="49"/>
      <c r="F632" s="35"/>
      <c r="I632" s="2"/>
    </row>
    <row r="633" spans="1:9" ht="15.75" customHeight="1" x14ac:dyDescent="0.2">
      <c r="A633" s="35"/>
      <c r="B633" s="35"/>
      <c r="C633" s="35"/>
      <c r="D633" s="35"/>
      <c r="E633" s="49"/>
      <c r="F633" s="35"/>
      <c r="I633" s="2"/>
    </row>
    <row r="634" spans="1:9" ht="15.75" customHeight="1" x14ac:dyDescent="0.2">
      <c r="A634" s="35"/>
      <c r="B634" s="35"/>
      <c r="C634" s="35"/>
      <c r="D634" s="35"/>
      <c r="E634" s="49"/>
      <c r="F634" s="35"/>
      <c r="I634" s="2"/>
    </row>
    <row r="635" spans="1:9" ht="15.75" customHeight="1" x14ac:dyDescent="0.2">
      <c r="A635" s="35"/>
      <c r="B635" s="35"/>
      <c r="C635" s="35"/>
      <c r="D635" s="35"/>
      <c r="E635" s="49"/>
      <c r="F635" s="35"/>
      <c r="I635" s="2"/>
    </row>
    <row r="636" spans="1:9" ht="15.75" customHeight="1" x14ac:dyDescent="0.2">
      <c r="A636" s="35"/>
      <c r="B636" s="35"/>
      <c r="C636" s="35"/>
      <c r="D636" s="35"/>
      <c r="E636" s="49"/>
      <c r="F636" s="35"/>
      <c r="I636" s="2"/>
    </row>
    <row r="637" spans="1:9" ht="15.75" customHeight="1" x14ac:dyDescent="0.2">
      <c r="A637" s="35"/>
      <c r="B637" s="35"/>
      <c r="C637" s="35"/>
      <c r="D637" s="35"/>
      <c r="E637" s="49"/>
      <c r="F637" s="35"/>
      <c r="I637" s="2"/>
    </row>
    <row r="638" spans="1:9" ht="15.75" customHeight="1" x14ac:dyDescent="0.2">
      <c r="A638" s="35"/>
      <c r="B638" s="35"/>
      <c r="C638" s="35"/>
      <c r="D638" s="35"/>
      <c r="E638" s="49"/>
      <c r="F638" s="35"/>
      <c r="I638" s="2"/>
    </row>
    <row r="639" spans="1:9" ht="15.75" customHeight="1" x14ac:dyDescent="0.2">
      <c r="A639" s="35"/>
      <c r="B639" s="35"/>
      <c r="C639" s="35"/>
      <c r="D639" s="35"/>
      <c r="E639" s="49"/>
      <c r="F639" s="35"/>
      <c r="I639" s="2"/>
    </row>
    <row r="640" spans="1:9" ht="15.75" customHeight="1" x14ac:dyDescent="0.2">
      <c r="A640" s="35"/>
      <c r="B640" s="35"/>
      <c r="C640" s="35"/>
      <c r="D640" s="35"/>
      <c r="E640" s="49"/>
      <c r="F640" s="35"/>
      <c r="I640" s="2"/>
    </row>
    <row r="641" spans="1:9" ht="15.75" customHeight="1" x14ac:dyDescent="0.2">
      <c r="A641" s="35"/>
      <c r="B641" s="35"/>
      <c r="C641" s="35"/>
      <c r="D641" s="35"/>
      <c r="E641" s="49"/>
      <c r="F641" s="35"/>
      <c r="I641" s="2"/>
    </row>
    <row r="642" spans="1:9" ht="15.75" customHeight="1" x14ac:dyDescent="0.2">
      <c r="A642" s="35"/>
      <c r="B642" s="35"/>
      <c r="C642" s="35"/>
      <c r="D642" s="35"/>
      <c r="E642" s="49"/>
      <c r="F642" s="35"/>
      <c r="I642" s="2"/>
    </row>
    <row r="643" spans="1:9" ht="15.75" customHeight="1" x14ac:dyDescent="0.2">
      <c r="A643" s="35"/>
      <c r="B643" s="35"/>
      <c r="C643" s="35"/>
      <c r="D643" s="35"/>
      <c r="E643" s="49"/>
      <c r="F643" s="35"/>
      <c r="I643" s="2"/>
    </row>
    <row r="644" spans="1:9" ht="15.75" customHeight="1" x14ac:dyDescent="0.2">
      <c r="A644" s="35"/>
      <c r="B644" s="35"/>
      <c r="C644" s="35"/>
      <c r="D644" s="35"/>
      <c r="E644" s="49"/>
      <c r="F644" s="35"/>
      <c r="I644" s="2"/>
    </row>
    <row r="645" spans="1:9" ht="15.75" customHeight="1" x14ac:dyDescent="0.2">
      <c r="A645" s="35"/>
      <c r="B645" s="35"/>
      <c r="C645" s="35"/>
      <c r="D645" s="35"/>
      <c r="E645" s="49"/>
      <c r="F645" s="35"/>
      <c r="I645" s="2"/>
    </row>
    <row r="646" spans="1:9" ht="15.75" customHeight="1" x14ac:dyDescent="0.2">
      <c r="A646" s="35"/>
      <c r="B646" s="35"/>
      <c r="C646" s="35"/>
      <c r="D646" s="35"/>
      <c r="E646" s="49"/>
      <c r="F646" s="35"/>
      <c r="I646" s="2"/>
    </row>
    <row r="647" spans="1:9" ht="15.75" customHeight="1" x14ac:dyDescent="0.2">
      <c r="A647" s="35"/>
      <c r="B647" s="35"/>
      <c r="C647" s="35"/>
      <c r="D647" s="35"/>
      <c r="E647" s="49"/>
      <c r="F647" s="35"/>
      <c r="I647" s="2"/>
    </row>
    <row r="648" spans="1:9" ht="15.75" customHeight="1" x14ac:dyDescent="0.2">
      <c r="A648" s="35"/>
      <c r="B648" s="35"/>
      <c r="C648" s="35"/>
      <c r="D648" s="35"/>
      <c r="E648" s="49"/>
      <c r="F648" s="35"/>
      <c r="I648" s="2"/>
    </row>
    <row r="649" spans="1:9" ht="15.75" customHeight="1" x14ac:dyDescent="0.2">
      <c r="A649" s="35"/>
      <c r="B649" s="35"/>
      <c r="C649" s="35"/>
      <c r="D649" s="35"/>
      <c r="E649" s="49"/>
      <c r="F649" s="35"/>
      <c r="I649" s="2"/>
    </row>
    <row r="650" spans="1:9" ht="15.75" customHeight="1" x14ac:dyDescent="0.2">
      <c r="A650" s="35"/>
      <c r="B650" s="35"/>
      <c r="C650" s="35"/>
      <c r="D650" s="35"/>
      <c r="E650" s="49"/>
      <c r="F650" s="35"/>
      <c r="I650" s="2"/>
    </row>
    <row r="651" spans="1:9" ht="15.75" customHeight="1" x14ac:dyDescent="0.2">
      <c r="A651" s="35"/>
      <c r="B651" s="35"/>
      <c r="C651" s="35"/>
      <c r="D651" s="35"/>
      <c r="E651" s="49"/>
      <c r="F651" s="35"/>
      <c r="I651" s="2"/>
    </row>
    <row r="652" spans="1:9" ht="15.75" customHeight="1" x14ac:dyDescent="0.2">
      <c r="A652" s="35"/>
      <c r="B652" s="35"/>
      <c r="C652" s="35"/>
      <c r="D652" s="35"/>
      <c r="E652" s="49"/>
      <c r="F652" s="35"/>
      <c r="I652" s="2"/>
    </row>
    <row r="653" spans="1:9" ht="15.75" customHeight="1" x14ac:dyDescent="0.2">
      <c r="A653" s="35"/>
      <c r="B653" s="35"/>
      <c r="C653" s="35"/>
      <c r="D653" s="35"/>
      <c r="E653" s="49"/>
      <c r="F653" s="35"/>
      <c r="I653" s="2"/>
    </row>
    <row r="654" spans="1:9" ht="15.75" customHeight="1" x14ac:dyDescent="0.2">
      <c r="A654" s="35"/>
      <c r="B654" s="35"/>
      <c r="C654" s="35"/>
      <c r="D654" s="35"/>
      <c r="E654" s="49"/>
      <c r="F654" s="35"/>
      <c r="I654" s="2"/>
    </row>
    <row r="655" spans="1:9" ht="15.75" customHeight="1" x14ac:dyDescent="0.2">
      <c r="A655" s="35"/>
      <c r="B655" s="35"/>
      <c r="C655" s="35"/>
      <c r="D655" s="35"/>
      <c r="E655" s="49"/>
      <c r="F655" s="35"/>
      <c r="I655" s="2"/>
    </row>
    <row r="656" spans="1:9" ht="15.75" customHeight="1" x14ac:dyDescent="0.2">
      <c r="A656" s="35"/>
      <c r="B656" s="35"/>
      <c r="C656" s="35"/>
      <c r="D656" s="35"/>
      <c r="E656" s="49"/>
      <c r="F656" s="35"/>
      <c r="I656" s="2"/>
    </row>
    <row r="657" spans="1:9" ht="15.75" customHeight="1" x14ac:dyDescent="0.2">
      <c r="A657" s="35"/>
      <c r="B657" s="35"/>
      <c r="C657" s="35"/>
      <c r="D657" s="35"/>
      <c r="E657" s="49"/>
      <c r="F657" s="35"/>
      <c r="I657" s="2"/>
    </row>
    <row r="658" spans="1:9" ht="15.75" customHeight="1" x14ac:dyDescent="0.2">
      <c r="A658" s="35"/>
      <c r="B658" s="35"/>
      <c r="C658" s="35"/>
      <c r="D658" s="35"/>
      <c r="E658" s="49"/>
      <c r="F658" s="35"/>
      <c r="I658" s="2"/>
    </row>
    <row r="659" spans="1:9" ht="15.75" customHeight="1" x14ac:dyDescent="0.2">
      <c r="A659" s="35"/>
      <c r="B659" s="35"/>
      <c r="C659" s="35"/>
      <c r="D659" s="35"/>
      <c r="E659" s="49"/>
      <c r="F659" s="35"/>
      <c r="I659" s="2"/>
    </row>
    <row r="660" spans="1:9" ht="15.75" customHeight="1" x14ac:dyDescent="0.2">
      <c r="A660" s="35"/>
      <c r="B660" s="35"/>
      <c r="C660" s="35"/>
      <c r="D660" s="35"/>
      <c r="E660" s="49"/>
      <c r="F660" s="35"/>
      <c r="I660" s="2"/>
    </row>
    <row r="661" spans="1:9" ht="15.75" customHeight="1" x14ac:dyDescent="0.2">
      <c r="A661" s="35"/>
      <c r="B661" s="35"/>
      <c r="C661" s="35"/>
      <c r="D661" s="35"/>
      <c r="E661" s="49"/>
      <c r="F661" s="35"/>
      <c r="I661" s="2"/>
    </row>
    <row r="662" spans="1:9" ht="15.75" customHeight="1" x14ac:dyDescent="0.2">
      <c r="A662" s="35"/>
      <c r="B662" s="35"/>
      <c r="C662" s="35"/>
      <c r="D662" s="35"/>
      <c r="E662" s="49"/>
      <c r="F662" s="35"/>
      <c r="I662" s="2"/>
    </row>
    <row r="663" spans="1:9" ht="15.75" customHeight="1" x14ac:dyDescent="0.2">
      <c r="A663" s="35"/>
      <c r="B663" s="35"/>
      <c r="C663" s="35"/>
      <c r="D663" s="35"/>
      <c r="E663" s="49"/>
      <c r="F663" s="35"/>
      <c r="I663" s="2"/>
    </row>
    <row r="664" spans="1:9" ht="15.75" customHeight="1" x14ac:dyDescent="0.2">
      <c r="A664" s="35"/>
      <c r="B664" s="35"/>
      <c r="C664" s="35"/>
      <c r="D664" s="35"/>
      <c r="E664" s="49"/>
      <c r="F664" s="35"/>
      <c r="I664" s="2"/>
    </row>
    <row r="665" spans="1:9" ht="15.75" customHeight="1" x14ac:dyDescent="0.2">
      <c r="A665" s="35"/>
      <c r="B665" s="35"/>
      <c r="C665" s="35"/>
      <c r="D665" s="35"/>
      <c r="E665" s="49"/>
      <c r="F665" s="35"/>
      <c r="I665" s="2"/>
    </row>
    <row r="666" spans="1:9" ht="15.75" customHeight="1" x14ac:dyDescent="0.2">
      <c r="A666" s="35"/>
      <c r="B666" s="35"/>
      <c r="C666" s="35"/>
      <c r="D666" s="35"/>
      <c r="E666" s="49"/>
      <c r="F666" s="35"/>
      <c r="I666" s="2"/>
    </row>
    <row r="667" spans="1:9" ht="15.75" customHeight="1" x14ac:dyDescent="0.2">
      <c r="A667" s="35"/>
      <c r="B667" s="35"/>
      <c r="C667" s="35"/>
      <c r="D667" s="35"/>
      <c r="E667" s="49"/>
      <c r="F667" s="35"/>
      <c r="I667" s="2"/>
    </row>
    <row r="668" spans="1:9" ht="15.75" customHeight="1" x14ac:dyDescent="0.2">
      <c r="A668" s="35"/>
      <c r="B668" s="35"/>
      <c r="C668" s="35"/>
      <c r="D668" s="35"/>
      <c r="E668" s="49"/>
      <c r="F668" s="35"/>
      <c r="I668" s="2"/>
    </row>
    <row r="669" spans="1:9" ht="15.75" customHeight="1" x14ac:dyDescent="0.2">
      <c r="A669" s="35"/>
      <c r="B669" s="35"/>
      <c r="C669" s="35"/>
      <c r="D669" s="35"/>
      <c r="E669" s="49"/>
      <c r="F669" s="35"/>
      <c r="I669" s="2"/>
    </row>
    <row r="670" spans="1:9" ht="15.75" customHeight="1" x14ac:dyDescent="0.2">
      <c r="A670" s="35"/>
      <c r="B670" s="35"/>
      <c r="C670" s="35"/>
      <c r="D670" s="35"/>
      <c r="E670" s="49"/>
      <c r="F670" s="35"/>
      <c r="I670" s="2"/>
    </row>
    <row r="671" spans="1:9" ht="15.75" customHeight="1" x14ac:dyDescent="0.2">
      <c r="A671" s="35"/>
      <c r="B671" s="35"/>
      <c r="C671" s="35"/>
      <c r="D671" s="35"/>
      <c r="E671" s="49"/>
      <c r="F671" s="35"/>
      <c r="I671" s="2"/>
    </row>
    <row r="672" spans="1:9" ht="15.75" customHeight="1" x14ac:dyDescent="0.2">
      <c r="A672" s="35"/>
      <c r="B672" s="35"/>
      <c r="C672" s="35"/>
      <c r="D672" s="35"/>
      <c r="E672" s="49"/>
      <c r="F672" s="35"/>
      <c r="I672" s="2"/>
    </row>
    <row r="673" spans="1:9" ht="15.75" customHeight="1" x14ac:dyDescent="0.2">
      <c r="A673" s="35"/>
      <c r="B673" s="35"/>
      <c r="C673" s="35"/>
      <c r="D673" s="35"/>
      <c r="E673" s="49"/>
      <c r="F673" s="35"/>
      <c r="I673" s="2"/>
    </row>
    <row r="674" spans="1:9" ht="15.75" customHeight="1" x14ac:dyDescent="0.2">
      <c r="A674" s="35"/>
      <c r="B674" s="35"/>
      <c r="C674" s="35"/>
      <c r="D674" s="35"/>
      <c r="E674" s="49"/>
      <c r="F674" s="35"/>
      <c r="I674" s="2"/>
    </row>
    <row r="675" spans="1:9" ht="15.75" customHeight="1" x14ac:dyDescent="0.2">
      <c r="A675" s="35"/>
      <c r="B675" s="35"/>
      <c r="C675" s="35"/>
      <c r="D675" s="35"/>
      <c r="E675" s="49"/>
      <c r="F675" s="35"/>
      <c r="I675" s="2"/>
    </row>
    <row r="676" spans="1:9" ht="15.75" customHeight="1" x14ac:dyDescent="0.2">
      <c r="A676" s="35"/>
      <c r="B676" s="35"/>
      <c r="C676" s="35"/>
      <c r="D676" s="35"/>
      <c r="E676" s="49"/>
      <c r="F676" s="35"/>
      <c r="I676" s="2"/>
    </row>
    <row r="677" spans="1:9" ht="15.75" customHeight="1" x14ac:dyDescent="0.2">
      <c r="A677" s="35"/>
      <c r="B677" s="35"/>
      <c r="C677" s="35"/>
      <c r="D677" s="35"/>
      <c r="E677" s="49"/>
      <c r="F677" s="35"/>
      <c r="I677" s="2"/>
    </row>
    <row r="678" spans="1:9" ht="15.75" customHeight="1" x14ac:dyDescent="0.2">
      <c r="A678" s="35"/>
      <c r="B678" s="35"/>
      <c r="C678" s="35"/>
      <c r="D678" s="35"/>
      <c r="E678" s="49"/>
      <c r="F678" s="35"/>
      <c r="I678" s="2"/>
    </row>
    <row r="679" spans="1:9" ht="15.75" customHeight="1" x14ac:dyDescent="0.2">
      <c r="A679" s="35"/>
      <c r="B679" s="35"/>
      <c r="C679" s="35"/>
      <c r="D679" s="35"/>
      <c r="E679" s="49"/>
      <c r="F679" s="35"/>
      <c r="I679" s="2"/>
    </row>
    <row r="680" spans="1:9" ht="15.75" customHeight="1" x14ac:dyDescent="0.2">
      <c r="A680" s="35"/>
      <c r="B680" s="35"/>
      <c r="C680" s="35"/>
      <c r="D680" s="35"/>
      <c r="E680" s="49"/>
      <c r="F680" s="35"/>
      <c r="I680" s="2"/>
    </row>
    <row r="681" spans="1:9" ht="15.75" customHeight="1" x14ac:dyDescent="0.2">
      <c r="A681" s="35"/>
      <c r="B681" s="35"/>
      <c r="C681" s="35"/>
      <c r="D681" s="35"/>
      <c r="E681" s="49"/>
      <c r="F681" s="35"/>
      <c r="I681" s="2"/>
    </row>
    <row r="682" spans="1:9" ht="15.75" customHeight="1" x14ac:dyDescent="0.2">
      <c r="A682" s="35"/>
      <c r="B682" s="35"/>
      <c r="C682" s="35"/>
      <c r="D682" s="35"/>
      <c r="E682" s="49"/>
      <c r="F682" s="35"/>
      <c r="I682" s="2"/>
    </row>
    <row r="683" spans="1:9" ht="15.75" customHeight="1" x14ac:dyDescent="0.2">
      <c r="A683" s="35"/>
      <c r="B683" s="35"/>
      <c r="C683" s="35"/>
      <c r="D683" s="35"/>
      <c r="E683" s="49"/>
      <c r="F683" s="35"/>
      <c r="I683" s="2"/>
    </row>
    <row r="684" spans="1:9" ht="15.75" customHeight="1" x14ac:dyDescent="0.2">
      <c r="A684" s="35"/>
      <c r="B684" s="35"/>
      <c r="C684" s="35"/>
      <c r="D684" s="35"/>
      <c r="E684" s="49"/>
      <c r="F684" s="35"/>
      <c r="I684" s="2"/>
    </row>
    <row r="685" spans="1:9" ht="15.75" customHeight="1" x14ac:dyDescent="0.2">
      <c r="A685" s="35"/>
      <c r="B685" s="35"/>
      <c r="C685" s="35"/>
      <c r="D685" s="35"/>
      <c r="E685" s="49"/>
      <c r="F685" s="35"/>
      <c r="I685" s="2"/>
    </row>
    <row r="686" spans="1:9" ht="15.75" customHeight="1" x14ac:dyDescent="0.2">
      <c r="A686" s="35"/>
      <c r="B686" s="35"/>
      <c r="C686" s="35"/>
      <c r="D686" s="35"/>
      <c r="E686" s="49"/>
      <c r="F686" s="35"/>
      <c r="I686" s="2"/>
    </row>
    <row r="687" spans="1:9" ht="15.75" customHeight="1" x14ac:dyDescent="0.2">
      <c r="A687" s="35"/>
      <c r="B687" s="35"/>
      <c r="C687" s="35"/>
      <c r="D687" s="35"/>
      <c r="E687" s="49"/>
      <c r="F687" s="35"/>
      <c r="I687" s="2"/>
    </row>
    <row r="688" spans="1:9" ht="15.75" customHeight="1" x14ac:dyDescent="0.2">
      <c r="A688" s="35"/>
      <c r="B688" s="35"/>
      <c r="C688" s="35"/>
      <c r="D688" s="35"/>
      <c r="E688" s="49"/>
      <c r="F688" s="35"/>
      <c r="I688" s="2"/>
    </row>
    <row r="689" spans="1:9" ht="15.75" customHeight="1" x14ac:dyDescent="0.2">
      <c r="A689" s="35"/>
      <c r="B689" s="35"/>
      <c r="C689" s="35"/>
      <c r="D689" s="35"/>
      <c r="E689" s="49"/>
      <c r="F689" s="35"/>
      <c r="I689" s="2"/>
    </row>
    <row r="690" spans="1:9" ht="15.75" customHeight="1" x14ac:dyDescent="0.2">
      <c r="A690" s="35"/>
      <c r="B690" s="35"/>
      <c r="C690" s="35"/>
      <c r="D690" s="35"/>
      <c r="E690" s="49"/>
      <c r="F690" s="35"/>
      <c r="I690" s="2"/>
    </row>
    <row r="691" spans="1:9" ht="15.75" customHeight="1" x14ac:dyDescent="0.2">
      <c r="A691" s="35"/>
      <c r="B691" s="35"/>
      <c r="C691" s="35"/>
      <c r="D691" s="35"/>
      <c r="E691" s="49"/>
      <c r="F691" s="35"/>
      <c r="I691" s="2"/>
    </row>
    <row r="692" spans="1:9" ht="15.75" customHeight="1" x14ac:dyDescent="0.2">
      <c r="A692" s="35"/>
      <c r="B692" s="35"/>
      <c r="C692" s="35"/>
      <c r="D692" s="35"/>
      <c r="E692" s="49"/>
      <c r="F692" s="35"/>
      <c r="I692" s="2"/>
    </row>
    <row r="693" spans="1:9" ht="15.75" customHeight="1" x14ac:dyDescent="0.2">
      <c r="A693" s="35"/>
      <c r="B693" s="35"/>
      <c r="C693" s="35"/>
      <c r="D693" s="35"/>
      <c r="E693" s="49"/>
      <c r="F693" s="35"/>
      <c r="I693" s="2"/>
    </row>
    <row r="694" spans="1:9" ht="15.75" customHeight="1" x14ac:dyDescent="0.2">
      <c r="A694" s="35"/>
      <c r="B694" s="35"/>
      <c r="C694" s="35"/>
      <c r="D694" s="35"/>
      <c r="E694" s="49"/>
      <c r="F694" s="35"/>
      <c r="I694" s="2"/>
    </row>
    <row r="695" spans="1:9" ht="15.75" customHeight="1" x14ac:dyDescent="0.2">
      <c r="A695" s="35"/>
      <c r="B695" s="35"/>
      <c r="C695" s="35"/>
      <c r="D695" s="35"/>
      <c r="E695" s="49"/>
      <c r="F695" s="35"/>
      <c r="I695" s="2"/>
    </row>
    <row r="696" spans="1:9" ht="15.75" customHeight="1" x14ac:dyDescent="0.2">
      <c r="A696" s="35"/>
      <c r="B696" s="35"/>
      <c r="C696" s="35"/>
      <c r="D696" s="35"/>
      <c r="E696" s="49"/>
      <c r="F696" s="35"/>
      <c r="I696" s="2"/>
    </row>
    <row r="697" spans="1:9" ht="15.75" customHeight="1" x14ac:dyDescent="0.2">
      <c r="A697" s="35"/>
      <c r="B697" s="35"/>
      <c r="C697" s="35"/>
      <c r="D697" s="35"/>
      <c r="E697" s="49"/>
      <c r="F697" s="35"/>
      <c r="I697" s="2"/>
    </row>
    <row r="698" spans="1:9" ht="15.75" customHeight="1" x14ac:dyDescent="0.2">
      <c r="A698" s="35"/>
      <c r="B698" s="35"/>
      <c r="C698" s="35"/>
      <c r="D698" s="35"/>
      <c r="E698" s="49"/>
      <c r="F698" s="35"/>
      <c r="I698" s="2"/>
    </row>
    <row r="699" spans="1:9" ht="15.75" customHeight="1" x14ac:dyDescent="0.2">
      <c r="A699" s="35"/>
      <c r="B699" s="35"/>
      <c r="C699" s="35"/>
      <c r="D699" s="35"/>
      <c r="E699" s="49"/>
      <c r="F699" s="35"/>
      <c r="I699" s="2"/>
    </row>
    <row r="700" spans="1:9" ht="15.75" customHeight="1" x14ac:dyDescent="0.2">
      <c r="A700" s="35"/>
      <c r="B700" s="35"/>
      <c r="C700" s="35"/>
      <c r="D700" s="35"/>
      <c r="E700" s="49"/>
      <c r="F700" s="35"/>
      <c r="I700" s="2"/>
    </row>
    <row r="701" spans="1:9" ht="15.75" customHeight="1" x14ac:dyDescent="0.2">
      <c r="A701" s="35"/>
      <c r="B701" s="35"/>
      <c r="C701" s="35"/>
      <c r="D701" s="35"/>
      <c r="E701" s="49"/>
      <c r="F701" s="35"/>
      <c r="I701" s="2"/>
    </row>
    <row r="702" spans="1:9" ht="15.75" customHeight="1" x14ac:dyDescent="0.2">
      <c r="A702" s="35"/>
      <c r="B702" s="35"/>
      <c r="C702" s="35"/>
      <c r="D702" s="35"/>
      <c r="E702" s="49"/>
      <c r="F702" s="35"/>
      <c r="I702" s="2"/>
    </row>
    <row r="703" spans="1:9" ht="15.75" customHeight="1" x14ac:dyDescent="0.2">
      <c r="A703" s="35"/>
      <c r="B703" s="35"/>
      <c r="C703" s="35"/>
      <c r="D703" s="35"/>
      <c r="E703" s="49"/>
      <c r="F703" s="35"/>
      <c r="I703" s="2"/>
    </row>
    <row r="704" spans="1:9" ht="15.75" customHeight="1" x14ac:dyDescent="0.2">
      <c r="A704" s="35"/>
      <c r="B704" s="35"/>
      <c r="C704" s="35"/>
      <c r="D704" s="35"/>
      <c r="E704" s="49"/>
      <c r="F704" s="35"/>
      <c r="I704" s="2"/>
    </row>
    <row r="705" spans="1:9" ht="15.75" customHeight="1" x14ac:dyDescent="0.2">
      <c r="A705" s="35"/>
      <c r="B705" s="35"/>
      <c r="C705" s="35"/>
      <c r="D705" s="35"/>
      <c r="E705" s="49"/>
      <c r="F705" s="35"/>
      <c r="I705" s="2"/>
    </row>
    <row r="706" spans="1:9" ht="15.75" customHeight="1" x14ac:dyDescent="0.2">
      <c r="A706" s="35"/>
      <c r="B706" s="35"/>
      <c r="C706" s="35"/>
      <c r="D706" s="35"/>
      <c r="E706" s="49"/>
      <c r="F706" s="35"/>
      <c r="I706" s="2"/>
    </row>
    <row r="707" spans="1:9" ht="15.75" customHeight="1" x14ac:dyDescent="0.2">
      <c r="A707" s="35"/>
      <c r="B707" s="35"/>
      <c r="C707" s="35"/>
      <c r="D707" s="35"/>
      <c r="E707" s="49"/>
      <c r="F707" s="35"/>
      <c r="I707" s="2"/>
    </row>
    <row r="708" spans="1:9" ht="15.75" customHeight="1" x14ac:dyDescent="0.2">
      <c r="A708" s="35"/>
      <c r="B708" s="35"/>
      <c r="C708" s="35"/>
      <c r="D708" s="35"/>
      <c r="E708" s="49"/>
      <c r="F708" s="35"/>
      <c r="I708" s="2"/>
    </row>
    <row r="709" spans="1:9" ht="15.75" customHeight="1" x14ac:dyDescent="0.2">
      <c r="A709" s="35"/>
      <c r="B709" s="35"/>
      <c r="C709" s="35"/>
      <c r="D709" s="35"/>
      <c r="E709" s="49"/>
      <c r="F709" s="35"/>
      <c r="I709" s="2"/>
    </row>
    <row r="710" spans="1:9" ht="15.75" customHeight="1" x14ac:dyDescent="0.2">
      <c r="A710" s="35"/>
      <c r="B710" s="35"/>
      <c r="C710" s="35"/>
      <c r="D710" s="35"/>
      <c r="E710" s="49"/>
      <c r="F710" s="35"/>
      <c r="I710" s="2"/>
    </row>
    <row r="711" spans="1:9" ht="15.75" customHeight="1" x14ac:dyDescent="0.2">
      <c r="A711" s="35"/>
      <c r="B711" s="35"/>
      <c r="C711" s="35"/>
      <c r="D711" s="35"/>
      <c r="E711" s="49"/>
      <c r="F711" s="35"/>
      <c r="I711" s="2"/>
    </row>
    <row r="712" spans="1:9" ht="15.75" customHeight="1" x14ac:dyDescent="0.2">
      <c r="A712" s="35"/>
      <c r="B712" s="35"/>
      <c r="C712" s="35"/>
      <c r="D712" s="35"/>
      <c r="E712" s="49"/>
      <c r="F712" s="35"/>
      <c r="I712" s="2"/>
    </row>
    <row r="713" spans="1:9" ht="15.75" customHeight="1" x14ac:dyDescent="0.2">
      <c r="A713" s="35"/>
      <c r="B713" s="35"/>
      <c r="C713" s="35"/>
      <c r="D713" s="35"/>
      <c r="E713" s="49"/>
      <c r="F713" s="35"/>
      <c r="I713" s="2"/>
    </row>
    <row r="714" spans="1:9" ht="15.75" customHeight="1" x14ac:dyDescent="0.2">
      <c r="A714" s="35"/>
      <c r="B714" s="35"/>
      <c r="C714" s="35"/>
      <c r="D714" s="35"/>
      <c r="E714" s="49"/>
      <c r="F714" s="35"/>
      <c r="I714" s="2"/>
    </row>
    <row r="715" spans="1:9" ht="15.75" customHeight="1" x14ac:dyDescent="0.2">
      <c r="A715" s="35"/>
      <c r="B715" s="35"/>
      <c r="C715" s="35"/>
      <c r="D715" s="35"/>
      <c r="E715" s="49"/>
      <c r="F715" s="35"/>
      <c r="I715" s="2"/>
    </row>
    <row r="716" spans="1:9" ht="15.75" customHeight="1" x14ac:dyDescent="0.2">
      <c r="A716" s="35"/>
      <c r="B716" s="35"/>
      <c r="C716" s="35"/>
      <c r="D716" s="35"/>
      <c r="E716" s="49"/>
      <c r="F716" s="35"/>
      <c r="I716" s="2"/>
    </row>
    <row r="717" spans="1:9" ht="15.75" customHeight="1" x14ac:dyDescent="0.2">
      <c r="A717" s="35"/>
      <c r="B717" s="35"/>
      <c r="C717" s="35"/>
      <c r="D717" s="35"/>
      <c r="E717" s="49"/>
      <c r="F717" s="35"/>
      <c r="I717" s="2"/>
    </row>
    <row r="718" spans="1:9" ht="15.75" customHeight="1" x14ac:dyDescent="0.2">
      <c r="A718" s="35"/>
      <c r="B718" s="35"/>
      <c r="C718" s="35"/>
      <c r="D718" s="35"/>
      <c r="E718" s="49"/>
      <c r="F718" s="35"/>
      <c r="I718" s="2"/>
    </row>
    <row r="719" spans="1:9" ht="15.75" customHeight="1" x14ac:dyDescent="0.2">
      <c r="A719" s="35"/>
      <c r="B719" s="35"/>
      <c r="C719" s="35"/>
      <c r="D719" s="35"/>
      <c r="E719" s="49"/>
      <c r="F719" s="35"/>
      <c r="I719" s="2"/>
    </row>
    <row r="720" spans="1:9" ht="15.75" customHeight="1" x14ac:dyDescent="0.2">
      <c r="A720" s="35"/>
      <c r="B720" s="35"/>
      <c r="C720" s="35"/>
      <c r="D720" s="35"/>
      <c r="E720" s="49"/>
      <c r="F720" s="35"/>
      <c r="I720" s="2"/>
    </row>
    <row r="721" spans="1:9" ht="15.75" customHeight="1" x14ac:dyDescent="0.2">
      <c r="A721" s="35"/>
      <c r="B721" s="35"/>
      <c r="C721" s="35"/>
      <c r="D721" s="35"/>
      <c r="E721" s="49"/>
      <c r="F721" s="35"/>
      <c r="I721" s="2"/>
    </row>
    <row r="722" spans="1:9" ht="15.75" customHeight="1" x14ac:dyDescent="0.2">
      <c r="A722" s="35"/>
      <c r="B722" s="35"/>
      <c r="C722" s="35"/>
      <c r="D722" s="35"/>
      <c r="E722" s="49"/>
      <c r="F722" s="35"/>
      <c r="I722" s="2"/>
    </row>
    <row r="723" spans="1:9" ht="15.75" customHeight="1" x14ac:dyDescent="0.2">
      <c r="A723" s="35"/>
      <c r="B723" s="35"/>
      <c r="C723" s="35"/>
      <c r="D723" s="35"/>
      <c r="E723" s="49"/>
      <c r="F723" s="35"/>
      <c r="I723" s="2"/>
    </row>
    <row r="724" spans="1:9" ht="15.75" customHeight="1" x14ac:dyDescent="0.2">
      <c r="A724" s="35"/>
      <c r="B724" s="35"/>
      <c r="C724" s="35"/>
      <c r="D724" s="35"/>
      <c r="E724" s="49"/>
      <c r="F724" s="35"/>
      <c r="I724" s="2"/>
    </row>
    <row r="725" spans="1:9" ht="15.75" customHeight="1" x14ac:dyDescent="0.2">
      <c r="A725" s="35"/>
      <c r="B725" s="35"/>
      <c r="C725" s="35"/>
      <c r="D725" s="35"/>
      <c r="E725" s="49"/>
      <c r="F725" s="35"/>
      <c r="I725" s="2"/>
    </row>
    <row r="726" spans="1:9" ht="15.75" customHeight="1" x14ac:dyDescent="0.2">
      <c r="A726" s="35"/>
      <c r="B726" s="35"/>
      <c r="C726" s="35"/>
      <c r="D726" s="35"/>
      <c r="E726" s="49"/>
      <c r="F726" s="35"/>
      <c r="I726" s="2"/>
    </row>
    <row r="727" spans="1:9" ht="15.75" customHeight="1" x14ac:dyDescent="0.2">
      <c r="A727" s="35"/>
      <c r="B727" s="35"/>
      <c r="C727" s="35"/>
      <c r="D727" s="35"/>
      <c r="E727" s="49"/>
      <c r="F727" s="35"/>
      <c r="I727" s="2"/>
    </row>
    <row r="728" spans="1:9" ht="15.75" customHeight="1" x14ac:dyDescent="0.2">
      <c r="A728" s="35"/>
      <c r="B728" s="35"/>
      <c r="C728" s="35"/>
      <c r="D728" s="35"/>
      <c r="E728" s="49"/>
      <c r="F728" s="35"/>
      <c r="I728" s="2"/>
    </row>
    <row r="729" spans="1:9" ht="15.75" customHeight="1" x14ac:dyDescent="0.2">
      <c r="A729" s="35"/>
      <c r="B729" s="35"/>
      <c r="C729" s="35"/>
      <c r="D729" s="35"/>
      <c r="E729" s="49"/>
      <c r="F729" s="35"/>
      <c r="I729" s="2"/>
    </row>
    <row r="730" spans="1:9" ht="15.75" customHeight="1" x14ac:dyDescent="0.2">
      <c r="A730" s="35"/>
      <c r="B730" s="35"/>
      <c r="C730" s="35"/>
      <c r="D730" s="35"/>
      <c r="E730" s="49"/>
      <c r="F730" s="35"/>
      <c r="I730" s="2"/>
    </row>
    <row r="731" spans="1:9" ht="15.75" customHeight="1" x14ac:dyDescent="0.2">
      <c r="A731" s="35"/>
      <c r="B731" s="35"/>
      <c r="C731" s="35"/>
      <c r="D731" s="35"/>
      <c r="E731" s="49"/>
      <c r="F731" s="35"/>
      <c r="I731" s="2"/>
    </row>
    <row r="732" spans="1:9" ht="15.75" customHeight="1" x14ac:dyDescent="0.2">
      <c r="A732" s="35"/>
      <c r="B732" s="35"/>
      <c r="C732" s="35"/>
      <c r="D732" s="35"/>
      <c r="E732" s="49"/>
      <c r="F732" s="35"/>
      <c r="I732" s="2"/>
    </row>
    <row r="733" spans="1:9" ht="15.75" customHeight="1" x14ac:dyDescent="0.2">
      <c r="A733" s="35"/>
      <c r="B733" s="35"/>
      <c r="C733" s="35"/>
      <c r="D733" s="35"/>
      <c r="E733" s="49"/>
      <c r="F733" s="35"/>
      <c r="I733" s="2"/>
    </row>
    <row r="734" spans="1:9" ht="15.75" customHeight="1" x14ac:dyDescent="0.2">
      <c r="A734" s="35"/>
      <c r="B734" s="35"/>
      <c r="C734" s="35"/>
      <c r="D734" s="35"/>
      <c r="E734" s="49"/>
      <c r="F734" s="35"/>
      <c r="I734" s="2"/>
    </row>
    <row r="735" spans="1:9" ht="15.75" customHeight="1" x14ac:dyDescent="0.2">
      <c r="A735" s="35"/>
      <c r="B735" s="35"/>
      <c r="C735" s="35"/>
      <c r="D735" s="35"/>
      <c r="E735" s="49"/>
      <c r="F735" s="35"/>
      <c r="I735" s="2"/>
    </row>
    <row r="736" spans="1:9" ht="15.75" customHeight="1" x14ac:dyDescent="0.2">
      <c r="A736" s="35"/>
      <c r="B736" s="35"/>
      <c r="C736" s="35"/>
      <c r="D736" s="35"/>
      <c r="E736" s="49"/>
      <c r="F736" s="35"/>
      <c r="I736" s="2"/>
    </row>
    <row r="737" spans="1:9" ht="15.75" customHeight="1" x14ac:dyDescent="0.2">
      <c r="A737" s="35"/>
      <c r="B737" s="35"/>
      <c r="C737" s="35"/>
      <c r="D737" s="35"/>
      <c r="E737" s="49"/>
      <c r="F737" s="35"/>
      <c r="I737" s="2"/>
    </row>
    <row r="738" spans="1:9" ht="15.75" customHeight="1" x14ac:dyDescent="0.2">
      <c r="A738" s="35"/>
      <c r="B738" s="35"/>
      <c r="C738" s="35"/>
      <c r="D738" s="35"/>
      <c r="E738" s="49"/>
      <c r="F738" s="35"/>
      <c r="I738" s="2"/>
    </row>
    <row r="739" spans="1:9" ht="15.75" customHeight="1" x14ac:dyDescent="0.2">
      <c r="A739" s="35"/>
      <c r="B739" s="35"/>
      <c r="C739" s="35"/>
      <c r="D739" s="35"/>
      <c r="E739" s="49"/>
      <c r="F739" s="35"/>
      <c r="I739" s="2"/>
    </row>
    <row r="740" spans="1:9" ht="15.75" customHeight="1" x14ac:dyDescent="0.2">
      <c r="A740" s="35"/>
      <c r="B740" s="35"/>
      <c r="C740" s="35"/>
      <c r="D740" s="35"/>
      <c r="E740" s="49"/>
      <c r="F740" s="35"/>
      <c r="I740" s="2"/>
    </row>
    <row r="741" spans="1:9" ht="15.75" customHeight="1" x14ac:dyDescent="0.2">
      <c r="A741" s="35"/>
      <c r="B741" s="35"/>
      <c r="C741" s="35"/>
      <c r="D741" s="35"/>
      <c r="E741" s="49"/>
      <c r="F741" s="35"/>
      <c r="I741" s="2"/>
    </row>
    <row r="742" spans="1:9" ht="15.75" customHeight="1" x14ac:dyDescent="0.2">
      <c r="A742" s="35"/>
      <c r="B742" s="35"/>
      <c r="C742" s="35"/>
      <c r="D742" s="35"/>
      <c r="E742" s="49"/>
      <c r="F742" s="35"/>
      <c r="I742" s="2"/>
    </row>
    <row r="743" spans="1:9" ht="15.75" customHeight="1" x14ac:dyDescent="0.2">
      <c r="A743" s="35"/>
      <c r="B743" s="35"/>
      <c r="C743" s="35"/>
      <c r="D743" s="35"/>
      <c r="E743" s="49"/>
      <c r="F743" s="35"/>
      <c r="I743" s="2"/>
    </row>
    <row r="744" spans="1:9" ht="15.75" customHeight="1" x14ac:dyDescent="0.2">
      <c r="A744" s="35"/>
      <c r="B744" s="35"/>
      <c r="C744" s="35"/>
      <c r="D744" s="35"/>
      <c r="E744" s="49"/>
      <c r="F744" s="35"/>
      <c r="I744" s="2"/>
    </row>
    <row r="745" spans="1:9" ht="15.75" customHeight="1" x14ac:dyDescent="0.2">
      <c r="A745" s="35"/>
      <c r="B745" s="35"/>
      <c r="C745" s="35"/>
      <c r="D745" s="35"/>
      <c r="E745" s="49"/>
      <c r="F745" s="35"/>
      <c r="I745" s="2"/>
    </row>
    <row r="746" spans="1:9" ht="15.75" customHeight="1" x14ac:dyDescent="0.2">
      <c r="A746" s="35"/>
      <c r="B746" s="35"/>
      <c r="C746" s="35"/>
      <c r="D746" s="35"/>
      <c r="E746" s="49"/>
      <c r="F746" s="35"/>
      <c r="I746" s="2"/>
    </row>
    <row r="747" spans="1:9" ht="15.75" customHeight="1" x14ac:dyDescent="0.2">
      <c r="A747" s="35"/>
      <c r="B747" s="35"/>
      <c r="C747" s="35"/>
      <c r="D747" s="35"/>
      <c r="E747" s="49"/>
      <c r="F747" s="35"/>
      <c r="I747" s="2"/>
    </row>
    <row r="748" spans="1:9" ht="15.75" customHeight="1" x14ac:dyDescent="0.2">
      <c r="A748" s="35"/>
      <c r="B748" s="35"/>
      <c r="C748" s="35"/>
      <c r="D748" s="35"/>
      <c r="E748" s="49"/>
      <c r="F748" s="35"/>
      <c r="I748" s="2"/>
    </row>
    <row r="749" spans="1:9" ht="15.75" customHeight="1" x14ac:dyDescent="0.2">
      <c r="A749" s="35"/>
      <c r="B749" s="35"/>
      <c r="C749" s="35"/>
      <c r="D749" s="35"/>
      <c r="E749" s="49"/>
      <c r="F749" s="35"/>
      <c r="I749" s="2"/>
    </row>
    <row r="750" spans="1:9" ht="15.75" customHeight="1" x14ac:dyDescent="0.2">
      <c r="A750" s="35"/>
      <c r="B750" s="35"/>
      <c r="C750" s="35"/>
      <c r="D750" s="35"/>
      <c r="E750" s="49"/>
      <c r="F750" s="35"/>
      <c r="I750" s="2"/>
    </row>
    <row r="751" spans="1:9" ht="15.75" customHeight="1" x14ac:dyDescent="0.2">
      <c r="A751" s="35"/>
      <c r="B751" s="35"/>
      <c r="C751" s="35"/>
      <c r="D751" s="35"/>
      <c r="E751" s="49"/>
      <c r="F751" s="35"/>
      <c r="I751" s="2"/>
    </row>
    <row r="752" spans="1:9" ht="15.75" customHeight="1" x14ac:dyDescent="0.2">
      <c r="A752" s="35"/>
      <c r="B752" s="35"/>
      <c r="C752" s="35"/>
      <c r="D752" s="35"/>
      <c r="E752" s="49"/>
      <c r="F752" s="35"/>
      <c r="I752" s="2"/>
    </row>
    <row r="753" spans="1:9" ht="15.75" customHeight="1" x14ac:dyDescent="0.2">
      <c r="A753" s="35"/>
      <c r="B753" s="35"/>
      <c r="C753" s="35"/>
      <c r="D753" s="35"/>
      <c r="E753" s="49"/>
      <c r="F753" s="35"/>
      <c r="I753" s="2"/>
    </row>
    <row r="754" spans="1:9" ht="15.75" customHeight="1" x14ac:dyDescent="0.2">
      <c r="A754" s="35"/>
      <c r="B754" s="35"/>
      <c r="C754" s="35"/>
      <c r="D754" s="35"/>
      <c r="E754" s="49"/>
      <c r="F754" s="35"/>
      <c r="I754" s="2"/>
    </row>
    <row r="755" spans="1:9" ht="15.75" customHeight="1" x14ac:dyDescent="0.2">
      <c r="A755" s="35"/>
      <c r="B755" s="35"/>
      <c r="C755" s="35"/>
      <c r="D755" s="35"/>
      <c r="E755" s="49"/>
      <c r="F755" s="35"/>
      <c r="I755" s="2"/>
    </row>
    <row r="756" spans="1:9" ht="15.75" customHeight="1" x14ac:dyDescent="0.2">
      <c r="A756" s="35"/>
      <c r="B756" s="35"/>
      <c r="C756" s="35"/>
      <c r="D756" s="35"/>
      <c r="E756" s="49"/>
      <c r="F756" s="35"/>
      <c r="I756" s="2"/>
    </row>
    <row r="757" spans="1:9" ht="15.75" customHeight="1" x14ac:dyDescent="0.2">
      <c r="A757" s="35"/>
      <c r="B757" s="35"/>
      <c r="C757" s="35"/>
      <c r="D757" s="35"/>
      <c r="E757" s="49"/>
      <c r="F757" s="35"/>
      <c r="I757" s="2"/>
    </row>
    <row r="758" spans="1:9" ht="15.75" customHeight="1" x14ac:dyDescent="0.2">
      <c r="A758" s="35"/>
      <c r="B758" s="35"/>
      <c r="C758" s="35"/>
      <c r="D758" s="35"/>
      <c r="E758" s="49"/>
      <c r="F758" s="35"/>
      <c r="I758" s="2"/>
    </row>
    <row r="759" spans="1:9" ht="15.75" customHeight="1" x14ac:dyDescent="0.2">
      <c r="A759" s="35"/>
      <c r="B759" s="35"/>
      <c r="C759" s="35"/>
      <c r="D759" s="35"/>
      <c r="E759" s="49"/>
      <c r="F759" s="35"/>
      <c r="I759" s="2"/>
    </row>
    <row r="760" spans="1:9" ht="15.75" customHeight="1" x14ac:dyDescent="0.2">
      <c r="A760" s="35"/>
      <c r="B760" s="35"/>
      <c r="C760" s="35"/>
      <c r="D760" s="35"/>
      <c r="E760" s="49"/>
      <c r="F760" s="35"/>
      <c r="I760" s="2"/>
    </row>
    <row r="761" spans="1:9" ht="15.75" customHeight="1" x14ac:dyDescent="0.2">
      <c r="A761" s="35"/>
      <c r="B761" s="35"/>
      <c r="C761" s="35"/>
      <c r="D761" s="35"/>
      <c r="E761" s="49"/>
      <c r="F761" s="35"/>
      <c r="I761" s="2"/>
    </row>
    <row r="762" spans="1:9" ht="15.75" customHeight="1" x14ac:dyDescent="0.2">
      <c r="A762" s="35"/>
      <c r="B762" s="35"/>
      <c r="C762" s="35"/>
      <c r="D762" s="35"/>
      <c r="E762" s="49"/>
      <c r="F762" s="35"/>
      <c r="I762" s="2"/>
    </row>
    <row r="763" spans="1:9" ht="15.75" customHeight="1" x14ac:dyDescent="0.2">
      <c r="A763" s="35"/>
      <c r="B763" s="35"/>
      <c r="C763" s="35"/>
      <c r="D763" s="35"/>
      <c r="E763" s="49"/>
      <c r="F763" s="35"/>
      <c r="I763" s="2"/>
    </row>
    <row r="764" spans="1:9" ht="15.75" customHeight="1" x14ac:dyDescent="0.2">
      <c r="A764" s="35"/>
      <c r="B764" s="35"/>
      <c r="C764" s="35"/>
      <c r="D764" s="35"/>
      <c r="E764" s="49"/>
      <c r="F764" s="35"/>
      <c r="I764" s="2"/>
    </row>
    <row r="765" spans="1:9" ht="15.75" customHeight="1" x14ac:dyDescent="0.2">
      <c r="A765" s="35"/>
      <c r="B765" s="35"/>
      <c r="C765" s="35"/>
      <c r="D765" s="35"/>
      <c r="E765" s="49"/>
      <c r="F765" s="35"/>
      <c r="I765" s="2"/>
    </row>
    <row r="766" spans="1:9" ht="15.75" customHeight="1" x14ac:dyDescent="0.2">
      <c r="A766" s="35"/>
      <c r="B766" s="35"/>
      <c r="C766" s="35"/>
      <c r="D766" s="35"/>
      <c r="E766" s="49"/>
      <c r="F766" s="35"/>
      <c r="I766" s="2"/>
    </row>
    <row r="767" spans="1:9" ht="15.75" customHeight="1" x14ac:dyDescent="0.2">
      <c r="A767" s="35"/>
      <c r="B767" s="35"/>
      <c r="C767" s="35"/>
      <c r="D767" s="35"/>
      <c r="E767" s="49"/>
      <c r="F767" s="35"/>
      <c r="I767" s="2"/>
    </row>
    <row r="768" spans="1:9" ht="15.75" customHeight="1" x14ac:dyDescent="0.2">
      <c r="A768" s="35"/>
      <c r="B768" s="35"/>
      <c r="C768" s="35"/>
      <c r="D768" s="35"/>
      <c r="E768" s="49"/>
      <c r="F768" s="35"/>
      <c r="I768" s="2"/>
    </row>
    <row r="769" spans="1:9" ht="15.75" customHeight="1" x14ac:dyDescent="0.2">
      <c r="A769" s="35"/>
      <c r="B769" s="35"/>
      <c r="C769" s="35"/>
      <c r="D769" s="35"/>
      <c r="E769" s="49"/>
      <c r="F769" s="35"/>
      <c r="I769" s="2"/>
    </row>
    <row r="770" spans="1:9" ht="15.75" customHeight="1" x14ac:dyDescent="0.2">
      <c r="A770" s="35"/>
      <c r="B770" s="35"/>
      <c r="C770" s="35"/>
      <c r="D770" s="35"/>
      <c r="E770" s="49"/>
      <c r="F770" s="35"/>
      <c r="I770" s="2"/>
    </row>
    <row r="771" spans="1:9" ht="15.75" customHeight="1" x14ac:dyDescent="0.2">
      <c r="A771" s="35"/>
      <c r="B771" s="35"/>
      <c r="C771" s="35"/>
      <c r="D771" s="35"/>
      <c r="E771" s="49"/>
      <c r="F771" s="35"/>
      <c r="I771" s="2"/>
    </row>
    <row r="772" spans="1:9" ht="15.75" customHeight="1" x14ac:dyDescent="0.2">
      <c r="A772" s="35"/>
      <c r="B772" s="35"/>
      <c r="C772" s="35"/>
      <c r="D772" s="35"/>
      <c r="E772" s="49"/>
      <c r="F772" s="35"/>
      <c r="I772" s="2"/>
    </row>
    <row r="773" spans="1:9" ht="15.75" customHeight="1" x14ac:dyDescent="0.2">
      <c r="A773" s="35"/>
      <c r="B773" s="35"/>
      <c r="C773" s="35"/>
      <c r="D773" s="35"/>
      <c r="E773" s="49"/>
      <c r="F773" s="35"/>
      <c r="I773" s="2"/>
    </row>
    <row r="774" spans="1:9" ht="15.75" customHeight="1" x14ac:dyDescent="0.2">
      <c r="A774" s="35"/>
      <c r="B774" s="35"/>
      <c r="C774" s="35"/>
      <c r="D774" s="35"/>
      <c r="E774" s="49"/>
      <c r="F774" s="35"/>
      <c r="I774" s="2"/>
    </row>
    <row r="775" spans="1:9" ht="15.75" customHeight="1" x14ac:dyDescent="0.2">
      <c r="A775" s="35"/>
      <c r="B775" s="35"/>
      <c r="C775" s="35"/>
      <c r="D775" s="35"/>
      <c r="E775" s="49"/>
      <c r="F775" s="35"/>
      <c r="I775" s="2"/>
    </row>
    <row r="776" spans="1:9" ht="15.75" customHeight="1" x14ac:dyDescent="0.2">
      <c r="A776" s="35"/>
      <c r="B776" s="35"/>
      <c r="C776" s="35"/>
      <c r="D776" s="35"/>
      <c r="E776" s="49"/>
      <c r="F776" s="35"/>
      <c r="I776" s="2"/>
    </row>
    <row r="777" spans="1:9" ht="15.75" customHeight="1" x14ac:dyDescent="0.2">
      <c r="A777" s="35"/>
      <c r="B777" s="35"/>
      <c r="C777" s="35"/>
      <c r="D777" s="35"/>
      <c r="E777" s="49"/>
      <c r="F777" s="35"/>
      <c r="I777" s="2"/>
    </row>
    <row r="778" spans="1:9" ht="15.75" customHeight="1" x14ac:dyDescent="0.2">
      <c r="A778" s="35"/>
      <c r="B778" s="35"/>
      <c r="C778" s="35"/>
      <c r="D778" s="35"/>
      <c r="E778" s="49"/>
      <c r="F778" s="35"/>
      <c r="I778" s="2"/>
    </row>
    <row r="779" spans="1:9" ht="15.75" customHeight="1" x14ac:dyDescent="0.2">
      <c r="A779" s="35"/>
      <c r="B779" s="35"/>
      <c r="C779" s="35"/>
      <c r="D779" s="35"/>
      <c r="E779" s="49"/>
      <c r="F779" s="35"/>
      <c r="I779" s="2"/>
    </row>
    <row r="780" spans="1:9" ht="15.75" customHeight="1" x14ac:dyDescent="0.2">
      <c r="A780" s="35"/>
      <c r="B780" s="35"/>
      <c r="C780" s="35"/>
      <c r="D780" s="35"/>
      <c r="E780" s="49"/>
      <c r="F780" s="35"/>
      <c r="I780" s="2"/>
    </row>
    <row r="781" spans="1:9" ht="15.75" customHeight="1" x14ac:dyDescent="0.2">
      <c r="A781" s="35"/>
      <c r="B781" s="35"/>
      <c r="C781" s="35"/>
      <c r="D781" s="35"/>
      <c r="E781" s="49"/>
      <c r="F781" s="35"/>
      <c r="I781" s="2"/>
    </row>
    <row r="782" spans="1:9" ht="15.75" customHeight="1" x14ac:dyDescent="0.2">
      <c r="A782" s="35"/>
      <c r="B782" s="35"/>
      <c r="C782" s="35"/>
      <c r="D782" s="35"/>
      <c r="E782" s="49"/>
      <c r="F782" s="35"/>
      <c r="I782" s="2"/>
    </row>
    <row r="783" spans="1:9" ht="15.75" customHeight="1" x14ac:dyDescent="0.2">
      <c r="A783" s="35"/>
      <c r="B783" s="35"/>
      <c r="C783" s="35"/>
      <c r="D783" s="35"/>
      <c r="E783" s="49"/>
      <c r="F783" s="35"/>
      <c r="I783" s="2"/>
    </row>
    <row r="784" spans="1:9" ht="15.75" customHeight="1" x14ac:dyDescent="0.2">
      <c r="A784" s="35"/>
      <c r="B784" s="35"/>
      <c r="C784" s="35"/>
      <c r="D784" s="35"/>
      <c r="E784" s="49"/>
      <c r="F784" s="35"/>
      <c r="I784" s="2"/>
    </row>
    <row r="785" spans="1:9" ht="15.75" customHeight="1" x14ac:dyDescent="0.2">
      <c r="A785" s="35"/>
      <c r="B785" s="35"/>
      <c r="C785" s="35"/>
      <c r="D785" s="35"/>
      <c r="E785" s="49"/>
      <c r="F785" s="35"/>
      <c r="I785" s="2"/>
    </row>
    <row r="786" spans="1:9" ht="15.75" customHeight="1" x14ac:dyDescent="0.2">
      <c r="A786" s="35"/>
      <c r="B786" s="35"/>
      <c r="C786" s="35"/>
      <c r="D786" s="35"/>
      <c r="E786" s="49"/>
      <c r="F786" s="35"/>
      <c r="I786" s="2"/>
    </row>
    <row r="787" spans="1:9" ht="15.75" customHeight="1" x14ac:dyDescent="0.2">
      <c r="A787" s="35"/>
      <c r="B787" s="35"/>
      <c r="C787" s="35"/>
      <c r="D787" s="35"/>
      <c r="E787" s="49"/>
      <c r="F787" s="35"/>
      <c r="I787" s="2"/>
    </row>
    <row r="788" spans="1:9" ht="15.75" customHeight="1" x14ac:dyDescent="0.2">
      <c r="A788" s="35"/>
      <c r="B788" s="35"/>
      <c r="C788" s="35"/>
      <c r="D788" s="35"/>
      <c r="E788" s="49"/>
      <c r="F788" s="35"/>
      <c r="I788" s="2"/>
    </row>
    <row r="789" spans="1:9" ht="15.75" customHeight="1" x14ac:dyDescent="0.2">
      <c r="A789" s="35"/>
      <c r="B789" s="35"/>
      <c r="C789" s="35"/>
      <c r="D789" s="35"/>
      <c r="E789" s="49"/>
      <c r="F789" s="35"/>
      <c r="I789" s="2"/>
    </row>
    <row r="790" spans="1:9" ht="15.75" customHeight="1" x14ac:dyDescent="0.2">
      <c r="A790" s="35"/>
      <c r="B790" s="35"/>
      <c r="C790" s="35"/>
      <c r="D790" s="35"/>
      <c r="E790" s="49"/>
      <c r="F790" s="35"/>
      <c r="I790" s="2"/>
    </row>
    <row r="791" spans="1:9" ht="15.75" customHeight="1" x14ac:dyDescent="0.2">
      <c r="A791" s="35"/>
      <c r="B791" s="35"/>
      <c r="C791" s="35"/>
      <c r="D791" s="35"/>
      <c r="E791" s="49"/>
      <c r="F791" s="35"/>
      <c r="I791" s="2"/>
    </row>
    <row r="792" spans="1:9" ht="15.75" customHeight="1" x14ac:dyDescent="0.2">
      <c r="A792" s="35"/>
      <c r="B792" s="35"/>
      <c r="C792" s="35"/>
      <c r="D792" s="35"/>
      <c r="E792" s="49"/>
      <c r="F792" s="35"/>
      <c r="I792" s="2"/>
    </row>
    <row r="793" spans="1:9" ht="15.75" customHeight="1" x14ac:dyDescent="0.2">
      <c r="A793" s="35"/>
      <c r="B793" s="35"/>
      <c r="C793" s="35"/>
      <c r="D793" s="35"/>
      <c r="E793" s="49"/>
      <c r="F793" s="35"/>
      <c r="I793" s="2"/>
    </row>
    <row r="794" spans="1:9" ht="15.75" customHeight="1" x14ac:dyDescent="0.2">
      <c r="A794" s="35"/>
      <c r="B794" s="35"/>
      <c r="C794" s="35"/>
      <c r="D794" s="35"/>
      <c r="E794" s="49"/>
      <c r="F794" s="35"/>
      <c r="I794" s="2"/>
    </row>
    <row r="795" spans="1:9" ht="15.75" customHeight="1" x14ac:dyDescent="0.2">
      <c r="A795" s="35"/>
      <c r="B795" s="35"/>
      <c r="C795" s="35"/>
      <c r="D795" s="35"/>
      <c r="E795" s="49"/>
      <c r="F795" s="35"/>
      <c r="I795" s="2"/>
    </row>
    <row r="796" spans="1:9" ht="15.75" customHeight="1" x14ac:dyDescent="0.2">
      <c r="A796" s="35"/>
      <c r="B796" s="35"/>
      <c r="C796" s="35"/>
      <c r="D796" s="35"/>
      <c r="E796" s="49"/>
      <c r="F796" s="35"/>
      <c r="I796" s="2"/>
    </row>
    <row r="797" spans="1:9" ht="15.75" customHeight="1" x14ac:dyDescent="0.2">
      <c r="A797" s="35"/>
      <c r="B797" s="35"/>
      <c r="C797" s="35"/>
      <c r="D797" s="35"/>
      <c r="E797" s="49"/>
      <c r="F797" s="35"/>
      <c r="I797" s="2"/>
    </row>
    <row r="798" spans="1:9" ht="15.75" customHeight="1" x14ac:dyDescent="0.2">
      <c r="A798" s="35"/>
      <c r="B798" s="35"/>
      <c r="C798" s="35"/>
      <c r="D798" s="35"/>
      <c r="E798" s="49"/>
      <c r="F798" s="35"/>
      <c r="I798" s="2"/>
    </row>
    <row r="799" spans="1:9" ht="15.75" customHeight="1" x14ac:dyDescent="0.2">
      <c r="A799" s="35"/>
      <c r="B799" s="35"/>
      <c r="C799" s="35"/>
      <c r="D799" s="35"/>
      <c r="E799" s="49"/>
      <c r="F799" s="35"/>
      <c r="I799" s="2"/>
    </row>
    <row r="800" spans="1:9" ht="15.75" customHeight="1" x14ac:dyDescent="0.2">
      <c r="A800" s="35"/>
      <c r="B800" s="35"/>
      <c r="C800" s="35"/>
      <c r="D800" s="35"/>
      <c r="E800" s="49"/>
      <c r="F800" s="35"/>
      <c r="I800" s="2"/>
    </row>
    <row r="801" spans="1:9" ht="15.75" customHeight="1" x14ac:dyDescent="0.2">
      <c r="A801" s="35"/>
      <c r="B801" s="35"/>
      <c r="C801" s="35"/>
      <c r="D801" s="35"/>
      <c r="E801" s="49"/>
      <c r="F801" s="35"/>
      <c r="I801" s="2"/>
    </row>
    <row r="802" spans="1:9" ht="15.75" customHeight="1" x14ac:dyDescent="0.2">
      <c r="A802" s="35"/>
      <c r="B802" s="35"/>
      <c r="C802" s="35"/>
      <c r="D802" s="35"/>
      <c r="E802" s="49"/>
      <c r="F802" s="35"/>
      <c r="I802" s="2"/>
    </row>
    <row r="803" spans="1:9" ht="15.75" customHeight="1" x14ac:dyDescent="0.2">
      <c r="A803" s="35"/>
      <c r="B803" s="35"/>
      <c r="C803" s="35"/>
      <c r="D803" s="35"/>
      <c r="E803" s="49"/>
      <c r="F803" s="35"/>
      <c r="I803" s="2"/>
    </row>
    <row r="804" spans="1:9" ht="15.75" customHeight="1" x14ac:dyDescent="0.2">
      <c r="A804" s="35"/>
      <c r="B804" s="35"/>
      <c r="C804" s="35"/>
      <c r="D804" s="35"/>
      <c r="E804" s="49"/>
      <c r="F804" s="35"/>
      <c r="I804" s="2"/>
    </row>
    <row r="805" spans="1:9" ht="15.75" customHeight="1" x14ac:dyDescent="0.2">
      <c r="A805" s="35"/>
      <c r="B805" s="35"/>
      <c r="C805" s="35"/>
      <c r="D805" s="35"/>
      <c r="E805" s="49"/>
      <c r="F805" s="35"/>
      <c r="I805" s="2"/>
    </row>
    <row r="806" spans="1:9" ht="15.75" customHeight="1" x14ac:dyDescent="0.2">
      <c r="A806" s="35"/>
      <c r="B806" s="35"/>
      <c r="C806" s="35"/>
      <c r="D806" s="35"/>
      <c r="E806" s="49"/>
      <c r="F806" s="35"/>
      <c r="I806" s="2"/>
    </row>
    <row r="807" spans="1:9" ht="15.75" customHeight="1" x14ac:dyDescent="0.2">
      <c r="A807" s="35"/>
      <c r="B807" s="35"/>
      <c r="C807" s="35"/>
      <c r="D807" s="35"/>
      <c r="E807" s="49"/>
      <c r="F807" s="35"/>
      <c r="I807" s="2"/>
    </row>
    <row r="808" spans="1:9" ht="15.75" customHeight="1" x14ac:dyDescent="0.2">
      <c r="A808" s="35"/>
      <c r="B808" s="35"/>
      <c r="C808" s="35"/>
      <c r="D808" s="35"/>
      <c r="E808" s="49"/>
      <c r="F808" s="35"/>
      <c r="I808" s="2"/>
    </row>
    <row r="809" spans="1:9" ht="15.75" customHeight="1" x14ac:dyDescent="0.2">
      <c r="A809" s="35"/>
      <c r="B809" s="35"/>
      <c r="C809" s="35"/>
      <c r="D809" s="35"/>
      <c r="E809" s="49"/>
      <c r="F809" s="35"/>
      <c r="I809" s="2"/>
    </row>
    <row r="810" spans="1:9" ht="15.75" customHeight="1" x14ac:dyDescent="0.2">
      <c r="A810" s="35"/>
      <c r="B810" s="35"/>
      <c r="C810" s="35"/>
      <c r="D810" s="35"/>
      <c r="E810" s="49"/>
      <c r="F810" s="35"/>
      <c r="I810" s="2"/>
    </row>
    <row r="811" spans="1:9" ht="15.75" customHeight="1" x14ac:dyDescent="0.2">
      <c r="A811" s="35"/>
      <c r="B811" s="35"/>
      <c r="C811" s="35"/>
      <c r="D811" s="35"/>
      <c r="E811" s="49"/>
      <c r="F811" s="35"/>
      <c r="I811" s="2"/>
    </row>
    <row r="812" spans="1:9" ht="15.75" customHeight="1" x14ac:dyDescent="0.2">
      <c r="A812" s="35"/>
      <c r="B812" s="35"/>
      <c r="C812" s="35"/>
      <c r="D812" s="35"/>
      <c r="E812" s="49"/>
      <c r="F812" s="35"/>
      <c r="I812" s="2"/>
    </row>
    <row r="813" spans="1:9" ht="15.75" customHeight="1" x14ac:dyDescent="0.2">
      <c r="A813" s="35"/>
      <c r="B813" s="35"/>
      <c r="C813" s="35"/>
      <c r="D813" s="35"/>
      <c r="E813" s="49"/>
      <c r="F813" s="35"/>
      <c r="I813" s="2"/>
    </row>
    <row r="814" spans="1:9" ht="15.75" customHeight="1" x14ac:dyDescent="0.2">
      <c r="A814" s="35"/>
      <c r="B814" s="35"/>
      <c r="C814" s="35"/>
      <c r="D814" s="35"/>
      <c r="E814" s="49"/>
      <c r="F814" s="35"/>
      <c r="I814" s="2"/>
    </row>
    <row r="815" spans="1:9" ht="15.75" customHeight="1" x14ac:dyDescent="0.2">
      <c r="A815" s="35"/>
      <c r="B815" s="35"/>
      <c r="C815" s="35"/>
      <c r="D815" s="35"/>
      <c r="E815" s="49"/>
      <c r="F815" s="35"/>
      <c r="I815" s="2"/>
    </row>
    <row r="816" spans="1:9" ht="15.75" customHeight="1" x14ac:dyDescent="0.2">
      <c r="A816" s="35"/>
      <c r="B816" s="35"/>
      <c r="C816" s="35"/>
      <c r="D816" s="35"/>
      <c r="E816" s="49"/>
      <c r="F816" s="35"/>
      <c r="I816" s="2"/>
    </row>
    <row r="817" spans="1:9" ht="15.75" customHeight="1" x14ac:dyDescent="0.2">
      <c r="A817" s="35"/>
      <c r="B817" s="35"/>
      <c r="C817" s="35"/>
      <c r="D817" s="35"/>
      <c r="E817" s="49"/>
      <c r="F817" s="35"/>
      <c r="I817" s="2"/>
    </row>
    <row r="818" spans="1:9" ht="15.75" customHeight="1" x14ac:dyDescent="0.2">
      <c r="A818" s="35"/>
      <c r="B818" s="35"/>
      <c r="C818" s="35"/>
      <c r="D818" s="35"/>
      <c r="E818" s="49"/>
      <c r="F818" s="35"/>
      <c r="I818" s="2"/>
    </row>
    <row r="819" spans="1:9" ht="15.75" customHeight="1" x14ac:dyDescent="0.2">
      <c r="A819" s="35"/>
      <c r="B819" s="35"/>
      <c r="C819" s="35"/>
      <c r="D819" s="35"/>
      <c r="E819" s="49"/>
      <c r="F819" s="35"/>
      <c r="I819" s="2"/>
    </row>
    <row r="820" spans="1:9" ht="15.75" customHeight="1" x14ac:dyDescent="0.2">
      <c r="A820" s="35"/>
      <c r="B820" s="35"/>
      <c r="C820" s="35"/>
      <c r="D820" s="35"/>
      <c r="E820" s="49"/>
      <c r="F820" s="35"/>
      <c r="I820" s="2"/>
    </row>
    <row r="821" spans="1:9" ht="15.75" customHeight="1" x14ac:dyDescent="0.2">
      <c r="A821" s="35"/>
      <c r="B821" s="35"/>
      <c r="C821" s="35"/>
      <c r="D821" s="35"/>
      <c r="E821" s="49"/>
      <c r="F821" s="35"/>
      <c r="I821" s="2"/>
    </row>
    <row r="822" spans="1:9" ht="15.75" customHeight="1" x14ac:dyDescent="0.2">
      <c r="A822" s="35"/>
      <c r="B822" s="35"/>
      <c r="C822" s="35"/>
      <c r="D822" s="35"/>
      <c r="E822" s="49"/>
      <c r="F822" s="35"/>
      <c r="I822" s="2"/>
    </row>
    <row r="823" spans="1:9" ht="15.75" customHeight="1" x14ac:dyDescent="0.2">
      <c r="A823" s="35"/>
      <c r="B823" s="35"/>
      <c r="C823" s="35"/>
      <c r="D823" s="35"/>
      <c r="E823" s="49"/>
      <c r="F823" s="35"/>
      <c r="I823" s="2"/>
    </row>
    <row r="824" spans="1:9" ht="15.75" customHeight="1" x14ac:dyDescent="0.2">
      <c r="A824" s="35"/>
      <c r="B824" s="35"/>
      <c r="C824" s="35"/>
      <c r="D824" s="35"/>
      <c r="E824" s="49"/>
      <c r="F824" s="35"/>
      <c r="I824" s="2"/>
    </row>
    <row r="825" spans="1:9" ht="15.75" customHeight="1" x14ac:dyDescent="0.2">
      <c r="A825" s="35"/>
      <c r="B825" s="35"/>
      <c r="C825" s="35"/>
      <c r="D825" s="35"/>
      <c r="E825" s="49"/>
      <c r="F825" s="35"/>
      <c r="I825" s="2"/>
    </row>
    <row r="826" spans="1:9" ht="15.75" customHeight="1" x14ac:dyDescent="0.2">
      <c r="A826" s="35"/>
      <c r="B826" s="35"/>
      <c r="C826" s="35"/>
      <c r="D826" s="35"/>
      <c r="E826" s="49"/>
      <c r="F826" s="35"/>
      <c r="I826" s="2"/>
    </row>
    <row r="827" spans="1:9" ht="15.75" customHeight="1" x14ac:dyDescent="0.2">
      <c r="A827" s="35"/>
      <c r="B827" s="35"/>
      <c r="C827" s="35"/>
      <c r="D827" s="35"/>
      <c r="E827" s="49"/>
      <c r="F827" s="35"/>
      <c r="I827" s="2"/>
    </row>
    <row r="828" spans="1:9" ht="15.75" customHeight="1" x14ac:dyDescent="0.2">
      <c r="A828" s="35"/>
      <c r="B828" s="35"/>
      <c r="C828" s="35"/>
      <c r="D828" s="35"/>
      <c r="E828" s="49"/>
      <c r="F828" s="35"/>
      <c r="I828" s="2"/>
    </row>
    <row r="829" spans="1:9" ht="15.75" customHeight="1" x14ac:dyDescent="0.2">
      <c r="A829" s="35"/>
      <c r="B829" s="35"/>
      <c r="C829" s="35"/>
      <c r="D829" s="35"/>
      <c r="E829" s="49"/>
      <c r="F829" s="35"/>
      <c r="I829" s="2"/>
    </row>
    <row r="830" spans="1:9" ht="15.75" customHeight="1" x14ac:dyDescent="0.2">
      <c r="A830" s="35"/>
      <c r="B830" s="35"/>
      <c r="C830" s="35"/>
      <c r="D830" s="35"/>
      <c r="E830" s="49"/>
      <c r="F830" s="35"/>
      <c r="I830" s="2"/>
    </row>
    <row r="831" spans="1:9" ht="15.75" customHeight="1" x14ac:dyDescent="0.2">
      <c r="A831" s="35"/>
      <c r="B831" s="35"/>
      <c r="C831" s="35"/>
      <c r="D831" s="35"/>
      <c r="E831" s="49"/>
      <c r="F831" s="35"/>
      <c r="I831" s="2"/>
    </row>
    <row r="832" spans="1:9" ht="15.75" customHeight="1" x14ac:dyDescent="0.2">
      <c r="A832" s="35"/>
      <c r="B832" s="35"/>
      <c r="C832" s="35"/>
      <c r="D832" s="35"/>
      <c r="E832" s="49"/>
      <c r="F832" s="35"/>
      <c r="I832" s="2"/>
    </row>
    <row r="833" spans="1:9" ht="15.75" customHeight="1" x14ac:dyDescent="0.2">
      <c r="A833" s="35"/>
      <c r="B833" s="35"/>
      <c r="C833" s="35"/>
      <c r="D833" s="35"/>
      <c r="E833" s="49"/>
      <c r="F833" s="35"/>
      <c r="I833" s="2"/>
    </row>
    <row r="834" spans="1:9" ht="15.75" customHeight="1" x14ac:dyDescent="0.2">
      <c r="A834" s="35"/>
      <c r="B834" s="35"/>
      <c r="C834" s="35"/>
      <c r="D834" s="35"/>
      <c r="E834" s="49"/>
      <c r="F834" s="35"/>
      <c r="I834" s="2"/>
    </row>
    <row r="835" spans="1:9" ht="15.75" customHeight="1" x14ac:dyDescent="0.2">
      <c r="A835" s="35"/>
      <c r="B835" s="35"/>
      <c r="C835" s="35"/>
      <c r="D835" s="35"/>
      <c r="E835" s="49"/>
      <c r="F835" s="35"/>
      <c r="I835" s="2"/>
    </row>
    <row r="836" spans="1:9" ht="15.75" customHeight="1" x14ac:dyDescent="0.2">
      <c r="A836" s="35"/>
      <c r="B836" s="35"/>
      <c r="C836" s="35"/>
      <c r="D836" s="35"/>
      <c r="E836" s="49"/>
      <c r="F836" s="35"/>
      <c r="I836" s="2"/>
    </row>
    <row r="837" spans="1:9" ht="15.75" customHeight="1" x14ac:dyDescent="0.2">
      <c r="A837" s="35"/>
      <c r="B837" s="35"/>
      <c r="C837" s="35"/>
      <c r="D837" s="35"/>
      <c r="E837" s="49"/>
      <c r="F837" s="35"/>
      <c r="I837" s="2"/>
    </row>
    <row r="838" spans="1:9" ht="15.75" customHeight="1" x14ac:dyDescent="0.2">
      <c r="A838" s="35"/>
      <c r="B838" s="35"/>
      <c r="C838" s="35"/>
      <c r="D838" s="35"/>
      <c r="E838" s="49"/>
      <c r="F838" s="35"/>
      <c r="I838" s="2"/>
    </row>
    <row r="839" spans="1:9" ht="15.75" customHeight="1" x14ac:dyDescent="0.2">
      <c r="A839" s="35"/>
      <c r="B839" s="35"/>
      <c r="C839" s="35"/>
      <c r="D839" s="35"/>
      <c r="E839" s="49"/>
      <c r="F839" s="35"/>
      <c r="I839" s="2"/>
    </row>
    <row r="840" spans="1:9" ht="15.75" customHeight="1" x14ac:dyDescent="0.2">
      <c r="A840" s="35"/>
      <c r="B840" s="35"/>
      <c r="C840" s="35"/>
      <c r="D840" s="35"/>
      <c r="E840" s="49"/>
      <c r="F840" s="35"/>
      <c r="I840" s="2"/>
    </row>
    <row r="841" spans="1:9" ht="15.75" customHeight="1" x14ac:dyDescent="0.2">
      <c r="A841" s="35"/>
      <c r="B841" s="35"/>
      <c r="C841" s="35"/>
      <c r="D841" s="35"/>
      <c r="E841" s="49"/>
      <c r="F841" s="35"/>
      <c r="I841" s="2"/>
    </row>
    <row r="842" spans="1:9" ht="15.75" customHeight="1" x14ac:dyDescent="0.2">
      <c r="A842" s="35"/>
      <c r="B842" s="35"/>
      <c r="C842" s="35"/>
      <c r="D842" s="35"/>
      <c r="E842" s="49"/>
      <c r="F842" s="35"/>
      <c r="I842" s="2"/>
    </row>
    <row r="843" spans="1:9" ht="15.75" customHeight="1" x14ac:dyDescent="0.2">
      <c r="A843" s="35"/>
      <c r="B843" s="35"/>
      <c r="C843" s="35"/>
      <c r="D843" s="35"/>
      <c r="E843" s="49"/>
      <c r="F843" s="35"/>
      <c r="I843" s="2"/>
    </row>
    <row r="844" spans="1:9" ht="15.75" customHeight="1" x14ac:dyDescent="0.2">
      <c r="A844" s="35"/>
      <c r="B844" s="35"/>
      <c r="C844" s="35"/>
      <c r="D844" s="35"/>
      <c r="E844" s="49"/>
      <c r="F844" s="35"/>
      <c r="I844" s="2"/>
    </row>
    <row r="845" spans="1:9" ht="15.75" customHeight="1" x14ac:dyDescent="0.2">
      <c r="A845" s="35"/>
      <c r="B845" s="35"/>
      <c r="C845" s="35"/>
      <c r="D845" s="35"/>
      <c r="E845" s="49"/>
      <c r="F845" s="35"/>
      <c r="I845" s="2"/>
    </row>
    <row r="846" spans="1:9" ht="15.75" customHeight="1" x14ac:dyDescent="0.2">
      <c r="A846" s="35"/>
      <c r="B846" s="35"/>
      <c r="C846" s="35"/>
      <c r="D846" s="35"/>
      <c r="E846" s="49"/>
      <c r="F846" s="35"/>
      <c r="I846" s="2"/>
    </row>
    <row r="847" spans="1:9" ht="15.75" customHeight="1" x14ac:dyDescent="0.2">
      <c r="A847" s="35"/>
      <c r="B847" s="35"/>
      <c r="C847" s="35"/>
      <c r="D847" s="35"/>
      <c r="E847" s="49"/>
      <c r="F847" s="35"/>
      <c r="I847" s="2"/>
    </row>
    <row r="848" spans="1:9" ht="15.75" customHeight="1" x14ac:dyDescent="0.2">
      <c r="A848" s="35"/>
      <c r="B848" s="35"/>
      <c r="C848" s="35"/>
      <c r="D848" s="35"/>
      <c r="E848" s="49"/>
      <c r="F848" s="35"/>
      <c r="I848" s="2"/>
    </row>
    <row r="849" spans="1:9" ht="15.75" customHeight="1" x14ac:dyDescent="0.2">
      <c r="A849" s="35"/>
      <c r="B849" s="35"/>
      <c r="C849" s="35"/>
      <c r="D849" s="35"/>
      <c r="E849" s="49"/>
      <c r="F849" s="35"/>
      <c r="I849" s="2"/>
    </row>
    <row r="850" spans="1:9" ht="15.75" customHeight="1" x14ac:dyDescent="0.2">
      <c r="A850" s="35"/>
      <c r="B850" s="35"/>
      <c r="C850" s="35"/>
      <c r="D850" s="35"/>
      <c r="E850" s="49"/>
      <c r="F850" s="35"/>
      <c r="I850" s="2"/>
    </row>
    <row r="851" spans="1:9" ht="15.75" customHeight="1" x14ac:dyDescent="0.2">
      <c r="A851" s="35"/>
      <c r="B851" s="35"/>
      <c r="C851" s="35"/>
      <c r="D851" s="35"/>
      <c r="E851" s="49"/>
      <c r="F851" s="35"/>
      <c r="I851" s="2"/>
    </row>
    <row r="852" spans="1:9" ht="15.75" customHeight="1" x14ac:dyDescent="0.2">
      <c r="A852" s="35"/>
      <c r="B852" s="35"/>
      <c r="C852" s="35"/>
      <c r="D852" s="35"/>
      <c r="E852" s="49"/>
      <c r="F852" s="35"/>
      <c r="I852" s="2"/>
    </row>
    <row r="853" spans="1:9" ht="15.75" customHeight="1" x14ac:dyDescent="0.2">
      <c r="A853" s="35"/>
      <c r="B853" s="35"/>
      <c r="C853" s="35"/>
      <c r="D853" s="35"/>
      <c r="E853" s="49"/>
      <c r="F853" s="35"/>
      <c r="I853" s="2"/>
    </row>
    <row r="854" spans="1:9" ht="15.75" customHeight="1" x14ac:dyDescent="0.2">
      <c r="A854" s="35"/>
      <c r="B854" s="35"/>
      <c r="C854" s="35"/>
      <c r="D854" s="35"/>
      <c r="E854" s="49"/>
      <c r="F854" s="35"/>
      <c r="I854" s="2"/>
    </row>
    <row r="855" spans="1:9" ht="15.75" customHeight="1" x14ac:dyDescent="0.2">
      <c r="A855" s="35"/>
      <c r="B855" s="35"/>
      <c r="C855" s="35"/>
      <c r="D855" s="35"/>
      <c r="E855" s="49"/>
      <c r="F855" s="35"/>
      <c r="I855" s="2"/>
    </row>
    <row r="856" spans="1:9" ht="15.75" customHeight="1" x14ac:dyDescent="0.2">
      <c r="A856" s="35"/>
      <c r="B856" s="35"/>
      <c r="C856" s="35"/>
      <c r="D856" s="35"/>
      <c r="E856" s="49"/>
      <c r="F856" s="35"/>
      <c r="I856" s="2"/>
    </row>
    <row r="857" spans="1:9" ht="15.75" customHeight="1" x14ac:dyDescent="0.2">
      <c r="A857" s="35"/>
      <c r="B857" s="35"/>
      <c r="C857" s="35"/>
      <c r="D857" s="35"/>
      <c r="E857" s="49"/>
      <c r="F857" s="35"/>
      <c r="I857" s="2"/>
    </row>
    <row r="858" spans="1:9" ht="15.75" customHeight="1" x14ac:dyDescent="0.2">
      <c r="A858" s="35"/>
      <c r="B858" s="35"/>
      <c r="C858" s="35"/>
      <c r="D858" s="35"/>
      <c r="E858" s="49"/>
      <c r="F858" s="35"/>
      <c r="I858" s="2"/>
    </row>
    <row r="859" spans="1:9" ht="15.75" customHeight="1" x14ac:dyDescent="0.2">
      <c r="A859" s="35"/>
      <c r="B859" s="35"/>
      <c r="C859" s="35"/>
      <c r="D859" s="35"/>
      <c r="E859" s="49"/>
      <c r="F859" s="35"/>
      <c r="I859" s="2"/>
    </row>
    <row r="860" spans="1:9" ht="15.75" customHeight="1" x14ac:dyDescent="0.2">
      <c r="A860" s="35"/>
      <c r="B860" s="35"/>
      <c r="C860" s="35"/>
      <c r="D860" s="35"/>
      <c r="E860" s="49"/>
      <c r="F860" s="35"/>
      <c r="I860" s="2"/>
    </row>
    <row r="861" spans="1:9" ht="15.75" customHeight="1" x14ac:dyDescent="0.2">
      <c r="A861" s="35"/>
      <c r="B861" s="35"/>
      <c r="C861" s="35"/>
      <c r="D861" s="35"/>
      <c r="E861" s="49"/>
      <c r="F861" s="35"/>
      <c r="I861" s="2"/>
    </row>
    <row r="862" spans="1:9" ht="15.75" customHeight="1" x14ac:dyDescent="0.2">
      <c r="A862" s="35"/>
      <c r="B862" s="35"/>
      <c r="C862" s="35"/>
      <c r="D862" s="35"/>
      <c r="E862" s="49"/>
      <c r="F862" s="35"/>
      <c r="I862" s="2"/>
    </row>
    <row r="863" spans="1:9" ht="15.75" customHeight="1" x14ac:dyDescent="0.2">
      <c r="A863" s="35"/>
      <c r="B863" s="35"/>
      <c r="C863" s="35"/>
      <c r="D863" s="35"/>
      <c r="E863" s="49"/>
      <c r="F863" s="35"/>
      <c r="I863" s="2"/>
    </row>
    <row r="864" spans="1:9" ht="15.75" customHeight="1" x14ac:dyDescent="0.2">
      <c r="A864" s="35"/>
      <c r="B864" s="35"/>
      <c r="C864" s="35"/>
      <c r="D864" s="35"/>
      <c r="E864" s="49"/>
      <c r="F864" s="35"/>
      <c r="I864" s="2"/>
    </row>
    <row r="865" spans="1:9" ht="15.75" customHeight="1" x14ac:dyDescent="0.2">
      <c r="A865" s="35"/>
      <c r="B865" s="35"/>
      <c r="C865" s="35"/>
      <c r="D865" s="35"/>
      <c r="E865" s="49"/>
      <c r="F865" s="35"/>
      <c r="I865" s="2"/>
    </row>
    <row r="866" spans="1:9" ht="15.75" customHeight="1" x14ac:dyDescent="0.2">
      <c r="A866" s="35"/>
      <c r="B866" s="35"/>
      <c r="C866" s="35"/>
      <c r="D866" s="35"/>
      <c r="E866" s="49"/>
      <c r="F866" s="35"/>
      <c r="I866" s="2"/>
    </row>
    <row r="867" spans="1:9" ht="15.75" customHeight="1" x14ac:dyDescent="0.2">
      <c r="A867" s="35"/>
      <c r="B867" s="35"/>
      <c r="C867" s="35"/>
      <c r="D867" s="35"/>
      <c r="E867" s="49"/>
      <c r="F867" s="35"/>
      <c r="I867" s="2"/>
    </row>
    <row r="868" spans="1:9" ht="15.75" customHeight="1" x14ac:dyDescent="0.2">
      <c r="A868" s="35"/>
      <c r="B868" s="35"/>
      <c r="C868" s="35"/>
      <c r="D868" s="35"/>
      <c r="E868" s="49"/>
      <c r="F868" s="35"/>
      <c r="I868" s="2"/>
    </row>
    <row r="869" spans="1:9" ht="15.75" customHeight="1" x14ac:dyDescent="0.2">
      <c r="A869" s="35"/>
      <c r="B869" s="35"/>
      <c r="C869" s="35"/>
      <c r="D869" s="35"/>
      <c r="E869" s="49"/>
      <c r="F869" s="35"/>
      <c r="I869" s="2"/>
    </row>
    <row r="870" spans="1:9" ht="15.75" customHeight="1" x14ac:dyDescent="0.2">
      <c r="A870" s="35"/>
      <c r="B870" s="35"/>
      <c r="C870" s="35"/>
      <c r="D870" s="35"/>
      <c r="E870" s="49"/>
      <c r="F870" s="35"/>
      <c r="I870" s="2"/>
    </row>
    <row r="871" spans="1:9" ht="15.75" customHeight="1" x14ac:dyDescent="0.2">
      <c r="A871" s="35"/>
      <c r="B871" s="35"/>
      <c r="C871" s="35"/>
      <c r="D871" s="35"/>
      <c r="E871" s="49"/>
      <c r="F871" s="35"/>
      <c r="I871" s="2"/>
    </row>
    <row r="872" spans="1:9" ht="15.75" customHeight="1" x14ac:dyDescent="0.2">
      <c r="A872" s="35"/>
      <c r="B872" s="35"/>
      <c r="C872" s="35"/>
      <c r="D872" s="35"/>
      <c r="E872" s="49"/>
      <c r="F872" s="35"/>
      <c r="I872" s="2"/>
    </row>
    <row r="873" spans="1:9" ht="15.75" customHeight="1" x14ac:dyDescent="0.2">
      <c r="A873" s="35"/>
      <c r="B873" s="35"/>
      <c r="C873" s="35"/>
      <c r="D873" s="35"/>
      <c r="E873" s="49"/>
      <c r="F873" s="35"/>
      <c r="I873" s="2"/>
    </row>
    <row r="874" spans="1:9" ht="15.75" customHeight="1" x14ac:dyDescent="0.2">
      <c r="A874" s="35"/>
      <c r="B874" s="35"/>
      <c r="C874" s="35"/>
      <c r="D874" s="35"/>
      <c r="E874" s="49"/>
      <c r="F874" s="35"/>
      <c r="I874" s="2"/>
    </row>
    <row r="875" spans="1:9" ht="15.75" customHeight="1" x14ac:dyDescent="0.2">
      <c r="A875" s="35"/>
      <c r="B875" s="35"/>
      <c r="C875" s="35"/>
      <c r="D875" s="35"/>
      <c r="E875" s="49"/>
      <c r="F875" s="35"/>
      <c r="I875" s="2"/>
    </row>
    <row r="876" spans="1:9" ht="15.75" customHeight="1" x14ac:dyDescent="0.2">
      <c r="A876" s="35"/>
      <c r="B876" s="35"/>
      <c r="C876" s="35"/>
      <c r="D876" s="35"/>
      <c r="E876" s="49"/>
      <c r="F876" s="35"/>
      <c r="I876" s="2"/>
    </row>
    <row r="877" spans="1:9" ht="15.75" customHeight="1" x14ac:dyDescent="0.2">
      <c r="A877" s="35"/>
      <c r="B877" s="35"/>
      <c r="C877" s="35"/>
      <c r="D877" s="35"/>
      <c r="E877" s="49"/>
      <c r="F877" s="35"/>
      <c r="I877" s="2"/>
    </row>
    <row r="878" spans="1:9" ht="15.75" customHeight="1" x14ac:dyDescent="0.2">
      <c r="A878" s="35"/>
      <c r="B878" s="35"/>
      <c r="C878" s="35"/>
      <c r="D878" s="35"/>
      <c r="E878" s="49"/>
      <c r="F878" s="35"/>
      <c r="I878" s="2"/>
    </row>
    <row r="879" spans="1:9" ht="15.75" customHeight="1" x14ac:dyDescent="0.2">
      <c r="A879" s="35"/>
      <c r="B879" s="35"/>
      <c r="C879" s="35"/>
      <c r="D879" s="35"/>
      <c r="E879" s="49"/>
      <c r="F879" s="35"/>
      <c r="I879" s="2"/>
    </row>
    <row r="880" spans="1:9" ht="15.75" customHeight="1" x14ac:dyDescent="0.2">
      <c r="A880" s="35"/>
      <c r="B880" s="35"/>
      <c r="C880" s="35"/>
      <c r="D880" s="35"/>
      <c r="E880" s="49"/>
      <c r="F880" s="35"/>
      <c r="I880" s="2"/>
    </row>
    <row r="881" spans="1:9" ht="15.75" customHeight="1" x14ac:dyDescent="0.2">
      <c r="A881" s="35"/>
      <c r="B881" s="35"/>
      <c r="C881" s="35"/>
      <c r="D881" s="35"/>
      <c r="E881" s="49"/>
      <c r="F881" s="35"/>
      <c r="I881" s="2"/>
    </row>
    <row r="882" spans="1:9" ht="15.75" customHeight="1" x14ac:dyDescent="0.2">
      <c r="A882" s="35"/>
      <c r="B882" s="35"/>
      <c r="C882" s="35"/>
      <c r="D882" s="35"/>
      <c r="E882" s="49"/>
      <c r="F882" s="35"/>
      <c r="I882" s="2"/>
    </row>
    <row r="883" spans="1:9" ht="15.75" customHeight="1" x14ac:dyDescent="0.2">
      <c r="A883" s="35"/>
      <c r="B883" s="35"/>
      <c r="C883" s="35"/>
      <c r="D883" s="35"/>
      <c r="E883" s="49"/>
      <c r="F883" s="35"/>
      <c r="I883" s="2"/>
    </row>
    <row r="884" spans="1:9" ht="15.75" customHeight="1" x14ac:dyDescent="0.2">
      <c r="A884" s="35"/>
      <c r="B884" s="35"/>
      <c r="C884" s="35"/>
      <c r="D884" s="35"/>
      <c r="E884" s="49"/>
      <c r="F884" s="35"/>
      <c r="I884" s="2"/>
    </row>
    <row r="885" spans="1:9" ht="15.75" customHeight="1" x14ac:dyDescent="0.2">
      <c r="A885" s="35"/>
      <c r="B885" s="35"/>
      <c r="C885" s="35"/>
      <c r="D885" s="35"/>
      <c r="E885" s="49"/>
      <c r="F885" s="35"/>
      <c r="I885" s="2"/>
    </row>
    <row r="886" spans="1:9" ht="15.75" customHeight="1" x14ac:dyDescent="0.2">
      <c r="A886" s="35"/>
      <c r="B886" s="35"/>
      <c r="C886" s="35"/>
      <c r="D886" s="35"/>
      <c r="E886" s="49"/>
      <c r="F886" s="35"/>
      <c r="I886" s="2"/>
    </row>
    <row r="887" spans="1:9" ht="15.75" customHeight="1" x14ac:dyDescent="0.2">
      <c r="A887" s="35"/>
      <c r="B887" s="35"/>
      <c r="C887" s="35"/>
      <c r="D887" s="35"/>
      <c r="E887" s="49"/>
      <c r="F887" s="35"/>
      <c r="I887" s="2"/>
    </row>
    <row r="888" spans="1:9" ht="15.75" customHeight="1" x14ac:dyDescent="0.2">
      <c r="A888" s="35"/>
      <c r="B888" s="35"/>
      <c r="C888" s="35"/>
      <c r="D888" s="35"/>
      <c r="E888" s="49"/>
      <c r="F888" s="35"/>
      <c r="I888" s="2"/>
    </row>
    <row r="889" spans="1:9" ht="15.75" customHeight="1" x14ac:dyDescent="0.2">
      <c r="A889" s="35"/>
      <c r="B889" s="35"/>
      <c r="C889" s="35"/>
      <c r="D889" s="35"/>
      <c r="E889" s="49"/>
      <c r="F889" s="35"/>
      <c r="I889" s="2"/>
    </row>
    <row r="890" spans="1:9" ht="15.75" customHeight="1" x14ac:dyDescent="0.2">
      <c r="A890" s="35"/>
      <c r="B890" s="35"/>
      <c r="C890" s="35"/>
      <c r="D890" s="35"/>
      <c r="E890" s="49"/>
      <c r="F890" s="35"/>
      <c r="I890" s="2"/>
    </row>
    <row r="891" spans="1:9" ht="15.75" customHeight="1" x14ac:dyDescent="0.2">
      <c r="A891" s="35"/>
      <c r="B891" s="35"/>
      <c r="C891" s="35"/>
      <c r="D891" s="35"/>
      <c r="E891" s="49"/>
      <c r="F891" s="35"/>
      <c r="I891" s="2"/>
    </row>
    <row r="892" spans="1:9" ht="15.75" customHeight="1" x14ac:dyDescent="0.2">
      <c r="A892" s="35"/>
      <c r="B892" s="35"/>
      <c r="C892" s="35"/>
      <c r="D892" s="35"/>
      <c r="E892" s="49"/>
      <c r="F892" s="35"/>
      <c r="I892" s="2"/>
    </row>
    <row r="893" spans="1:9" ht="15.75" customHeight="1" x14ac:dyDescent="0.2">
      <c r="A893" s="35"/>
      <c r="B893" s="35"/>
      <c r="C893" s="35"/>
      <c r="D893" s="35"/>
      <c r="E893" s="49"/>
      <c r="F893" s="35"/>
      <c r="I893" s="2"/>
    </row>
    <row r="894" spans="1:9" ht="15.75" customHeight="1" x14ac:dyDescent="0.2">
      <c r="A894" s="35"/>
      <c r="B894" s="35"/>
      <c r="C894" s="35"/>
      <c r="D894" s="35"/>
      <c r="E894" s="49"/>
      <c r="F894" s="35"/>
      <c r="I894" s="2"/>
    </row>
    <row r="895" spans="1:9" ht="15.75" customHeight="1" x14ac:dyDescent="0.2">
      <c r="A895" s="35"/>
      <c r="B895" s="35"/>
      <c r="C895" s="35"/>
      <c r="D895" s="35"/>
      <c r="E895" s="49"/>
      <c r="F895" s="35"/>
      <c r="I895" s="2"/>
    </row>
    <row r="896" spans="1:9" ht="15.75" customHeight="1" x14ac:dyDescent="0.2">
      <c r="A896" s="35"/>
      <c r="B896" s="35"/>
      <c r="C896" s="35"/>
      <c r="D896" s="35"/>
      <c r="E896" s="49"/>
      <c r="F896" s="35"/>
      <c r="I896" s="2"/>
    </row>
    <row r="897" spans="1:9" ht="15.75" customHeight="1" x14ac:dyDescent="0.2">
      <c r="A897" s="35"/>
      <c r="B897" s="35"/>
      <c r="C897" s="35"/>
      <c r="D897" s="35"/>
      <c r="E897" s="49"/>
      <c r="F897" s="35"/>
      <c r="I897" s="2"/>
    </row>
    <row r="898" spans="1:9" ht="15.75" customHeight="1" x14ac:dyDescent="0.2">
      <c r="A898" s="35"/>
      <c r="B898" s="35"/>
      <c r="C898" s="35"/>
      <c r="D898" s="35"/>
      <c r="E898" s="49"/>
      <c r="F898" s="35"/>
      <c r="I898" s="2"/>
    </row>
    <row r="899" spans="1:9" ht="15.75" customHeight="1" x14ac:dyDescent="0.2">
      <c r="A899" s="35"/>
      <c r="B899" s="35"/>
      <c r="C899" s="35"/>
      <c r="D899" s="35"/>
      <c r="E899" s="49"/>
      <c r="F899" s="35"/>
      <c r="I899" s="2"/>
    </row>
    <row r="900" spans="1:9" ht="15.75" customHeight="1" x14ac:dyDescent="0.2">
      <c r="A900" s="35"/>
      <c r="B900" s="35"/>
      <c r="C900" s="35"/>
      <c r="D900" s="35"/>
      <c r="E900" s="49"/>
      <c r="F900" s="35"/>
      <c r="I900" s="2"/>
    </row>
    <row r="901" spans="1:9" ht="15.75" customHeight="1" x14ac:dyDescent="0.2">
      <c r="A901" s="35"/>
      <c r="B901" s="35"/>
      <c r="C901" s="35"/>
      <c r="D901" s="35"/>
      <c r="E901" s="49"/>
      <c r="F901" s="35"/>
      <c r="I901" s="2"/>
    </row>
    <row r="902" spans="1:9" ht="15.75" customHeight="1" x14ac:dyDescent="0.2">
      <c r="A902" s="35"/>
      <c r="B902" s="35"/>
      <c r="C902" s="35"/>
      <c r="D902" s="35"/>
      <c r="E902" s="49"/>
      <c r="F902" s="35"/>
      <c r="I902" s="2"/>
    </row>
    <row r="903" spans="1:9" ht="15.75" customHeight="1" x14ac:dyDescent="0.2">
      <c r="A903" s="35"/>
      <c r="B903" s="35"/>
      <c r="C903" s="35"/>
      <c r="D903" s="35"/>
      <c r="E903" s="49"/>
      <c r="F903" s="35"/>
      <c r="I903" s="2"/>
    </row>
    <row r="904" spans="1:9" ht="15.75" customHeight="1" x14ac:dyDescent="0.2">
      <c r="A904" s="35"/>
      <c r="B904" s="35"/>
      <c r="C904" s="35"/>
      <c r="D904" s="35"/>
      <c r="E904" s="49"/>
      <c r="F904" s="35"/>
      <c r="I904" s="2"/>
    </row>
    <row r="905" spans="1:9" ht="15.75" customHeight="1" x14ac:dyDescent="0.2">
      <c r="A905" s="35"/>
      <c r="B905" s="35"/>
      <c r="C905" s="35"/>
      <c r="D905" s="35"/>
      <c r="E905" s="49"/>
      <c r="F905" s="35"/>
      <c r="I905" s="2"/>
    </row>
    <row r="906" spans="1:9" ht="15.75" customHeight="1" x14ac:dyDescent="0.2">
      <c r="A906" s="35"/>
      <c r="B906" s="35"/>
      <c r="C906" s="35"/>
      <c r="D906" s="35"/>
      <c r="E906" s="49"/>
      <c r="F906" s="35"/>
      <c r="I906" s="2"/>
    </row>
    <row r="907" spans="1:9" ht="15.75" customHeight="1" x14ac:dyDescent="0.2">
      <c r="A907" s="35"/>
      <c r="B907" s="35"/>
      <c r="C907" s="35"/>
      <c r="D907" s="35"/>
      <c r="E907" s="49"/>
      <c r="F907" s="35"/>
      <c r="I907" s="2"/>
    </row>
    <row r="908" spans="1:9" ht="15.75" customHeight="1" x14ac:dyDescent="0.2">
      <c r="A908" s="35"/>
      <c r="B908" s="35"/>
      <c r="C908" s="35"/>
      <c r="D908" s="35"/>
      <c r="E908" s="49"/>
      <c r="F908" s="35"/>
      <c r="I908" s="2"/>
    </row>
    <row r="909" spans="1:9" ht="15.75" customHeight="1" x14ac:dyDescent="0.2">
      <c r="A909" s="35"/>
      <c r="B909" s="35"/>
      <c r="C909" s="35"/>
      <c r="D909" s="35"/>
      <c r="E909" s="49"/>
      <c r="F909" s="35"/>
      <c r="I909" s="2"/>
    </row>
    <row r="910" spans="1:9" ht="15.75" customHeight="1" x14ac:dyDescent="0.2">
      <c r="A910" s="35"/>
      <c r="B910" s="35"/>
      <c r="C910" s="35"/>
      <c r="D910" s="35"/>
      <c r="E910" s="49"/>
      <c r="F910" s="35"/>
      <c r="I910" s="2"/>
    </row>
    <row r="911" spans="1:9" ht="15.75" customHeight="1" x14ac:dyDescent="0.2">
      <c r="A911" s="35"/>
      <c r="B911" s="35"/>
      <c r="C911" s="35"/>
      <c r="D911" s="35"/>
      <c r="E911" s="49"/>
      <c r="F911" s="35"/>
      <c r="I911" s="2"/>
    </row>
    <row r="912" spans="1:9" ht="15.75" customHeight="1" x14ac:dyDescent="0.2">
      <c r="A912" s="35"/>
      <c r="B912" s="35"/>
      <c r="C912" s="35"/>
      <c r="D912" s="35"/>
      <c r="E912" s="49"/>
      <c r="F912" s="35"/>
      <c r="I912" s="2"/>
    </row>
    <row r="913" spans="1:9" ht="15.75" customHeight="1" x14ac:dyDescent="0.2">
      <c r="A913" s="35"/>
      <c r="B913" s="35"/>
      <c r="C913" s="35"/>
      <c r="D913" s="35"/>
      <c r="E913" s="49"/>
      <c r="F913" s="35"/>
      <c r="I913" s="2"/>
    </row>
    <row r="914" spans="1:9" ht="15.75" customHeight="1" x14ac:dyDescent="0.2">
      <c r="A914" s="35"/>
      <c r="B914" s="35"/>
      <c r="C914" s="35"/>
      <c r="D914" s="35"/>
      <c r="E914" s="49"/>
      <c r="F914" s="35"/>
      <c r="I914" s="2"/>
    </row>
    <row r="915" spans="1:9" ht="15.75" customHeight="1" x14ac:dyDescent="0.2">
      <c r="A915" s="35"/>
      <c r="B915" s="35"/>
      <c r="C915" s="35"/>
      <c r="D915" s="35"/>
      <c r="E915" s="49"/>
      <c r="F915" s="35"/>
      <c r="I915" s="2"/>
    </row>
    <row r="916" spans="1:9" ht="15.75" customHeight="1" x14ac:dyDescent="0.2">
      <c r="A916" s="35"/>
      <c r="B916" s="35"/>
      <c r="C916" s="35"/>
      <c r="D916" s="35"/>
      <c r="E916" s="49"/>
      <c r="F916" s="35"/>
      <c r="I916" s="2"/>
    </row>
    <row r="917" spans="1:9" ht="15.75" customHeight="1" x14ac:dyDescent="0.2">
      <c r="A917" s="35"/>
      <c r="B917" s="35"/>
      <c r="C917" s="35"/>
      <c r="D917" s="35"/>
      <c r="E917" s="49"/>
      <c r="F917" s="35"/>
      <c r="I917" s="2"/>
    </row>
    <row r="918" spans="1:9" ht="15.75" customHeight="1" x14ac:dyDescent="0.2">
      <c r="A918" s="35"/>
      <c r="B918" s="35"/>
      <c r="C918" s="35"/>
      <c r="D918" s="35"/>
      <c r="E918" s="49"/>
      <c r="F918" s="35"/>
      <c r="I918" s="2"/>
    </row>
    <row r="919" spans="1:9" ht="15.75" customHeight="1" x14ac:dyDescent="0.2">
      <c r="A919" s="35"/>
      <c r="B919" s="35"/>
      <c r="C919" s="35"/>
      <c r="D919" s="35"/>
      <c r="E919" s="49"/>
      <c r="F919" s="35"/>
      <c r="I919" s="2"/>
    </row>
    <row r="920" spans="1:9" ht="15.75" customHeight="1" x14ac:dyDescent="0.2">
      <c r="A920" s="35"/>
      <c r="B920" s="35"/>
      <c r="C920" s="35"/>
      <c r="D920" s="35"/>
      <c r="E920" s="49"/>
      <c r="F920" s="35"/>
      <c r="I920" s="2"/>
    </row>
    <row r="921" spans="1:9" ht="15.75" customHeight="1" x14ac:dyDescent="0.2">
      <c r="A921" s="35"/>
      <c r="B921" s="35"/>
      <c r="C921" s="35"/>
      <c r="D921" s="35"/>
      <c r="E921" s="49"/>
      <c r="F921" s="35"/>
      <c r="I921" s="2"/>
    </row>
    <row r="922" spans="1:9" ht="15.75" customHeight="1" x14ac:dyDescent="0.2">
      <c r="A922" s="35"/>
      <c r="B922" s="35"/>
      <c r="C922" s="35"/>
      <c r="D922" s="35"/>
      <c r="E922" s="49"/>
      <c r="F922" s="35"/>
      <c r="I922" s="2"/>
    </row>
    <row r="923" spans="1:9" ht="15.75" customHeight="1" x14ac:dyDescent="0.2">
      <c r="A923" s="35"/>
      <c r="B923" s="35"/>
      <c r="C923" s="35"/>
      <c r="D923" s="35"/>
      <c r="E923" s="49"/>
      <c r="F923" s="35"/>
      <c r="I923" s="2"/>
    </row>
    <row r="924" spans="1:9" ht="15.75" customHeight="1" x14ac:dyDescent="0.2">
      <c r="A924" s="35"/>
      <c r="B924" s="35"/>
      <c r="C924" s="35"/>
      <c r="D924" s="35"/>
      <c r="E924" s="49"/>
      <c r="F924" s="35"/>
      <c r="I924" s="2"/>
    </row>
    <row r="925" spans="1:9" ht="15.75" customHeight="1" x14ac:dyDescent="0.2">
      <c r="A925" s="35"/>
      <c r="B925" s="35"/>
      <c r="C925" s="35"/>
      <c r="D925" s="35"/>
      <c r="E925" s="49"/>
      <c r="F925" s="35"/>
      <c r="I925" s="2"/>
    </row>
    <row r="926" spans="1:9" ht="15.75" customHeight="1" x14ac:dyDescent="0.2">
      <c r="A926" s="35"/>
      <c r="B926" s="35"/>
      <c r="C926" s="35"/>
      <c r="D926" s="35"/>
      <c r="E926" s="49"/>
      <c r="F926" s="35"/>
      <c r="I926" s="2"/>
    </row>
    <row r="927" spans="1:9" ht="15.75" customHeight="1" x14ac:dyDescent="0.2">
      <c r="A927" s="35"/>
      <c r="B927" s="35"/>
      <c r="C927" s="35"/>
      <c r="D927" s="35"/>
      <c r="E927" s="49"/>
      <c r="F927" s="35"/>
      <c r="I927" s="2"/>
    </row>
    <row r="928" spans="1:9" ht="15.75" customHeight="1" x14ac:dyDescent="0.2">
      <c r="A928" s="35"/>
      <c r="B928" s="35"/>
      <c r="C928" s="35"/>
      <c r="D928" s="35"/>
      <c r="E928" s="49"/>
      <c r="F928" s="35"/>
      <c r="I928" s="2"/>
    </row>
    <row r="929" spans="1:9" ht="15.75" customHeight="1" x14ac:dyDescent="0.2">
      <c r="A929" s="35"/>
      <c r="B929" s="35"/>
      <c r="C929" s="35"/>
      <c r="D929" s="35"/>
      <c r="E929" s="49"/>
      <c r="F929" s="35"/>
      <c r="I929" s="2"/>
    </row>
    <row r="930" spans="1:9" ht="15.75" customHeight="1" x14ac:dyDescent="0.2">
      <c r="A930" s="35"/>
      <c r="B930" s="35"/>
      <c r="C930" s="35"/>
      <c r="D930" s="35"/>
      <c r="E930" s="49"/>
      <c r="F930" s="35"/>
      <c r="I930" s="2"/>
    </row>
    <row r="931" spans="1:9" ht="15.75" customHeight="1" x14ac:dyDescent="0.2">
      <c r="A931" s="35"/>
      <c r="B931" s="35"/>
      <c r="C931" s="35"/>
      <c r="D931" s="35"/>
      <c r="E931" s="49"/>
      <c r="F931" s="35"/>
      <c r="I931" s="2"/>
    </row>
    <row r="932" spans="1:9" ht="15.75" customHeight="1" x14ac:dyDescent="0.2">
      <c r="A932" s="35"/>
      <c r="B932" s="35"/>
      <c r="C932" s="35"/>
      <c r="D932" s="35"/>
      <c r="E932" s="49"/>
      <c r="F932" s="35"/>
      <c r="I932" s="2"/>
    </row>
    <row r="933" spans="1:9" ht="15.75" customHeight="1" x14ac:dyDescent="0.2">
      <c r="A933" s="35"/>
      <c r="B933" s="35"/>
      <c r="C933" s="35"/>
      <c r="D933" s="35"/>
      <c r="E933" s="49"/>
      <c r="F933" s="35"/>
      <c r="I933" s="2"/>
    </row>
    <row r="934" spans="1:9" ht="15.75" customHeight="1" x14ac:dyDescent="0.2">
      <c r="A934" s="35"/>
      <c r="B934" s="35"/>
      <c r="C934" s="35"/>
      <c r="D934" s="35"/>
      <c r="E934" s="49"/>
      <c r="F934" s="35"/>
      <c r="I934" s="2"/>
    </row>
    <row r="935" spans="1:9" ht="15.75" customHeight="1" x14ac:dyDescent="0.2">
      <c r="A935" s="35"/>
      <c r="B935" s="35"/>
      <c r="C935" s="35"/>
      <c r="D935" s="35"/>
      <c r="E935" s="49"/>
      <c r="F935" s="35"/>
      <c r="I935" s="2"/>
    </row>
    <row r="936" spans="1:9" ht="15.75" customHeight="1" x14ac:dyDescent="0.2">
      <c r="A936" s="35"/>
      <c r="B936" s="35"/>
      <c r="C936" s="35"/>
      <c r="D936" s="35"/>
      <c r="E936" s="49"/>
      <c r="F936" s="35"/>
      <c r="I936" s="2"/>
    </row>
    <row r="937" spans="1:9" ht="15.75" customHeight="1" x14ac:dyDescent="0.2">
      <c r="A937" s="35"/>
      <c r="B937" s="35"/>
      <c r="C937" s="35"/>
      <c r="D937" s="35"/>
      <c r="E937" s="49"/>
      <c r="F937" s="35"/>
      <c r="I937" s="2"/>
    </row>
    <row r="938" spans="1:9" ht="15.75" customHeight="1" x14ac:dyDescent="0.2">
      <c r="A938" s="35"/>
      <c r="B938" s="35"/>
      <c r="C938" s="35"/>
      <c r="D938" s="35"/>
      <c r="E938" s="49"/>
      <c r="F938" s="35"/>
      <c r="I938" s="2"/>
    </row>
    <row r="939" spans="1:9" ht="15.75" customHeight="1" x14ac:dyDescent="0.2">
      <c r="A939" s="35"/>
      <c r="B939" s="35"/>
      <c r="C939" s="35"/>
      <c r="D939" s="35"/>
      <c r="E939" s="49"/>
      <c r="F939" s="35"/>
      <c r="I939" s="2"/>
    </row>
    <row r="940" spans="1:9" ht="15.75" customHeight="1" x14ac:dyDescent="0.2">
      <c r="A940" s="35"/>
      <c r="B940" s="35"/>
      <c r="C940" s="35"/>
      <c r="D940" s="35"/>
      <c r="E940" s="49"/>
      <c r="F940" s="35"/>
      <c r="I940" s="2"/>
    </row>
    <row r="941" spans="1:9" ht="15.75" customHeight="1" x14ac:dyDescent="0.2">
      <c r="A941" s="35"/>
      <c r="B941" s="35"/>
      <c r="C941" s="35"/>
      <c r="D941" s="35"/>
      <c r="E941" s="49"/>
      <c r="F941" s="35"/>
      <c r="I941" s="2"/>
    </row>
    <row r="942" spans="1:9" ht="15.75" customHeight="1" x14ac:dyDescent="0.2">
      <c r="A942" s="35"/>
      <c r="B942" s="35"/>
      <c r="C942" s="35"/>
      <c r="D942" s="35"/>
      <c r="E942" s="49"/>
      <c r="F942" s="35"/>
      <c r="I942" s="2"/>
    </row>
    <row r="943" spans="1:9" ht="15.75" customHeight="1" x14ac:dyDescent="0.2">
      <c r="A943" s="35"/>
      <c r="B943" s="35"/>
      <c r="C943" s="35"/>
      <c r="D943" s="35"/>
      <c r="E943" s="49"/>
      <c r="F943" s="35"/>
      <c r="I943" s="2"/>
    </row>
    <row r="944" spans="1:9" ht="15.75" customHeight="1" x14ac:dyDescent="0.2">
      <c r="A944" s="35"/>
      <c r="B944" s="35"/>
      <c r="C944" s="35"/>
      <c r="D944" s="35"/>
      <c r="E944" s="49"/>
      <c r="F944" s="35"/>
      <c r="I944" s="2"/>
    </row>
    <row r="945" spans="1:9" ht="15.75" customHeight="1" x14ac:dyDescent="0.2">
      <c r="A945" s="35"/>
      <c r="B945" s="35"/>
      <c r="C945" s="35"/>
      <c r="D945" s="35"/>
      <c r="E945" s="49"/>
      <c r="F945" s="35"/>
      <c r="I945" s="2"/>
    </row>
    <row r="946" spans="1:9" ht="15.75" customHeight="1" x14ac:dyDescent="0.2">
      <c r="A946" s="35"/>
      <c r="B946" s="35"/>
      <c r="C946" s="35"/>
      <c r="D946" s="35"/>
      <c r="E946" s="49"/>
      <c r="F946" s="35"/>
      <c r="I946" s="2"/>
    </row>
    <row r="947" spans="1:9" ht="15.75" customHeight="1" x14ac:dyDescent="0.2">
      <c r="A947" s="35"/>
      <c r="B947" s="35"/>
      <c r="C947" s="35"/>
      <c r="D947" s="35"/>
      <c r="E947" s="49"/>
      <c r="F947" s="35"/>
      <c r="I947" s="2"/>
    </row>
    <row r="948" spans="1:9" ht="15.75" customHeight="1" x14ac:dyDescent="0.2">
      <c r="A948" s="35"/>
      <c r="B948" s="35"/>
      <c r="C948" s="35"/>
      <c r="D948" s="35"/>
      <c r="E948" s="49"/>
      <c r="F948" s="35"/>
      <c r="I948" s="2"/>
    </row>
    <row r="949" spans="1:9" ht="15.75" customHeight="1" x14ac:dyDescent="0.2">
      <c r="A949" s="35"/>
      <c r="B949" s="35"/>
      <c r="C949" s="35"/>
      <c r="D949" s="35"/>
      <c r="E949" s="49"/>
      <c r="F949" s="35"/>
      <c r="I949" s="2"/>
    </row>
    <row r="950" spans="1:9" ht="15.75" customHeight="1" x14ac:dyDescent="0.2">
      <c r="A950" s="35"/>
      <c r="B950" s="35"/>
      <c r="C950" s="35"/>
      <c r="D950" s="35"/>
      <c r="E950" s="49"/>
      <c r="F950" s="35"/>
      <c r="I950" s="2"/>
    </row>
    <row r="951" spans="1:9" ht="15.75" customHeight="1" x14ac:dyDescent="0.2">
      <c r="A951" s="35"/>
      <c r="B951" s="35"/>
      <c r="C951" s="35"/>
      <c r="D951" s="35"/>
      <c r="E951" s="49"/>
      <c r="F951" s="35"/>
      <c r="I951" s="2"/>
    </row>
    <row r="952" spans="1:9" ht="15.75" customHeight="1" x14ac:dyDescent="0.2">
      <c r="A952" s="35"/>
      <c r="B952" s="35"/>
      <c r="C952" s="35"/>
      <c r="D952" s="35"/>
      <c r="E952" s="49"/>
      <c r="F952" s="35"/>
      <c r="I952" s="2"/>
    </row>
    <row r="953" spans="1:9" ht="15.75" customHeight="1" x14ac:dyDescent="0.2">
      <c r="A953" s="35"/>
      <c r="B953" s="35"/>
      <c r="C953" s="35"/>
      <c r="D953" s="35"/>
      <c r="E953" s="49"/>
      <c r="F953" s="35"/>
      <c r="I953" s="2"/>
    </row>
    <row r="954" spans="1:9" ht="15.75" customHeight="1" x14ac:dyDescent="0.2">
      <c r="A954" s="35"/>
      <c r="B954" s="35"/>
      <c r="C954" s="35"/>
      <c r="D954" s="35"/>
      <c r="E954" s="49"/>
      <c r="F954" s="35"/>
      <c r="I954" s="2"/>
    </row>
    <row r="955" spans="1:9" ht="15.75" customHeight="1" x14ac:dyDescent="0.2">
      <c r="A955" s="35"/>
      <c r="B955" s="35"/>
      <c r="C955" s="35"/>
      <c r="D955" s="35"/>
      <c r="E955" s="49"/>
      <c r="F955" s="35"/>
      <c r="I955" s="2"/>
    </row>
    <row r="956" spans="1:9" ht="15.75" customHeight="1" x14ac:dyDescent="0.2">
      <c r="A956" s="35"/>
      <c r="B956" s="35"/>
      <c r="C956" s="35"/>
      <c r="D956" s="35"/>
      <c r="E956" s="49"/>
      <c r="F956" s="35"/>
      <c r="I956" s="2"/>
    </row>
    <row r="957" spans="1:9" ht="15.75" customHeight="1" x14ac:dyDescent="0.2">
      <c r="A957" s="35"/>
      <c r="B957" s="35"/>
      <c r="C957" s="35"/>
      <c r="D957" s="35"/>
      <c r="E957" s="49"/>
      <c r="F957" s="35"/>
      <c r="I957" s="2"/>
    </row>
    <row r="958" spans="1:9" ht="15.75" customHeight="1" x14ac:dyDescent="0.2">
      <c r="A958" s="35"/>
      <c r="B958" s="35"/>
      <c r="C958" s="35"/>
      <c r="D958" s="35"/>
      <c r="E958" s="49"/>
      <c r="F958" s="35"/>
      <c r="I958" s="2"/>
    </row>
    <row r="959" spans="1:9" ht="15.75" customHeight="1" x14ac:dyDescent="0.2">
      <c r="A959" s="35"/>
      <c r="B959" s="35"/>
      <c r="C959" s="35"/>
      <c r="D959" s="35"/>
      <c r="E959" s="49"/>
      <c r="F959" s="35"/>
      <c r="I959" s="2"/>
    </row>
    <row r="960" spans="1:9" ht="15.75" customHeight="1" x14ac:dyDescent="0.2">
      <c r="A960" s="35"/>
      <c r="B960" s="35"/>
      <c r="C960" s="35"/>
      <c r="D960" s="35"/>
      <c r="E960" s="49"/>
      <c r="F960" s="35"/>
      <c r="I960" s="2"/>
    </row>
    <row r="961" spans="1:9" ht="15.75" customHeight="1" x14ac:dyDescent="0.2">
      <c r="A961" s="35"/>
      <c r="B961" s="35"/>
      <c r="C961" s="35"/>
      <c r="D961" s="35"/>
      <c r="E961" s="49"/>
      <c r="F961" s="35"/>
      <c r="I961" s="2"/>
    </row>
    <row r="962" spans="1:9" ht="15.75" customHeight="1" x14ac:dyDescent="0.2">
      <c r="A962" s="35"/>
      <c r="B962" s="35"/>
      <c r="C962" s="35"/>
      <c r="D962" s="35"/>
      <c r="E962" s="49"/>
      <c r="F962" s="35"/>
      <c r="I962" s="2"/>
    </row>
    <row r="963" spans="1:9" ht="15.75" customHeight="1" x14ac:dyDescent="0.2">
      <c r="A963" s="35"/>
      <c r="B963" s="35"/>
      <c r="C963" s="35"/>
      <c r="D963" s="35"/>
      <c r="E963" s="49"/>
      <c r="F963" s="35"/>
      <c r="I963" s="2"/>
    </row>
    <row r="964" spans="1:9" ht="15.75" customHeight="1" x14ac:dyDescent="0.2">
      <c r="A964" s="35"/>
      <c r="B964" s="35"/>
      <c r="C964" s="35"/>
      <c r="D964" s="35"/>
      <c r="E964" s="49"/>
      <c r="F964" s="35"/>
      <c r="I964" s="2"/>
    </row>
    <row r="965" spans="1:9" ht="15.75" customHeight="1" x14ac:dyDescent="0.2">
      <c r="A965" s="35"/>
      <c r="B965" s="35"/>
      <c r="C965" s="35"/>
      <c r="D965" s="35"/>
      <c r="E965" s="49"/>
      <c r="F965" s="35"/>
      <c r="I965" s="2"/>
    </row>
    <row r="966" spans="1:9" ht="15.75" customHeight="1" x14ac:dyDescent="0.2">
      <c r="A966" s="35"/>
      <c r="B966" s="35"/>
      <c r="C966" s="35"/>
      <c r="D966" s="35"/>
      <c r="E966" s="49"/>
      <c r="F966" s="35"/>
      <c r="I966" s="2"/>
    </row>
    <row r="967" spans="1:9" ht="15.75" customHeight="1" x14ac:dyDescent="0.2">
      <c r="A967" s="35"/>
      <c r="B967" s="35"/>
      <c r="C967" s="35"/>
      <c r="D967" s="35"/>
      <c r="E967" s="49"/>
      <c r="F967" s="35"/>
      <c r="I967" s="2"/>
    </row>
    <row r="968" spans="1:9" ht="15.75" customHeight="1" x14ac:dyDescent="0.2">
      <c r="A968" s="35"/>
      <c r="B968" s="35"/>
      <c r="C968" s="35"/>
      <c r="D968" s="35"/>
      <c r="E968" s="49"/>
      <c r="F968" s="35"/>
      <c r="I968" s="2"/>
    </row>
    <row r="969" spans="1:9" ht="15.75" customHeight="1" x14ac:dyDescent="0.2">
      <c r="A969" s="35"/>
      <c r="B969" s="35"/>
      <c r="C969" s="35"/>
      <c r="D969" s="35"/>
      <c r="E969" s="49"/>
      <c r="F969" s="35"/>
      <c r="I969" s="2"/>
    </row>
    <row r="970" spans="1:9" ht="15.75" customHeight="1" x14ac:dyDescent="0.2">
      <c r="A970" s="35"/>
      <c r="B970" s="35"/>
      <c r="C970" s="35"/>
      <c r="D970" s="35"/>
      <c r="E970" s="49"/>
      <c r="F970" s="35"/>
      <c r="I970" s="2"/>
    </row>
    <row r="971" spans="1:9" ht="15.75" customHeight="1" x14ac:dyDescent="0.2">
      <c r="A971" s="35"/>
      <c r="B971" s="35"/>
      <c r="C971" s="35"/>
      <c r="D971" s="35"/>
      <c r="E971" s="49"/>
      <c r="F971" s="35"/>
      <c r="I971" s="2"/>
    </row>
    <row r="972" spans="1:9" ht="15.75" customHeight="1" x14ac:dyDescent="0.2">
      <c r="A972" s="35"/>
      <c r="B972" s="35"/>
      <c r="C972" s="35"/>
      <c r="D972" s="35"/>
      <c r="E972" s="49"/>
      <c r="F972" s="35"/>
      <c r="I972" s="2"/>
    </row>
    <row r="973" spans="1:9" ht="15.75" customHeight="1" x14ac:dyDescent="0.2">
      <c r="A973" s="35"/>
      <c r="B973" s="35"/>
      <c r="C973" s="35"/>
      <c r="D973" s="35"/>
      <c r="E973" s="49"/>
      <c r="F973" s="35"/>
      <c r="I973" s="2"/>
    </row>
    <row r="974" spans="1:9" ht="15.75" customHeight="1" x14ac:dyDescent="0.2">
      <c r="A974" s="35"/>
      <c r="B974" s="35"/>
      <c r="C974" s="35"/>
      <c r="D974" s="35"/>
      <c r="E974" s="49"/>
      <c r="F974" s="35"/>
      <c r="I974" s="2"/>
    </row>
    <row r="975" spans="1:9" ht="15.75" customHeight="1" x14ac:dyDescent="0.2">
      <c r="A975" s="35"/>
      <c r="B975" s="35"/>
      <c r="C975" s="35"/>
      <c r="D975" s="35"/>
      <c r="E975" s="49"/>
      <c r="F975" s="35"/>
      <c r="I975" s="2"/>
    </row>
    <row r="976" spans="1:9" ht="15.75" customHeight="1" x14ac:dyDescent="0.2">
      <c r="A976" s="35"/>
      <c r="B976" s="35"/>
      <c r="C976" s="35"/>
      <c r="D976" s="35"/>
      <c r="E976" s="49"/>
      <c r="F976" s="35"/>
      <c r="I976" s="2"/>
    </row>
    <row r="977" spans="1:9" ht="15.75" customHeight="1" x14ac:dyDescent="0.2">
      <c r="A977" s="35"/>
      <c r="B977" s="35"/>
      <c r="C977" s="35"/>
      <c r="D977" s="35"/>
      <c r="E977" s="49"/>
      <c r="F977" s="35"/>
      <c r="I977" s="2"/>
    </row>
    <row r="978" spans="1:9" ht="15.75" customHeight="1" x14ac:dyDescent="0.2">
      <c r="A978" s="35"/>
      <c r="B978" s="35"/>
      <c r="C978" s="35"/>
      <c r="D978" s="35"/>
      <c r="E978" s="49"/>
      <c r="F978" s="35"/>
      <c r="I978" s="2"/>
    </row>
    <row r="979" spans="1:9" ht="15.75" customHeight="1" x14ac:dyDescent="0.2">
      <c r="A979" s="35"/>
      <c r="B979" s="35"/>
      <c r="C979" s="35"/>
      <c r="D979" s="35"/>
      <c r="E979" s="49"/>
      <c r="F979" s="35"/>
      <c r="I979" s="2"/>
    </row>
    <row r="980" spans="1:9" ht="15.75" customHeight="1" x14ac:dyDescent="0.2">
      <c r="A980" s="35"/>
      <c r="B980" s="35"/>
      <c r="C980" s="35"/>
      <c r="D980" s="35"/>
      <c r="E980" s="49"/>
      <c r="F980" s="35"/>
      <c r="I980" s="2"/>
    </row>
    <row r="981" spans="1:9" ht="15.75" customHeight="1" x14ac:dyDescent="0.2">
      <c r="A981" s="35"/>
      <c r="B981" s="35"/>
      <c r="C981" s="35"/>
      <c r="D981" s="35"/>
      <c r="E981" s="49"/>
      <c r="F981" s="35"/>
      <c r="I981" s="2"/>
    </row>
    <row r="982" spans="1:9" ht="15.75" customHeight="1" x14ac:dyDescent="0.2">
      <c r="A982" s="35"/>
      <c r="B982" s="35"/>
      <c r="C982" s="35"/>
      <c r="D982" s="35"/>
      <c r="E982" s="49"/>
      <c r="F982" s="35"/>
      <c r="I982" s="2"/>
    </row>
    <row r="983" spans="1:9" ht="15.75" customHeight="1" x14ac:dyDescent="0.2">
      <c r="A983" s="35"/>
      <c r="B983" s="35"/>
      <c r="C983" s="35"/>
      <c r="D983" s="35"/>
      <c r="E983" s="49"/>
      <c r="F983" s="35"/>
      <c r="I983" s="2"/>
    </row>
    <row r="984" spans="1:9" ht="15.75" customHeight="1" x14ac:dyDescent="0.2">
      <c r="A984" s="35"/>
      <c r="B984" s="35"/>
      <c r="C984" s="35"/>
      <c r="D984" s="35"/>
      <c r="E984" s="49"/>
      <c r="F984" s="35"/>
      <c r="I984" s="2"/>
    </row>
    <row r="985" spans="1:9" ht="15.75" customHeight="1" x14ac:dyDescent="0.2">
      <c r="A985" s="35"/>
      <c r="B985" s="35"/>
      <c r="C985" s="35"/>
      <c r="D985" s="35"/>
      <c r="E985" s="49"/>
      <c r="F985" s="35"/>
      <c r="I985" s="2"/>
    </row>
    <row r="986" spans="1:9" ht="15.75" customHeight="1" x14ac:dyDescent="0.2">
      <c r="A986" s="35"/>
      <c r="B986" s="35"/>
      <c r="C986" s="35"/>
      <c r="D986" s="35"/>
      <c r="E986" s="49"/>
      <c r="F986" s="35"/>
      <c r="I986" s="2"/>
    </row>
    <row r="987" spans="1:9" ht="15.75" customHeight="1" x14ac:dyDescent="0.2">
      <c r="A987" s="35"/>
      <c r="B987" s="35"/>
      <c r="C987" s="35"/>
      <c r="D987" s="35"/>
      <c r="E987" s="49"/>
      <c r="F987" s="35"/>
      <c r="I987" s="2"/>
    </row>
    <row r="988" spans="1:9" ht="15.75" customHeight="1" x14ac:dyDescent="0.2">
      <c r="A988" s="35"/>
      <c r="B988" s="35"/>
      <c r="C988" s="35"/>
      <c r="D988" s="35"/>
      <c r="E988" s="49"/>
      <c r="F988" s="35"/>
      <c r="I988" s="2"/>
    </row>
    <row r="989" spans="1:9" ht="15.75" customHeight="1" x14ac:dyDescent="0.2">
      <c r="A989" s="35"/>
      <c r="B989" s="35"/>
      <c r="C989" s="35"/>
      <c r="D989" s="35"/>
      <c r="E989" s="49"/>
      <c r="F989" s="35"/>
      <c r="I989" s="2"/>
    </row>
    <row r="990" spans="1:9" ht="15.75" customHeight="1" x14ac:dyDescent="0.2">
      <c r="A990" s="35"/>
      <c r="B990" s="35"/>
      <c r="C990" s="35"/>
      <c r="D990" s="35"/>
      <c r="E990" s="49"/>
      <c r="F990" s="35"/>
      <c r="I990" s="2"/>
    </row>
    <row r="991" spans="1:9" ht="15.75" customHeight="1" x14ac:dyDescent="0.2">
      <c r="A991" s="35"/>
      <c r="B991" s="35"/>
      <c r="C991" s="35"/>
      <c r="D991" s="35"/>
      <c r="E991" s="49"/>
      <c r="F991" s="35"/>
      <c r="I991" s="2"/>
    </row>
    <row r="992" spans="1:9" ht="15.75" customHeight="1" x14ac:dyDescent="0.2">
      <c r="A992" s="35"/>
      <c r="B992" s="35"/>
      <c r="C992" s="35"/>
      <c r="D992" s="35"/>
      <c r="E992" s="49"/>
      <c r="F992" s="35"/>
      <c r="I992" s="2"/>
    </row>
    <row r="993" spans="1:9" ht="15.75" customHeight="1" x14ac:dyDescent="0.2">
      <c r="A993" s="35"/>
      <c r="B993" s="35"/>
      <c r="C993" s="35"/>
      <c r="D993" s="35"/>
      <c r="E993" s="49"/>
      <c r="F993" s="35"/>
      <c r="I993" s="2"/>
    </row>
    <row r="994" spans="1:9" ht="15.75" customHeight="1" x14ac:dyDescent="0.2">
      <c r="A994" s="35"/>
      <c r="B994" s="35"/>
      <c r="C994" s="35"/>
      <c r="D994" s="35"/>
      <c r="E994" s="49"/>
      <c r="F994" s="35"/>
      <c r="I994" s="2"/>
    </row>
    <row r="995" spans="1:9" ht="15.75" customHeight="1" x14ac:dyDescent="0.2">
      <c r="A995" s="35"/>
      <c r="B995" s="35"/>
      <c r="C995" s="35"/>
      <c r="D995" s="35"/>
      <c r="E995" s="49"/>
      <c r="F995" s="35"/>
      <c r="I995" s="2"/>
    </row>
    <row r="996" spans="1:9" ht="15.75" customHeight="1" x14ac:dyDescent="0.2">
      <c r="A996" s="35"/>
      <c r="B996" s="35"/>
      <c r="C996" s="35"/>
      <c r="D996" s="35"/>
      <c r="E996" s="49"/>
      <c r="F996" s="35"/>
      <c r="I996" s="2"/>
    </row>
    <row r="997" spans="1:9" ht="15.75" customHeight="1" x14ac:dyDescent="0.2">
      <c r="A997" s="35"/>
      <c r="B997" s="35"/>
      <c r="C997" s="35"/>
      <c r="D997" s="35"/>
      <c r="E997" s="49"/>
      <c r="F997" s="35"/>
      <c r="I997" s="2"/>
    </row>
    <row r="998" spans="1:9" ht="15.75" customHeight="1" x14ac:dyDescent="0.2">
      <c r="A998" s="35"/>
      <c r="B998" s="35"/>
      <c r="C998" s="35"/>
      <c r="D998" s="35"/>
      <c r="E998" s="49"/>
      <c r="F998" s="35"/>
      <c r="I998" s="2"/>
    </row>
    <row r="999" spans="1:9" ht="15.75" customHeight="1" x14ac:dyDescent="0.2">
      <c r="I999" s="2"/>
    </row>
    <row r="1000" spans="1:9" ht="15.75" customHeight="1" x14ac:dyDescent="0.2">
      <c r="I1000" s="2"/>
    </row>
    <row r="1001" spans="1:9" ht="15.75" customHeight="1" x14ac:dyDescent="0.2">
      <c r="I1001" s="2"/>
    </row>
    <row r="1002" spans="1:9" ht="15.75" customHeight="1" x14ac:dyDescent="0.2">
      <c r="I1002" s="2"/>
    </row>
    <row r="1003" spans="1:9" ht="15.75" customHeight="1" x14ac:dyDescent="0.2">
      <c r="I1003" s="2"/>
    </row>
    <row r="1004" spans="1:9" ht="15.75" customHeight="1" x14ac:dyDescent="0.2">
      <c r="I1004" s="2"/>
    </row>
  </sheetData>
  <pageMargins left="0.511811024" right="0.511811024" top="0.78740157499999996" bottom="0.78740157499999996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06D7C64-F7FD-9E48-A022-D05AFD3751D9}">
            <xm:f>OR(AND($H9&lt;&gt;"",ISNA(MATCH($H9,Naturezas!$B$3:$B$32,0))),AND($H9="",COUNTA($A9:$I9,$F9:$G9)&gt;0))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E9:E504</xm:sqref>
        </x14:conditionalFormatting>
        <x14:conditionalFormatting xmlns:xm="http://schemas.microsoft.com/office/excel/2006/main">
          <x14:cfRule type="expression" priority="12" id="{9CA8196D-BD2B-BC45-BDD8-5D56FC47C910}">
            <xm:f>OR(AND($H9&lt;&gt;"",ISNA(MATCH($H9,Naturezas!$B$3:$B$32,0))),AND($H9="",COUNTA($A9:$I9,$F9:$G9)&gt;0))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H9:H504</xm:sqref>
        </x14:conditionalFormatting>
        <x14:conditionalFormatting xmlns:xm="http://schemas.microsoft.com/office/excel/2006/main">
          <x14:cfRule type="expression" priority="2" id="{37BC1EFD-403F-0041-AAC3-E510ACD1E051}">
            <xm:f>OR(AND($H9&lt;&gt;"",ISNA(MATCH($H9,Naturezas!$B$3:$B$32,0))),AND($H9="",COUNTA($A9:$I9,$F9:$G9)&gt;0))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I9:I504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869A-39C7-194C-9618-4E2B43B72D22}">
  <dimension ref="A1"/>
  <sheetViews>
    <sheetView workbookViewId="0">
      <selection activeCell="D38" sqref="D38"/>
    </sheetView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F059-67C5-3A41-B464-25C60F37A0F2}">
  <dimension ref="A1:F32"/>
  <sheetViews>
    <sheetView workbookViewId="0">
      <selection activeCell="F15" sqref="F15"/>
    </sheetView>
  </sheetViews>
  <sheetFormatPr baseColWidth="10" defaultRowHeight="15" x14ac:dyDescent="0.2"/>
  <cols>
    <col min="1" max="1" width="23" customWidth="1"/>
    <col min="2" max="2" width="10.6640625" customWidth="1"/>
    <col min="3" max="3" width="7.5" customWidth="1"/>
    <col min="4" max="5" width="13.6640625" customWidth="1"/>
    <col min="6" max="6" width="70.83203125" bestFit="1" customWidth="1"/>
  </cols>
  <sheetData>
    <row r="1" spans="1:6" ht="24" x14ac:dyDescent="0.3">
      <c r="A1" s="24" t="s">
        <v>82</v>
      </c>
      <c r="B1" s="3"/>
      <c r="C1" s="3"/>
      <c r="D1" s="3"/>
      <c r="E1" s="3"/>
    </row>
    <row r="2" spans="1:6" x14ac:dyDescent="0.2">
      <c r="A2" s="15" t="s">
        <v>4</v>
      </c>
      <c r="B2" s="15" t="s">
        <v>4</v>
      </c>
      <c r="C2" s="15" t="s">
        <v>9</v>
      </c>
      <c r="D2" s="15" t="s">
        <v>80</v>
      </c>
      <c r="E2" s="15" t="s">
        <v>80</v>
      </c>
      <c r="F2" s="15" t="s">
        <v>93</v>
      </c>
    </row>
    <row r="3" spans="1:6" x14ac:dyDescent="0.2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97</v>
      </c>
    </row>
    <row r="4" spans="1:6" x14ac:dyDescent="0.2">
      <c r="A4" s="8" t="s">
        <v>19</v>
      </c>
      <c r="B4" s="8" t="s">
        <v>20</v>
      </c>
      <c r="C4" s="7" t="s">
        <v>16</v>
      </c>
      <c r="D4" s="7" t="s">
        <v>17</v>
      </c>
      <c r="E4" s="7" t="s">
        <v>18</v>
      </c>
      <c r="F4" s="7"/>
    </row>
    <row r="5" spans="1:6" x14ac:dyDescent="0.2">
      <c r="A5" s="8" t="s">
        <v>21</v>
      </c>
      <c r="B5" s="8" t="s">
        <v>22</v>
      </c>
      <c r="C5" s="7" t="s">
        <v>16</v>
      </c>
      <c r="D5" s="7" t="s">
        <v>17</v>
      </c>
      <c r="E5" s="7" t="s">
        <v>18</v>
      </c>
      <c r="F5" s="7"/>
    </row>
    <row r="6" spans="1:6" x14ac:dyDescent="0.2">
      <c r="A6" s="8" t="s">
        <v>23</v>
      </c>
      <c r="B6" s="8" t="s">
        <v>24</v>
      </c>
      <c r="C6" s="8" t="s">
        <v>25</v>
      </c>
      <c r="D6" s="8" t="s">
        <v>26</v>
      </c>
      <c r="E6" s="8" t="s">
        <v>18</v>
      </c>
      <c r="F6" s="8"/>
    </row>
    <row r="7" spans="1:6" x14ac:dyDescent="0.2">
      <c r="A7" s="8" t="s">
        <v>27</v>
      </c>
      <c r="B7" s="8" t="s">
        <v>28</v>
      </c>
      <c r="C7" s="8" t="s">
        <v>25</v>
      </c>
      <c r="D7" s="8" t="s">
        <v>26</v>
      </c>
      <c r="E7" s="8" t="s">
        <v>18</v>
      </c>
      <c r="F7" s="8" t="s">
        <v>96</v>
      </c>
    </row>
    <row r="8" spans="1:6" x14ac:dyDescent="0.2">
      <c r="A8" s="8" t="s">
        <v>29</v>
      </c>
      <c r="B8" s="8" t="s">
        <v>30</v>
      </c>
      <c r="C8" s="8" t="s">
        <v>25</v>
      </c>
      <c r="D8" s="8" t="s">
        <v>26</v>
      </c>
      <c r="E8" s="8" t="s">
        <v>18</v>
      </c>
      <c r="F8" s="8" t="s">
        <v>95</v>
      </c>
    </row>
    <row r="9" spans="1:6" x14ac:dyDescent="0.2">
      <c r="A9" s="8" t="s">
        <v>31</v>
      </c>
      <c r="B9" s="8" t="s">
        <v>32</v>
      </c>
      <c r="C9" s="8" t="s">
        <v>25</v>
      </c>
      <c r="D9" s="8" t="s">
        <v>26</v>
      </c>
      <c r="E9" s="8" t="s">
        <v>18</v>
      </c>
      <c r="F9" s="8" t="s">
        <v>94</v>
      </c>
    </row>
    <row r="10" spans="1:6" x14ac:dyDescent="0.2">
      <c r="A10" s="8" t="s">
        <v>33</v>
      </c>
      <c r="B10" s="8" t="s">
        <v>34</v>
      </c>
      <c r="C10" s="8" t="s">
        <v>25</v>
      </c>
      <c r="D10" s="8" t="s">
        <v>26</v>
      </c>
      <c r="E10" s="8" t="s">
        <v>18</v>
      </c>
      <c r="F10" s="8" t="s">
        <v>98</v>
      </c>
    </row>
    <row r="11" spans="1:6" x14ac:dyDescent="0.2">
      <c r="A11" s="8" t="s">
        <v>35</v>
      </c>
      <c r="B11" s="8" t="s">
        <v>36</v>
      </c>
      <c r="C11" s="8" t="s">
        <v>25</v>
      </c>
      <c r="D11" s="8" t="s">
        <v>26</v>
      </c>
      <c r="E11" s="8" t="s">
        <v>18</v>
      </c>
      <c r="F11" s="8"/>
    </row>
    <row r="12" spans="1:6" x14ac:dyDescent="0.2">
      <c r="A12" s="8" t="s">
        <v>37</v>
      </c>
      <c r="B12" s="8" t="s">
        <v>38</v>
      </c>
      <c r="C12" s="8" t="s">
        <v>25</v>
      </c>
      <c r="D12" s="8" t="s">
        <v>26</v>
      </c>
      <c r="E12" s="8" t="s">
        <v>18</v>
      </c>
      <c r="F12" s="8" t="s">
        <v>99</v>
      </c>
    </row>
    <row r="13" spans="1:6" x14ac:dyDescent="0.2">
      <c r="A13" s="8" t="s">
        <v>39</v>
      </c>
      <c r="B13" s="8" t="s">
        <v>40</v>
      </c>
      <c r="C13" s="8" t="s">
        <v>25</v>
      </c>
      <c r="D13" s="8" t="s">
        <v>26</v>
      </c>
      <c r="E13" s="8" t="s">
        <v>18</v>
      </c>
      <c r="F13" s="8"/>
    </row>
    <row r="14" spans="1:6" x14ac:dyDescent="0.2">
      <c r="A14" s="8" t="s">
        <v>41</v>
      </c>
      <c r="B14" s="8" t="s">
        <v>42</v>
      </c>
      <c r="C14" s="8" t="s">
        <v>25</v>
      </c>
      <c r="D14" s="8" t="s">
        <v>26</v>
      </c>
      <c r="E14" s="8" t="s">
        <v>18</v>
      </c>
      <c r="F14" s="8" t="s">
        <v>110</v>
      </c>
    </row>
    <row r="15" spans="1:6" x14ac:dyDescent="0.2">
      <c r="A15" s="8" t="s">
        <v>43</v>
      </c>
      <c r="B15" s="8" t="s">
        <v>44</v>
      </c>
      <c r="C15" s="8" t="s">
        <v>25</v>
      </c>
      <c r="D15" s="8" t="s">
        <v>26</v>
      </c>
      <c r="E15" s="8" t="s">
        <v>18</v>
      </c>
      <c r="F15" s="8"/>
    </row>
    <row r="16" spans="1:6" x14ac:dyDescent="0.2">
      <c r="A16" s="8" t="s">
        <v>45</v>
      </c>
      <c r="B16" s="8" t="s">
        <v>46</v>
      </c>
      <c r="C16" s="8" t="s">
        <v>25</v>
      </c>
      <c r="D16" s="8" t="s">
        <v>26</v>
      </c>
      <c r="E16" s="8" t="s">
        <v>18</v>
      </c>
      <c r="F16" s="8" t="s">
        <v>109</v>
      </c>
    </row>
    <row r="17" spans="1:6" x14ac:dyDescent="0.2">
      <c r="A17" s="7" t="s">
        <v>47</v>
      </c>
      <c r="B17" s="7" t="s">
        <v>48</v>
      </c>
      <c r="C17" s="7" t="s">
        <v>16</v>
      </c>
      <c r="D17" s="7" t="s">
        <v>17</v>
      </c>
      <c r="E17" s="7" t="s">
        <v>49</v>
      </c>
      <c r="F17" s="7"/>
    </row>
    <row r="18" spans="1:6" x14ac:dyDescent="0.2">
      <c r="A18" s="8" t="s">
        <v>50</v>
      </c>
      <c r="B18" s="8" t="s">
        <v>51</v>
      </c>
      <c r="C18" s="7" t="s">
        <v>16</v>
      </c>
      <c r="D18" s="7" t="s">
        <v>17</v>
      </c>
      <c r="E18" s="7" t="s">
        <v>49</v>
      </c>
      <c r="F18" s="7"/>
    </row>
    <row r="19" spans="1:6" x14ac:dyDescent="0.2">
      <c r="A19" s="8" t="s">
        <v>52</v>
      </c>
      <c r="B19" s="8" t="s">
        <v>53</v>
      </c>
      <c r="C19" s="7" t="s">
        <v>16</v>
      </c>
      <c r="D19" s="7" t="s">
        <v>17</v>
      </c>
      <c r="E19" s="7" t="s">
        <v>49</v>
      </c>
      <c r="F19" s="7"/>
    </row>
    <row r="20" spans="1:6" x14ac:dyDescent="0.2">
      <c r="A20" s="8" t="s">
        <v>54</v>
      </c>
      <c r="B20" s="8" t="s">
        <v>55</v>
      </c>
      <c r="C20" s="8" t="s">
        <v>25</v>
      </c>
      <c r="D20" s="8" t="s">
        <v>26</v>
      </c>
      <c r="E20" s="8" t="s">
        <v>49</v>
      </c>
      <c r="F20" s="8"/>
    </row>
    <row r="21" spans="1:6" x14ac:dyDescent="0.2">
      <c r="A21" s="8" t="s">
        <v>56</v>
      </c>
      <c r="B21" s="8" t="s">
        <v>57</v>
      </c>
      <c r="C21" s="8" t="s">
        <v>25</v>
      </c>
      <c r="D21" s="8" t="s">
        <v>26</v>
      </c>
      <c r="E21" s="8" t="s">
        <v>49</v>
      </c>
      <c r="F21" s="8" t="s">
        <v>100</v>
      </c>
    </row>
    <row r="22" spans="1:6" x14ac:dyDescent="0.2">
      <c r="A22" s="8" t="s">
        <v>58</v>
      </c>
      <c r="B22" s="8" t="s">
        <v>59</v>
      </c>
      <c r="C22" s="8" t="s">
        <v>25</v>
      </c>
      <c r="D22" s="8" t="s">
        <v>26</v>
      </c>
      <c r="E22" s="8" t="s">
        <v>49</v>
      </c>
      <c r="F22" s="8" t="s">
        <v>101</v>
      </c>
    </row>
    <row r="23" spans="1:6" x14ac:dyDescent="0.2">
      <c r="A23" s="8" t="s">
        <v>60</v>
      </c>
      <c r="B23" s="8" t="s">
        <v>61</v>
      </c>
      <c r="C23" s="8" t="s">
        <v>25</v>
      </c>
      <c r="D23" s="8" t="s">
        <v>26</v>
      </c>
      <c r="E23" s="8" t="s">
        <v>49</v>
      </c>
      <c r="F23" s="8"/>
    </row>
    <row r="24" spans="1:6" x14ac:dyDescent="0.2">
      <c r="A24" s="8" t="s">
        <v>62</v>
      </c>
      <c r="B24" s="8" t="s">
        <v>63</v>
      </c>
      <c r="C24" s="8" t="s">
        <v>25</v>
      </c>
      <c r="D24" s="8" t="s">
        <v>26</v>
      </c>
      <c r="E24" s="8" t="s">
        <v>49</v>
      </c>
      <c r="F24" s="8" t="s">
        <v>102</v>
      </c>
    </row>
    <row r="25" spans="1:6" x14ac:dyDescent="0.2">
      <c r="A25" s="8" t="s">
        <v>64</v>
      </c>
      <c r="B25" s="8" t="s">
        <v>65</v>
      </c>
      <c r="C25" s="8" t="s">
        <v>25</v>
      </c>
      <c r="D25" s="8" t="s">
        <v>26</v>
      </c>
      <c r="E25" s="8" t="s">
        <v>49</v>
      </c>
      <c r="F25" s="8" t="s">
        <v>103</v>
      </c>
    </row>
    <row r="26" spans="1:6" x14ac:dyDescent="0.2">
      <c r="A26" s="8" t="s">
        <v>66</v>
      </c>
      <c r="B26" s="8" t="s">
        <v>67</v>
      </c>
      <c r="C26" s="8" t="s">
        <v>25</v>
      </c>
      <c r="D26" s="8" t="s">
        <v>26</v>
      </c>
      <c r="E26" s="8" t="s">
        <v>49</v>
      </c>
      <c r="F26" s="8" t="s">
        <v>104</v>
      </c>
    </row>
    <row r="27" spans="1:6" x14ac:dyDescent="0.2">
      <c r="A27" s="8" t="s">
        <v>68</v>
      </c>
      <c r="B27" s="8" t="s">
        <v>69</v>
      </c>
      <c r="C27" s="8" t="s">
        <v>25</v>
      </c>
      <c r="D27" s="8" t="s">
        <v>26</v>
      </c>
      <c r="E27" s="8" t="s">
        <v>49</v>
      </c>
      <c r="F27" s="8" t="s">
        <v>105</v>
      </c>
    </row>
    <row r="28" spans="1:6" x14ac:dyDescent="0.2">
      <c r="A28" s="8" t="s">
        <v>70</v>
      </c>
      <c r="B28" s="8" t="s">
        <v>71</v>
      </c>
      <c r="C28" s="8" t="s">
        <v>25</v>
      </c>
      <c r="D28" s="8" t="s">
        <v>26</v>
      </c>
      <c r="E28" s="8" t="s">
        <v>49</v>
      </c>
      <c r="F28" s="8" t="s">
        <v>106</v>
      </c>
    </row>
    <row r="29" spans="1:6" x14ac:dyDescent="0.2">
      <c r="A29" s="8" t="s">
        <v>72</v>
      </c>
      <c r="B29" s="8" t="s">
        <v>73</v>
      </c>
      <c r="C29" s="8" t="s">
        <v>25</v>
      </c>
      <c r="D29" s="8" t="s">
        <v>26</v>
      </c>
      <c r="E29" s="8" t="s">
        <v>49</v>
      </c>
      <c r="F29" s="8" t="s">
        <v>108</v>
      </c>
    </row>
    <row r="30" spans="1:6" x14ac:dyDescent="0.2">
      <c r="A30" s="8" t="s">
        <v>41</v>
      </c>
      <c r="B30" s="8" t="s">
        <v>42</v>
      </c>
      <c r="C30" s="8" t="s">
        <v>25</v>
      </c>
      <c r="D30" s="8" t="s">
        <v>26</v>
      </c>
      <c r="E30" s="8" t="s">
        <v>49</v>
      </c>
      <c r="F30" s="8"/>
    </row>
    <row r="31" spans="1:6" x14ac:dyDescent="0.2">
      <c r="A31" s="8" t="s">
        <v>74</v>
      </c>
      <c r="B31" s="8" t="s">
        <v>75</v>
      </c>
      <c r="C31" s="8" t="s">
        <v>25</v>
      </c>
      <c r="D31" s="8" t="s">
        <v>26</v>
      </c>
      <c r="E31" s="8" t="s">
        <v>49</v>
      </c>
      <c r="F31" s="8"/>
    </row>
    <row r="32" spans="1:6" x14ac:dyDescent="0.2">
      <c r="A32" s="8" t="s">
        <v>76</v>
      </c>
      <c r="B32" s="8" t="s">
        <v>77</v>
      </c>
      <c r="C32" s="8" t="s">
        <v>25</v>
      </c>
      <c r="D32" s="8" t="s">
        <v>26</v>
      </c>
      <c r="E32" s="8" t="s">
        <v>49</v>
      </c>
      <c r="F32" s="8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Dicionario</vt:lpstr>
      <vt:lpstr>Naturezas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Santos</cp:lastModifiedBy>
  <dcterms:created xsi:type="dcterms:W3CDTF">2026-06-29T20:40:49Z</dcterms:created>
  <dcterms:modified xsi:type="dcterms:W3CDTF">2026-09-28T12:43:35Z</dcterms:modified>
  <cp:category/>
</cp:coreProperties>
</file>