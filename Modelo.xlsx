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s/Documents/conta_de_gastos/"/>
    </mc:Choice>
  </mc:AlternateContent>
  <xr:revisionPtr revIDLastSave="0" documentId="13_ncr:1_{FA812DE7-53AB-7440-B7AF-F95D56B51F79}" xr6:coauthVersionLast="47" xr6:coauthVersionMax="47" xr10:uidLastSave="{00000000-0000-0000-0000-000000000000}"/>
  <bookViews>
    <workbookView xWindow="80" yWindow="1060" windowWidth="29000" windowHeight="18060" activeTab="2" xr2:uid="{00000000-000D-0000-FFFF-FFFF00000000}"/>
  </bookViews>
  <sheets>
    <sheet name="Extrato" sheetId="1" r:id="rId1"/>
    <sheet name="Dicionario" sheetId="2" r:id="rId2"/>
    <sheet name="Naturez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R9" i="1"/>
  <c r="S9" i="1"/>
  <c r="T9" i="1"/>
  <c r="U9" i="1"/>
  <c r="V9" i="1"/>
  <c r="X9" i="1"/>
  <c r="Y9" i="1"/>
  <c r="AA9" i="1"/>
  <c r="AB9" i="1"/>
  <c r="AC9" i="1"/>
  <c r="AD9" i="1"/>
  <c r="AF9" i="1"/>
  <c r="Q10" i="1"/>
  <c r="R10" i="1"/>
  <c r="S10" i="1"/>
  <c r="T10" i="1"/>
  <c r="U10" i="1"/>
  <c r="V10" i="1"/>
  <c r="X10" i="1"/>
  <c r="Y10" i="1"/>
  <c r="AA10" i="1"/>
  <c r="AB10" i="1"/>
  <c r="AC10" i="1"/>
  <c r="AD10" i="1"/>
  <c r="AF10" i="1"/>
  <c r="Q11" i="1"/>
  <c r="R11" i="1"/>
  <c r="S11" i="1"/>
  <c r="T11" i="1"/>
  <c r="U11" i="1"/>
  <c r="V11" i="1"/>
  <c r="X11" i="1"/>
  <c r="Y11" i="1"/>
  <c r="AA11" i="1"/>
  <c r="AB11" i="1"/>
  <c r="AC11" i="1"/>
  <c r="AD11" i="1"/>
  <c r="AF11" i="1"/>
  <c r="Q12" i="1"/>
  <c r="R12" i="1"/>
  <c r="S12" i="1"/>
  <c r="T12" i="1"/>
  <c r="U12" i="1"/>
  <c r="V12" i="1"/>
  <c r="X12" i="1"/>
  <c r="Y12" i="1"/>
  <c r="AA12" i="1"/>
  <c r="AB12" i="1"/>
  <c r="AC12" i="1"/>
  <c r="AD12" i="1"/>
  <c r="AF12" i="1"/>
  <c r="Q13" i="1"/>
  <c r="R13" i="1"/>
  <c r="S13" i="1"/>
  <c r="T13" i="1"/>
  <c r="U13" i="1"/>
  <c r="V13" i="1"/>
  <c r="X13" i="1"/>
  <c r="Y13" i="1"/>
  <c r="AA13" i="1"/>
  <c r="AB13" i="1"/>
  <c r="AC13" i="1"/>
  <c r="AD13" i="1"/>
  <c r="AF13" i="1"/>
  <c r="J8" i="1" a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A14" i="1"/>
  <c r="AB14" i="1"/>
  <c r="AC14" i="1"/>
  <c r="AF14" i="1"/>
  <c r="AA15" i="1"/>
  <c r="AB15" i="1"/>
  <c r="AC15" i="1"/>
  <c r="AF15" i="1"/>
  <c r="AA16" i="1"/>
  <c r="AB16" i="1"/>
  <c r="AC16" i="1"/>
  <c r="AF16" i="1"/>
  <c r="AA17" i="1"/>
  <c r="AB17" i="1"/>
  <c r="AC17" i="1"/>
  <c r="AF17" i="1"/>
  <c r="AA18" i="1"/>
  <c r="AB18" i="1"/>
  <c r="AC18" i="1"/>
  <c r="AF18" i="1"/>
  <c r="AA19" i="1"/>
  <c r="AB19" i="1"/>
  <c r="AC19" i="1"/>
  <c r="AF19" i="1"/>
  <c r="AA20" i="1"/>
  <c r="AB20" i="1"/>
  <c r="AC20" i="1"/>
  <c r="AF20" i="1"/>
  <c r="AA21" i="1"/>
  <c r="AB21" i="1"/>
  <c r="AC21" i="1"/>
  <c r="AF21" i="1"/>
  <c r="AA22" i="1"/>
  <c r="AB22" i="1"/>
  <c r="AC22" i="1"/>
  <c r="AF22" i="1"/>
  <c r="AA23" i="1"/>
  <c r="AB23" i="1"/>
  <c r="AC23" i="1"/>
  <c r="AF23" i="1"/>
  <c r="AA24" i="1"/>
  <c r="AB24" i="1"/>
  <c r="AC24" i="1"/>
  <c r="AF24" i="1"/>
  <c r="AA25" i="1"/>
  <c r="AB25" i="1"/>
  <c r="AC25" i="1"/>
  <c r="AF25" i="1"/>
  <c r="AA26" i="1"/>
  <c r="AB26" i="1"/>
  <c r="AC26" i="1"/>
  <c r="AF26" i="1"/>
  <c r="AA27" i="1"/>
  <c r="AB27" i="1"/>
  <c r="AC27" i="1"/>
  <c r="AF27" i="1"/>
  <c r="AA28" i="1"/>
  <c r="AB28" i="1"/>
  <c r="AC28" i="1"/>
  <c r="AF28" i="1"/>
  <c r="AA29" i="1"/>
  <c r="AB29" i="1"/>
  <c r="AC29" i="1"/>
  <c r="AF29" i="1"/>
  <c r="AA30" i="1"/>
  <c r="AB30" i="1"/>
  <c r="AC30" i="1"/>
  <c r="AF30" i="1"/>
  <c r="AA31" i="1"/>
  <c r="AB31" i="1"/>
  <c r="AC31" i="1"/>
  <c r="AF31" i="1"/>
  <c r="AA32" i="1"/>
  <c r="AB32" i="1"/>
  <c r="AC32" i="1"/>
  <c r="AF32" i="1"/>
  <c r="AA33" i="1"/>
  <c r="AB33" i="1"/>
  <c r="AC33" i="1"/>
  <c r="AF33" i="1"/>
  <c r="AA34" i="1"/>
  <c r="AB34" i="1"/>
  <c r="AC34" i="1"/>
  <c r="AF34" i="1"/>
  <c r="AA35" i="1"/>
  <c r="AB35" i="1"/>
  <c r="AC35" i="1"/>
  <c r="AF35" i="1"/>
  <c r="AA36" i="1"/>
  <c r="AB36" i="1"/>
  <c r="AC36" i="1"/>
  <c r="AF36" i="1"/>
  <c r="AA37" i="1"/>
  <c r="AB37" i="1"/>
  <c r="AC37" i="1"/>
  <c r="AF37" i="1"/>
  <c r="AA38" i="1"/>
  <c r="AB38" i="1"/>
  <c r="AC38" i="1"/>
  <c r="AF38" i="1"/>
  <c r="AA39" i="1"/>
  <c r="AB39" i="1"/>
  <c r="AC39" i="1"/>
  <c r="AF39" i="1"/>
  <c r="AA40" i="1"/>
  <c r="AB40" i="1"/>
  <c r="AC40" i="1"/>
  <c r="AF40" i="1"/>
  <c r="AA41" i="1"/>
  <c r="AB41" i="1"/>
  <c r="AC41" i="1"/>
  <c r="AF41" i="1"/>
  <c r="AA42" i="1"/>
  <c r="AB42" i="1"/>
  <c r="AC42" i="1"/>
  <c r="AF42" i="1"/>
  <c r="AA43" i="1"/>
  <c r="AB43" i="1"/>
  <c r="AC43" i="1"/>
  <c r="AF43" i="1"/>
  <c r="AA44" i="1"/>
  <c r="AB44" i="1"/>
  <c r="AC44" i="1"/>
  <c r="AF44" i="1"/>
  <c r="AA45" i="1"/>
  <c r="AB45" i="1"/>
  <c r="AC45" i="1"/>
  <c r="AF45" i="1"/>
  <c r="AA46" i="1"/>
  <c r="AB46" i="1"/>
  <c r="AC46" i="1"/>
  <c r="AF46" i="1"/>
  <c r="AA47" i="1"/>
  <c r="AB47" i="1"/>
  <c r="AC47" i="1"/>
  <c r="AF47" i="1"/>
  <c r="AA48" i="1"/>
  <c r="AB48" i="1"/>
  <c r="AC48" i="1"/>
  <c r="AF48" i="1"/>
  <c r="AA49" i="1"/>
  <c r="AB49" i="1"/>
  <c r="AC49" i="1"/>
  <c r="AF49" i="1"/>
  <c r="AA50" i="1"/>
  <c r="AB50" i="1"/>
  <c r="AC50" i="1"/>
  <c r="AF50" i="1"/>
  <c r="AA51" i="1"/>
  <c r="AB51" i="1"/>
  <c r="AC51" i="1"/>
  <c r="AF51" i="1"/>
  <c r="AA52" i="1"/>
  <c r="AB52" i="1"/>
  <c r="AC52" i="1"/>
  <c r="AF52" i="1"/>
  <c r="AA53" i="1"/>
  <c r="AB53" i="1"/>
  <c r="AC53" i="1"/>
  <c r="AF53" i="1"/>
  <c r="AA54" i="1"/>
  <c r="AB54" i="1"/>
  <c r="AC54" i="1"/>
  <c r="AF54" i="1"/>
  <c r="AA55" i="1"/>
  <c r="AB55" i="1"/>
  <c r="AC55" i="1"/>
  <c r="AF55" i="1"/>
  <c r="AA56" i="1"/>
  <c r="AB56" i="1"/>
  <c r="AC56" i="1"/>
  <c r="AF56" i="1"/>
  <c r="AA57" i="1"/>
  <c r="AB57" i="1"/>
  <c r="AC57" i="1"/>
  <c r="AF57" i="1"/>
  <c r="AA58" i="1"/>
  <c r="AB58" i="1"/>
  <c r="AC58" i="1"/>
  <c r="AF58" i="1"/>
  <c r="AA59" i="1"/>
  <c r="AB59" i="1"/>
  <c r="AC59" i="1"/>
  <c r="AF59" i="1"/>
  <c r="AA60" i="1"/>
  <c r="AB60" i="1"/>
  <c r="AC60" i="1"/>
  <c r="AF60" i="1"/>
  <c r="AA61" i="1"/>
  <c r="AB61" i="1"/>
  <c r="AC61" i="1"/>
  <c r="AF61" i="1"/>
  <c r="AA62" i="1"/>
  <c r="AB62" i="1"/>
  <c r="AC62" i="1"/>
  <c r="AF62" i="1"/>
  <c r="AA63" i="1"/>
  <c r="AB63" i="1"/>
  <c r="AC63" i="1"/>
  <c r="AF63" i="1"/>
  <c r="AA64" i="1"/>
  <c r="AB64" i="1"/>
  <c r="AC64" i="1"/>
  <c r="AF64" i="1"/>
  <c r="AA65" i="1"/>
  <c r="AB65" i="1"/>
  <c r="AC65" i="1"/>
  <c r="AF65" i="1"/>
  <c r="AA66" i="1"/>
  <c r="AB66" i="1"/>
  <c r="AC66" i="1"/>
  <c r="AF66" i="1"/>
  <c r="AA67" i="1"/>
  <c r="AB67" i="1"/>
  <c r="AC67" i="1"/>
  <c r="AF67" i="1"/>
  <c r="AA68" i="1"/>
  <c r="AB68" i="1"/>
  <c r="AC68" i="1"/>
  <c r="AF68" i="1"/>
  <c r="AA69" i="1"/>
  <c r="AB69" i="1"/>
  <c r="AC69" i="1"/>
  <c r="AF69" i="1"/>
  <c r="AA70" i="1"/>
  <c r="AB70" i="1"/>
  <c r="AC70" i="1"/>
  <c r="AF70" i="1"/>
  <c r="AA71" i="1"/>
  <c r="AB71" i="1"/>
  <c r="AC71" i="1"/>
  <c r="AF71" i="1"/>
  <c r="AA72" i="1"/>
  <c r="AB72" i="1"/>
  <c r="AC72" i="1"/>
  <c r="AF72" i="1"/>
  <c r="AA73" i="1"/>
  <c r="AB73" i="1"/>
  <c r="AC73" i="1"/>
  <c r="AF73" i="1"/>
  <c r="AA74" i="1"/>
  <c r="AB74" i="1"/>
  <c r="AC74" i="1"/>
  <c r="AF74" i="1"/>
  <c r="AA75" i="1"/>
  <c r="AB75" i="1"/>
  <c r="AC75" i="1"/>
  <c r="AF75" i="1"/>
  <c r="AA76" i="1"/>
  <c r="AB76" i="1"/>
  <c r="AC76" i="1"/>
  <c r="AF76" i="1"/>
  <c r="AA77" i="1"/>
  <c r="AB77" i="1"/>
  <c r="AC77" i="1"/>
  <c r="AF77" i="1"/>
  <c r="AA78" i="1"/>
  <c r="AB78" i="1"/>
  <c r="AC78" i="1"/>
  <c r="AF78" i="1"/>
  <c r="AA79" i="1"/>
  <c r="AB79" i="1"/>
  <c r="AC79" i="1"/>
  <c r="AF79" i="1"/>
  <c r="AA80" i="1"/>
  <c r="AB80" i="1"/>
  <c r="AC80" i="1"/>
  <c r="AF80" i="1"/>
  <c r="AA81" i="1"/>
  <c r="AB81" i="1"/>
  <c r="AC81" i="1"/>
  <c r="AF81" i="1"/>
  <c r="AA82" i="1"/>
  <c r="AB82" i="1"/>
  <c r="AC82" i="1"/>
  <c r="AF82" i="1"/>
  <c r="AA83" i="1"/>
  <c r="AB83" i="1"/>
  <c r="AC83" i="1"/>
  <c r="AF83" i="1"/>
  <c r="AA84" i="1"/>
  <c r="AB84" i="1"/>
  <c r="AC84" i="1"/>
  <c r="AF84" i="1"/>
  <c r="AA85" i="1"/>
  <c r="AB85" i="1"/>
  <c r="AC85" i="1"/>
  <c r="AF85" i="1"/>
  <c r="AA86" i="1"/>
  <c r="AB86" i="1"/>
  <c r="AC86" i="1"/>
  <c r="AF86" i="1"/>
  <c r="AA87" i="1"/>
  <c r="AB87" i="1"/>
  <c r="AC87" i="1"/>
  <c r="AF87" i="1"/>
  <c r="AA88" i="1"/>
  <c r="AB88" i="1"/>
  <c r="AC88" i="1"/>
  <c r="AF88" i="1"/>
  <c r="AA89" i="1"/>
  <c r="AB89" i="1"/>
  <c r="AC89" i="1"/>
  <c r="AF89" i="1"/>
  <c r="AA90" i="1"/>
  <c r="AB90" i="1"/>
  <c r="AC90" i="1"/>
  <c r="AF90" i="1"/>
  <c r="AA91" i="1"/>
  <c r="AB91" i="1"/>
  <c r="AC91" i="1"/>
  <c r="AF91" i="1"/>
  <c r="AA92" i="1"/>
  <c r="AB92" i="1"/>
  <c r="AC92" i="1"/>
  <c r="AF92" i="1"/>
  <c r="AA93" i="1"/>
  <c r="AB93" i="1"/>
  <c r="AC93" i="1"/>
  <c r="AF93" i="1"/>
  <c r="AA94" i="1"/>
  <c r="AB94" i="1"/>
  <c r="AC94" i="1"/>
  <c r="AF94" i="1"/>
  <c r="AA95" i="1"/>
  <c r="AB95" i="1"/>
  <c r="AC95" i="1"/>
  <c r="AF95" i="1"/>
  <c r="AA96" i="1"/>
  <c r="AB96" i="1"/>
  <c r="AC96" i="1"/>
  <c r="AF96" i="1"/>
  <c r="AA97" i="1"/>
  <c r="AB97" i="1"/>
  <c r="AC97" i="1"/>
  <c r="AF97" i="1"/>
  <c r="AA98" i="1"/>
  <c r="AB98" i="1"/>
  <c r="AC98" i="1"/>
  <c r="AF98" i="1"/>
  <c r="AA99" i="1"/>
  <c r="AB99" i="1"/>
  <c r="AC99" i="1"/>
  <c r="AF99" i="1"/>
  <c r="AA100" i="1"/>
  <c r="AB100" i="1"/>
  <c r="AC100" i="1"/>
  <c r="AF100" i="1"/>
  <c r="AA101" i="1"/>
  <c r="AB101" i="1"/>
  <c r="AC101" i="1"/>
  <c r="AF101" i="1"/>
  <c r="AA102" i="1"/>
  <c r="AB102" i="1"/>
  <c r="AC102" i="1"/>
  <c r="AF102" i="1"/>
  <c r="AA103" i="1"/>
  <c r="AB103" i="1"/>
  <c r="AC103" i="1"/>
  <c r="AF103" i="1"/>
  <c r="AA104" i="1"/>
  <c r="AB104" i="1"/>
  <c r="AC104" i="1"/>
  <c r="AF104" i="1"/>
  <c r="AA105" i="1"/>
  <c r="AB105" i="1"/>
  <c r="AC105" i="1"/>
  <c r="AF105" i="1"/>
  <c r="AA106" i="1"/>
  <c r="AB106" i="1"/>
  <c r="AC106" i="1"/>
  <c r="AF106" i="1"/>
  <c r="AA107" i="1"/>
  <c r="AB107" i="1"/>
  <c r="AC107" i="1"/>
  <c r="AF107" i="1"/>
  <c r="AA108" i="1"/>
  <c r="AB108" i="1"/>
  <c r="AC108" i="1"/>
  <c r="AF108" i="1"/>
  <c r="AA109" i="1"/>
  <c r="AB109" i="1"/>
  <c r="AC109" i="1"/>
  <c r="AF109" i="1"/>
  <c r="AA110" i="1"/>
  <c r="AB110" i="1"/>
  <c r="AC110" i="1"/>
  <c r="AF110" i="1"/>
  <c r="AA111" i="1"/>
  <c r="AB111" i="1"/>
  <c r="AC111" i="1"/>
  <c r="AF111" i="1"/>
  <c r="AA112" i="1"/>
  <c r="AB112" i="1"/>
  <c r="AC112" i="1"/>
  <c r="AF112" i="1"/>
  <c r="AA113" i="1"/>
  <c r="AB113" i="1"/>
  <c r="AC113" i="1"/>
  <c r="AF113" i="1"/>
  <c r="AA114" i="1"/>
  <c r="AB114" i="1"/>
  <c r="AC114" i="1"/>
  <c r="AF114" i="1"/>
  <c r="AA115" i="1"/>
  <c r="AB115" i="1"/>
  <c r="AC115" i="1"/>
  <c r="AF115" i="1"/>
  <c r="AA116" i="1"/>
  <c r="AB116" i="1"/>
  <c r="AC116" i="1"/>
  <c r="AF116" i="1"/>
  <c r="AA117" i="1"/>
  <c r="AB117" i="1"/>
  <c r="AC117" i="1"/>
  <c r="AF117" i="1"/>
  <c r="AA118" i="1"/>
  <c r="AB118" i="1"/>
  <c r="AC118" i="1"/>
  <c r="AF118" i="1"/>
  <c r="AA119" i="1"/>
  <c r="AB119" i="1"/>
  <c r="AC119" i="1"/>
  <c r="AF119" i="1"/>
  <c r="AA120" i="1"/>
  <c r="AB120" i="1"/>
  <c r="AC120" i="1"/>
  <c r="AF120" i="1"/>
  <c r="AA121" i="1"/>
  <c r="AB121" i="1"/>
  <c r="AC121" i="1"/>
  <c r="AF121" i="1"/>
  <c r="AA122" i="1"/>
  <c r="AB122" i="1"/>
  <c r="AC122" i="1"/>
  <c r="AF122" i="1"/>
  <c r="AA123" i="1"/>
  <c r="AB123" i="1"/>
  <c r="AC123" i="1"/>
  <c r="AF123" i="1"/>
  <c r="AA124" i="1"/>
  <c r="AB124" i="1"/>
  <c r="AC124" i="1"/>
  <c r="AF124" i="1"/>
  <c r="AA125" i="1"/>
  <c r="AB125" i="1"/>
  <c r="AC125" i="1"/>
  <c r="AF125" i="1"/>
  <c r="AA126" i="1"/>
  <c r="AB126" i="1"/>
  <c r="AC126" i="1"/>
  <c r="AF126" i="1"/>
  <c r="AA127" i="1"/>
  <c r="AB127" i="1"/>
  <c r="AC127" i="1"/>
  <c r="AF127" i="1"/>
  <c r="AA128" i="1"/>
  <c r="AB128" i="1"/>
  <c r="AC128" i="1"/>
  <c r="AF128" i="1"/>
  <c r="AA129" i="1"/>
  <c r="AB129" i="1"/>
  <c r="AC129" i="1"/>
  <c r="AF129" i="1"/>
  <c r="AA130" i="1"/>
  <c r="AB130" i="1"/>
  <c r="AC130" i="1"/>
  <c r="AF130" i="1"/>
  <c r="AA131" i="1"/>
  <c r="AB131" i="1"/>
  <c r="AC131" i="1"/>
  <c r="AF131" i="1"/>
  <c r="AA132" i="1"/>
  <c r="AB132" i="1"/>
  <c r="AC132" i="1"/>
  <c r="AF132" i="1"/>
  <c r="AA133" i="1"/>
  <c r="AB133" i="1"/>
  <c r="AC133" i="1"/>
  <c r="AF133" i="1"/>
  <c r="AA134" i="1"/>
  <c r="AB134" i="1"/>
  <c r="AC134" i="1"/>
  <c r="AF134" i="1"/>
  <c r="AA135" i="1"/>
  <c r="AB135" i="1"/>
  <c r="AC135" i="1"/>
  <c r="AF135" i="1"/>
  <c r="AA136" i="1"/>
  <c r="AB136" i="1"/>
  <c r="AC136" i="1"/>
  <c r="AF136" i="1"/>
  <c r="AA137" i="1"/>
  <c r="AB137" i="1"/>
  <c r="AC137" i="1"/>
  <c r="AF137" i="1"/>
  <c r="AA138" i="1"/>
  <c r="AB138" i="1"/>
  <c r="AC138" i="1"/>
  <c r="AF138" i="1"/>
  <c r="AA139" i="1"/>
  <c r="AB139" i="1"/>
  <c r="AC139" i="1"/>
  <c r="AF139" i="1"/>
  <c r="AA140" i="1"/>
  <c r="AB140" i="1"/>
  <c r="AC140" i="1"/>
  <c r="AF140" i="1"/>
  <c r="AA141" i="1"/>
  <c r="AB141" i="1"/>
  <c r="AC141" i="1"/>
  <c r="AF141" i="1"/>
  <c r="AA142" i="1"/>
  <c r="AB142" i="1"/>
  <c r="AC142" i="1"/>
  <c r="AF142" i="1"/>
  <c r="AA143" i="1"/>
  <c r="AB143" i="1"/>
  <c r="AC143" i="1"/>
  <c r="AF143" i="1"/>
  <c r="AA144" i="1"/>
  <c r="AB144" i="1"/>
  <c r="AC144" i="1"/>
  <c r="AF144" i="1"/>
  <c r="AA145" i="1"/>
  <c r="AB145" i="1"/>
  <c r="AC145" i="1"/>
  <c r="AF145" i="1"/>
  <c r="AA146" i="1"/>
  <c r="AB146" i="1"/>
  <c r="AC146" i="1"/>
  <c r="AF146" i="1"/>
  <c r="AA147" i="1"/>
  <c r="AB147" i="1"/>
  <c r="AC147" i="1"/>
  <c r="AF147" i="1"/>
  <c r="AA148" i="1"/>
  <c r="AB148" i="1"/>
  <c r="AC148" i="1"/>
  <c r="AF148" i="1"/>
  <c r="AA149" i="1"/>
  <c r="AB149" i="1"/>
  <c r="AC149" i="1"/>
  <c r="AF149" i="1"/>
  <c r="AA150" i="1"/>
  <c r="AB150" i="1"/>
  <c r="AC150" i="1"/>
  <c r="AF150" i="1"/>
  <c r="AA151" i="1"/>
  <c r="AB151" i="1"/>
  <c r="AC151" i="1"/>
  <c r="AF151" i="1"/>
  <c r="AA152" i="1"/>
  <c r="AB152" i="1"/>
  <c r="AC152" i="1"/>
  <c r="AF152" i="1"/>
  <c r="AA153" i="1"/>
  <c r="AB153" i="1"/>
  <c r="AC153" i="1"/>
  <c r="AF153" i="1"/>
  <c r="AA154" i="1"/>
  <c r="AB154" i="1"/>
  <c r="AC154" i="1"/>
  <c r="AF154" i="1"/>
  <c r="AA155" i="1"/>
  <c r="AB155" i="1"/>
  <c r="AC155" i="1"/>
  <c r="AF155" i="1"/>
  <c r="AA156" i="1"/>
  <c r="AB156" i="1"/>
  <c r="AC156" i="1"/>
  <c r="AF156" i="1"/>
  <c r="AA157" i="1"/>
  <c r="AB157" i="1"/>
  <c r="AC157" i="1"/>
  <c r="AF157" i="1"/>
  <c r="AA158" i="1"/>
  <c r="AB158" i="1"/>
  <c r="AC158" i="1"/>
  <c r="AF158" i="1"/>
  <c r="AA159" i="1"/>
  <c r="AB159" i="1"/>
  <c r="AC159" i="1"/>
  <c r="AF159" i="1"/>
  <c r="AA160" i="1"/>
  <c r="AB160" i="1"/>
  <c r="AC160" i="1"/>
  <c r="AF160" i="1"/>
  <c r="AA161" i="1"/>
  <c r="AB161" i="1"/>
  <c r="AC161" i="1"/>
  <c r="AF161" i="1"/>
  <c r="AA162" i="1"/>
  <c r="AB162" i="1"/>
  <c r="AC162" i="1"/>
  <c r="AF162" i="1"/>
  <c r="AA163" i="1"/>
  <c r="AB163" i="1"/>
  <c r="AC163" i="1"/>
  <c r="AF163" i="1"/>
  <c r="AA164" i="1"/>
  <c r="AB164" i="1"/>
  <c r="AC164" i="1"/>
  <c r="AF164" i="1"/>
  <c r="AA165" i="1"/>
  <c r="AB165" i="1"/>
  <c r="AC165" i="1"/>
  <c r="AF165" i="1"/>
  <c r="AA166" i="1"/>
  <c r="AB166" i="1"/>
  <c r="AC166" i="1"/>
  <c r="AF166" i="1"/>
  <c r="AA167" i="1"/>
  <c r="AB167" i="1"/>
  <c r="AC167" i="1"/>
  <c r="AF167" i="1"/>
  <c r="AA168" i="1"/>
  <c r="AB168" i="1"/>
  <c r="AC168" i="1"/>
  <c r="AF168" i="1"/>
  <c r="AA169" i="1"/>
  <c r="AB169" i="1"/>
  <c r="AC169" i="1"/>
  <c r="AF169" i="1"/>
  <c r="AA170" i="1"/>
  <c r="AB170" i="1"/>
  <c r="AC170" i="1"/>
  <c r="AF170" i="1"/>
  <c r="AA171" i="1"/>
  <c r="AB171" i="1"/>
  <c r="AC171" i="1"/>
  <c r="AF171" i="1"/>
  <c r="AA172" i="1"/>
  <c r="AB172" i="1"/>
  <c r="AC172" i="1"/>
  <c r="AF172" i="1"/>
  <c r="AA173" i="1"/>
  <c r="AB173" i="1"/>
  <c r="AC173" i="1"/>
  <c r="AF173" i="1"/>
  <c r="AA174" i="1"/>
  <c r="AB174" i="1"/>
  <c r="AC174" i="1"/>
  <c r="AF174" i="1"/>
  <c r="AA175" i="1"/>
  <c r="AB175" i="1"/>
  <c r="AC175" i="1"/>
  <c r="AF175" i="1"/>
  <c r="AA176" i="1"/>
  <c r="AB176" i="1"/>
  <c r="AC176" i="1"/>
  <c r="AF176" i="1"/>
  <c r="AA177" i="1"/>
  <c r="AB177" i="1"/>
  <c r="AC177" i="1"/>
  <c r="AF177" i="1"/>
  <c r="AA178" i="1"/>
  <c r="AB178" i="1"/>
  <c r="AC178" i="1"/>
  <c r="AF178" i="1"/>
  <c r="AA179" i="1"/>
  <c r="AB179" i="1"/>
  <c r="AC179" i="1"/>
  <c r="AF179" i="1"/>
  <c r="AA180" i="1"/>
  <c r="AB180" i="1"/>
  <c r="AC180" i="1"/>
  <c r="AF180" i="1"/>
  <c r="AA181" i="1"/>
  <c r="AB181" i="1"/>
  <c r="AC181" i="1"/>
  <c r="AF181" i="1"/>
  <c r="AA182" i="1"/>
  <c r="AB182" i="1"/>
  <c r="AC182" i="1"/>
  <c r="AF182" i="1"/>
  <c r="AA183" i="1"/>
  <c r="AB183" i="1"/>
  <c r="AC183" i="1"/>
  <c r="AF183" i="1"/>
  <c r="AA184" i="1"/>
  <c r="AB184" i="1"/>
  <c r="AC184" i="1"/>
  <c r="AF184" i="1"/>
  <c r="AA185" i="1"/>
  <c r="AB185" i="1"/>
  <c r="AC185" i="1"/>
  <c r="AF185" i="1"/>
  <c r="AA186" i="1"/>
  <c r="AB186" i="1"/>
  <c r="AC186" i="1"/>
  <c r="AF186" i="1"/>
  <c r="AA187" i="1"/>
  <c r="AB187" i="1"/>
  <c r="AC187" i="1"/>
  <c r="AF187" i="1"/>
  <c r="AA188" i="1"/>
  <c r="AB188" i="1"/>
  <c r="AC188" i="1"/>
  <c r="AF188" i="1"/>
  <c r="AA189" i="1"/>
  <c r="AB189" i="1"/>
  <c r="AC189" i="1"/>
  <c r="AF189" i="1"/>
  <c r="AA190" i="1"/>
  <c r="AB190" i="1"/>
  <c r="AC190" i="1"/>
  <c r="AF190" i="1"/>
  <c r="AA191" i="1"/>
  <c r="AB191" i="1"/>
  <c r="AC191" i="1"/>
  <c r="AF191" i="1"/>
  <c r="AA192" i="1"/>
  <c r="AB192" i="1"/>
  <c r="AC192" i="1"/>
  <c r="AF192" i="1"/>
  <c r="AA193" i="1"/>
  <c r="AB193" i="1"/>
  <c r="AC193" i="1"/>
  <c r="AF193" i="1"/>
  <c r="AA194" i="1"/>
  <c r="AB194" i="1"/>
  <c r="AC194" i="1"/>
  <c r="AF194" i="1"/>
  <c r="AA195" i="1"/>
  <c r="AB195" i="1"/>
  <c r="AC195" i="1"/>
  <c r="AF195" i="1"/>
  <c r="AA196" i="1"/>
  <c r="AB196" i="1"/>
  <c r="AC196" i="1"/>
  <c r="AF196" i="1"/>
  <c r="AA197" i="1"/>
  <c r="AB197" i="1"/>
  <c r="AC197" i="1"/>
  <c r="AF197" i="1"/>
  <c r="AA198" i="1"/>
  <c r="AB198" i="1"/>
  <c r="AC198" i="1"/>
  <c r="AF198" i="1"/>
  <c r="AA199" i="1"/>
  <c r="AB199" i="1"/>
  <c r="AC199" i="1"/>
  <c r="AF199" i="1"/>
  <c r="AA200" i="1"/>
  <c r="AB200" i="1"/>
  <c r="AC200" i="1"/>
  <c r="AF200" i="1"/>
  <c r="AA201" i="1"/>
  <c r="AB201" i="1"/>
  <c r="AC201" i="1"/>
  <c r="AF201" i="1"/>
  <c r="AA202" i="1"/>
  <c r="AB202" i="1"/>
  <c r="AC202" i="1"/>
  <c r="AF202" i="1"/>
  <c r="AA203" i="1"/>
  <c r="AB203" i="1"/>
  <c r="AC203" i="1"/>
  <c r="AF203" i="1"/>
  <c r="AA204" i="1"/>
  <c r="AB204" i="1"/>
  <c r="AC204" i="1"/>
  <c r="AF204" i="1"/>
  <c r="AA205" i="1"/>
  <c r="AB205" i="1"/>
  <c r="AC205" i="1"/>
  <c r="AF205" i="1"/>
  <c r="AA206" i="1"/>
  <c r="AB206" i="1"/>
  <c r="AC206" i="1"/>
  <c r="AF206" i="1"/>
  <c r="AA207" i="1"/>
  <c r="AB207" i="1"/>
  <c r="AC207" i="1"/>
  <c r="AF207" i="1"/>
  <c r="AA208" i="1"/>
  <c r="AB208" i="1"/>
  <c r="AC208" i="1"/>
  <c r="AF208" i="1"/>
  <c r="AA209" i="1"/>
  <c r="AB209" i="1"/>
  <c r="AC209" i="1"/>
  <c r="AF209" i="1"/>
  <c r="AA210" i="1"/>
  <c r="AB210" i="1"/>
  <c r="AC210" i="1"/>
  <c r="AF210" i="1"/>
  <c r="AA211" i="1"/>
  <c r="AB211" i="1"/>
  <c r="AC211" i="1"/>
  <c r="AF211" i="1"/>
  <c r="AA212" i="1"/>
  <c r="AB212" i="1"/>
  <c r="AC212" i="1"/>
  <c r="AF212" i="1"/>
  <c r="AA213" i="1"/>
  <c r="AB213" i="1"/>
  <c r="AC213" i="1"/>
  <c r="AF213" i="1"/>
  <c r="AA214" i="1"/>
  <c r="AB214" i="1"/>
  <c r="AC214" i="1"/>
  <c r="AF214" i="1"/>
  <c r="AA215" i="1"/>
  <c r="AB215" i="1"/>
  <c r="AC215" i="1"/>
  <c r="AF215" i="1"/>
  <c r="AA216" i="1"/>
  <c r="AB216" i="1"/>
  <c r="AC216" i="1"/>
  <c r="AF216" i="1"/>
  <c r="AA217" i="1"/>
  <c r="AB217" i="1"/>
  <c r="AC217" i="1"/>
  <c r="AF217" i="1"/>
  <c r="AA218" i="1"/>
  <c r="AB218" i="1"/>
  <c r="AC218" i="1"/>
  <c r="AF218" i="1"/>
  <c r="AA219" i="1"/>
  <c r="AB219" i="1"/>
  <c r="AC219" i="1"/>
  <c r="AF219" i="1"/>
  <c r="AA220" i="1"/>
  <c r="AB220" i="1"/>
  <c r="AC220" i="1"/>
  <c r="AF220" i="1"/>
  <c r="AA221" i="1"/>
  <c r="AB221" i="1"/>
  <c r="AC221" i="1"/>
  <c r="AF221" i="1"/>
  <c r="AA222" i="1"/>
  <c r="AB222" i="1"/>
  <c r="AC222" i="1"/>
  <c r="AF222" i="1"/>
  <c r="AA223" i="1"/>
  <c r="AB223" i="1"/>
  <c r="AC223" i="1"/>
  <c r="AF223" i="1"/>
  <c r="AA224" i="1"/>
  <c r="AB224" i="1"/>
  <c r="AC224" i="1"/>
  <c r="AF224" i="1"/>
  <c r="AA225" i="1"/>
  <c r="AB225" i="1"/>
  <c r="AC225" i="1"/>
  <c r="AF225" i="1"/>
  <c r="AA226" i="1"/>
  <c r="AB226" i="1"/>
  <c r="AC226" i="1"/>
  <c r="AF226" i="1"/>
  <c r="AA227" i="1"/>
  <c r="AB227" i="1"/>
  <c r="AC227" i="1"/>
  <c r="AF227" i="1"/>
  <c r="AA228" i="1"/>
  <c r="AB228" i="1"/>
  <c r="AC228" i="1"/>
  <c r="AF228" i="1"/>
  <c r="AA229" i="1"/>
  <c r="AB229" i="1"/>
  <c r="AC229" i="1"/>
  <c r="AF229" i="1"/>
  <c r="AA230" i="1"/>
  <c r="AB230" i="1"/>
  <c r="AC230" i="1"/>
  <c r="AF230" i="1"/>
  <c r="AA231" i="1"/>
  <c r="AB231" i="1"/>
  <c r="AC231" i="1"/>
  <c r="AF231" i="1"/>
  <c r="AA232" i="1"/>
  <c r="AB232" i="1"/>
  <c r="AC232" i="1"/>
  <c r="AF232" i="1"/>
  <c r="AA233" i="1"/>
  <c r="AB233" i="1"/>
  <c r="AC233" i="1"/>
  <c r="AF233" i="1"/>
  <c r="AA234" i="1"/>
  <c r="AB234" i="1"/>
  <c r="AC234" i="1"/>
  <c r="AF234" i="1"/>
  <c r="AA235" i="1"/>
  <c r="AB235" i="1"/>
  <c r="AC235" i="1"/>
  <c r="AF235" i="1"/>
  <c r="AA236" i="1"/>
  <c r="AB236" i="1"/>
  <c r="AC236" i="1"/>
  <c r="AF236" i="1"/>
  <c r="AA237" i="1"/>
  <c r="AB237" i="1"/>
  <c r="AC237" i="1"/>
  <c r="AF237" i="1"/>
  <c r="AA238" i="1"/>
  <c r="AB238" i="1"/>
  <c r="AC238" i="1"/>
  <c r="AF238" i="1"/>
  <c r="AA239" i="1"/>
  <c r="AB239" i="1"/>
  <c r="AC239" i="1"/>
  <c r="AF239" i="1"/>
  <c r="AA240" i="1"/>
  <c r="AB240" i="1"/>
  <c r="AC240" i="1"/>
  <c r="AF240" i="1"/>
  <c r="AA241" i="1"/>
  <c r="AB241" i="1"/>
  <c r="AC241" i="1"/>
  <c r="AF241" i="1"/>
  <c r="AA242" i="1"/>
  <c r="AB242" i="1"/>
  <c r="AC242" i="1"/>
  <c r="AF242" i="1"/>
  <c r="AA243" i="1"/>
  <c r="AB243" i="1"/>
  <c r="AC243" i="1"/>
  <c r="AF243" i="1"/>
  <c r="AA244" i="1"/>
  <c r="AB244" i="1"/>
  <c r="AC244" i="1"/>
  <c r="AF244" i="1"/>
  <c r="AA245" i="1"/>
  <c r="AB245" i="1"/>
  <c r="AC245" i="1"/>
  <c r="AF245" i="1"/>
  <c r="AA246" i="1"/>
  <c r="AB246" i="1"/>
  <c r="AC246" i="1"/>
  <c r="AF246" i="1"/>
  <c r="AA247" i="1"/>
  <c r="AB247" i="1"/>
  <c r="AC247" i="1"/>
  <c r="AF247" i="1"/>
  <c r="AA248" i="1"/>
  <c r="AB248" i="1"/>
  <c r="AC248" i="1"/>
  <c r="AF248" i="1"/>
  <c r="AA249" i="1"/>
  <c r="AB249" i="1"/>
  <c r="AC249" i="1"/>
  <c r="AF249" i="1"/>
  <c r="AA250" i="1"/>
  <c r="AB250" i="1"/>
  <c r="AC250" i="1"/>
  <c r="AF250" i="1"/>
  <c r="AA251" i="1"/>
  <c r="AB251" i="1"/>
  <c r="AC251" i="1"/>
  <c r="AF251" i="1"/>
  <c r="AA252" i="1"/>
  <c r="AB252" i="1"/>
  <c r="AC252" i="1"/>
  <c r="AF252" i="1"/>
  <c r="AA253" i="1"/>
  <c r="AB253" i="1"/>
  <c r="AC253" i="1"/>
  <c r="AF253" i="1"/>
  <c r="AA254" i="1"/>
  <c r="AB254" i="1"/>
  <c r="AC254" i="1"/>
  <c r="AF254" i="1"/>
  <c r="AA255" i="1"/>
  <c r="AB255" i="1"/>
  <c r="AC255" i="1"/>
  <c r="AF255" i="1"/>
  <c r="AA256" i="1"/>
  <c r="AB256" i="1"/>
  <c r="AC256" i="1"/>
  <c r="AF256" i="1"/>
  <c r="AA257" i="1"/>
  <c r="AB257" i="1"/>
  <c r="AC257" i="1"/>
  <c r="AF257" i="1"/>
  <c r="AA258" i="1"/>
  <c r="AB258" i="1"/>
  <c r="AC258" i="1"/>
  <c r="AF258" i="1"/>
  <c r="AA259" i="1"/>
  <c r="AB259" i="1"/>
  <c r="AC259" i="1"/>
  <c r="AF259" i="1"/>
  <c r="AA260" i="1"/>
  <c r="AB260" i="1"/>
  <c r="AC260" i="1"/>
  <c r="AF260" i="1"/>
  <c r="AA261" i="1"/>
  <c r="AB261" i="1"/>
  <c r="AC261" i="1"/>
  <c r="AF261" i="1"/>
  <c r="AA262" i="1"/>
  <c r="AB262" i="1"/>
  <c r="AC262" i="1"/>
  <c r="AF262" i="1"/>
  <c r="AA263" i="1"/>
  <c r="AB263" i="1"/>
  <c r="AC263" i="1"/>
  <c r="AF263" i="1"/>
  <c r="AA264" i="1"/>
  <c r="AB264" i="1"/>
  <c r="AC264" i="1"/>
  <c r="AF264" i="1"/>
  <c r="AA265" i="1"/>
  <c r="AB265" i="1"/>
  <c r="AC265" i="1"/>
  <c r="AF265" i="1"/>
  <c r="AA266" i="1"/>
  <c r="AB266" i="1"/>
  <c r="AC266" i="1"/>
  <c r="AF266" i="1"/>
  <c r="AA267" i="1"/>
  <c r="AB267" i="1"/>
  <c r="AC267" i="1"/>
  <c r="AF267" i="1"/>
  <c r="AA268" i="1"/>
  <c r="AB268" i="1"/>
  <c r="AC268" i="1"/>
  <c r="AF268" i="1"/>
  <c r="AA269" i="1"/>
  <c r="AB269" i="1"/>
  <c r="AC269" i="1"/>
  <c r="AF269" i="1"/>
  <c r="AA270" i="1"/>
  <c r="AB270" i="1"/>
  <c r="AC270" i="1"/>
  <c r="AF270" i="1"/>
  <c r="AA271" i="1"/>
  <c r="AB271" i="1"/>
  <c r="AC271" i="1"/>
  <c r="AF271" i="1"/>
  <c r="AA272" i="1"/>
  <c r="AB272" i="1"/>
  <c r="AC272" i="1"/>
  <c r="AF272" i="1"/>
  <c r="AA273" i="1"/>
  <c r="AB273" i="1"/>
  <c r="AC273" i="1"/>
  <c r="AF273" i="1"/>
  <c r="AA274" i="1"/>
  <c r="AB274" i="1"/>
  <c r="AC274" i="1"/>
  <c r="AF274" i="1"/>
  <c r="AA275" i="1"/>
  <c r="AB275" i="1"/>
  <c r="AC275" i="1"/>
  <c r="AF275" i="1"/>
  <c r="AA276" i="1"/>
  <c r="AB276" i="1"/>
  <c r="AC276" i="1"/>
  <c r="AF276" i="1"/>
  <c r="AA277" i="1"/>
  <c r="AB277" i="1"/>
  <c r="AC277" i="1"/>
  <c r="AF277" i="1"/>
  <c r="AA278" i="1"/>
  <c r="AB278" i="1"/>
  <c r="AC278" i="1"/>
  <c r="AF278" i="1"/>
  <c r="AA279" i="1"/>
  <c r="AB279" i="1"/>
  <c r="AC279" i="1"/>
  <c r="AF279" i="1"/>
  <c r="AA280" i="1"/>
  <c r="AB280" i="1"/>
  <c r="AC280" i="1"/>
  <c r="AF280" i="1"/>
  <c r="AA281" i="1"/>
  <c r="AB281" i="1"/>
  <c r="AC281" i="1"/>
  <c r="AF281" i="1"/>
  <c r="AA282" i="1"/>
  <c r="AB282" i="1"/>
  <c r="AC282" i="1"/>
  <c r="AF282" i="1"/>
  <c r="AA283" i="1"/>
  <c r="AB283" i="1"/>
  <c r="AC283" i="1"/>
  <c r="AF283" i="1"/>
  <c r="AA284" i="1"/>
  <c r="AB284" i="1"/>
  <c r="AC284" i="1"/>
  <c r="AF284" i="1"/>
  <c r="AA285" i="1"/>
  <c r="AB285" i="1"/>
  <c r="AC285" i="1"/>
  <c r="AF285" i="1"/>
  <c r="AA286" i="1"/>
  <c r="AB286" i="1"/>
  <c r="AC286" i="1"/>
  <c r="AF286" i="1"/>
  <c r="AA287" i="1"/>
  <c r="AB287" i="1"/>
  <c r="AC287" i="1"/>
  <c r="AF287" i="1"/>
  <c r="AA288" i="1"/>
  <c r="AB288" i="1"/>
  <c r="AC288" i="1"/>
  <c r="AF288" i="1"/>
  <c r="AA289" i="1"/>
  <c r="AB289" i="1"/>
  <c r="AC289" i="1"/>
  <c r="AF289" i="1"/>
  <c r="AA290" i="1"/>
  <c r="AB290" i="1"/>
  <c r="AC290" i="1"/>
  <c r="AF290" i="1"/>
  <c r="AA291" i="1"/>
  <c r="AB291" i="1"/>
  <c r="AC291" i="1"/>
  <c r="AF291" i="1"/>
  <c r="AA292" i="1"/>
  <c r="AB292" i="1"/>
  <c r="AC292" i="1"/>
  <c r="AF292" i="1"/>
  <c r="AA293" i="1"/>
  <c r="AB293" i="1"/>
  <c r="AC293" i="1"/>
  <c r="AF293" i="1"/>
  <c r="AA294" i="1"/>
  <c r="AB294" i="1"/>
  <c r="AC294" i="1"/>
  <c r="AF294" i="1"/>
  <c r="AA295" i="1"/>
  <c r="AB295" i="1"/>
  <c r="AC295" i="1"/>
  <c r="AF295" i="1"/>
  <c r="AA296" i="1"/>
  <c r="AB296" i="1"/>
  <c r="AC296" i="1"/>
  <c r="AF296" i="1"/>
  <c r="AA297" i="1"/>
  <c r="AB297" i="1"/>
  <c r="AC297" i="1"/>
  <c r="AF297" i="1"/>
  <c r="AA298" i="1"/>
  <c r="AB298" i="1"/>
  <c r="AC298" i="1"/>
  <c r="AF298" i="1"/>
  <c r="AA299" i="1"/>
  <c r="AB299" i="1"/>
  <c r="AC299" i="1"/>
  <c r="AF299" i="1"/>
  <c r="AA300" i="1"/>
  <c r="AB300" i="1"/>
  <c r="AC300" i="1"/>
  <c r="AF300" i="1"/>
  <c r="AA301" i="1"/>
  <c r="AB301" i="1"/>
  <c r="AC301" i="1"/>
  <c r="AF301" i="1"/>
  <c r="AA302" i="1"/>
  <c r="AB302" i="1"/>
  <c r="AC302" i="1"/>
  <c r="AF302" i="1"/>
  <c r="AA303" i="1"/>
  <c r="AB303" i="1"/>
  <c r="AC303" i="1"/>
  <c r="AF303" i="1"/>
  <c r="AA304" i="1"/>
  <c r="AB304" i="1"/>
  <c r="AC304" i="1"/>
  <c r="AF304" i="1"/>
  <c r="AA305" i="1"/>
  <c r="AB305" i="1"/>
  <c r="AC305" i="1"/>
  <c r="AF305" i="1"/>
  <c r="AA306" i="1"/>
  <c r="AB306" i="1"/>
  <c r="AC306" i="1"/>
  <c r="AF306" i="1"/>
  <c r="AA307" i="1"/>
  <c r="AB307" i="1"/>
  <c r="AC307" i="1"/>
  <c r="AF307" i="1"/>
  <c r="AA308" i="1"/>
  <c r="AB308" i="1"/>
  <c r="AC308" i="1"/>
  <c r="AF308" i="1"/>
  <c r="AA309" i="1"/>
  <c r="AB309" i="1"/>
  <c r="AC309" i="1"/>
  <c r="AF309" i="1"/>
  <c r="AA310" i="1"/>
  <c r="AB310" i="1"/>
  <c r="AC310" i="1"/>
  <c r="AF310" i="1"/>
  <c r="AA311" i="1"/>
  <c r="AB311" i="1"/>
  <c r="AC311" i="1"/>
  <c r="AF311" i="1"/>
  <c r="AA312" i="1"/>
  <c r="AB312" i="1"/>
  <c r="AC312" i="1"/>
  <c r="AF312" i="1"/>
  <c r="AA313" i="1"/>
  <c r="AB313" i="1"/>
  <c r="AC313" i="1"/>
  <c r="AF313" i="1"/>
  <c r="AA314" i="1"/>
  <c r="AB314" i="1"/>
  <c r="AC314" i="1"/>
  <c r="AF314" i="1"/>
  <c r="AA315" i="1"/>
  <c r="AB315" i="1"/>
  <c r="AC315" i="1"/>
  <c r="AF315" i="1"/>
  <c r="AA316" i="1"/>
  <c r="AB316" i="1"/>
  <c r="AC316" i="1"/>
  <c r="AF316" i="1"/>
  <c r="AA317" i="1"/>
  <c r="AB317" i="1"/>
  <c r="AC317" i="1"/>
  <c r="AF317" i="1"/>
  <c r="AA318" i="1"/>
  <c r="AB318" i="1"/>
  <c r="AC318" i="1"/>
  <c r="AF318" i="1"/>
  <c r="AA319" i="1"/>
  <c r="AB319" i="1"/>
  <c r="AC319" i="1"/>
  <c r="AF319" i="1"/>
  <c r="AA320" i="1"/>
  <c r="AB320" i="1"/>
  <c r="AC320" i="1"/>
  <c r="AF320" i="1"/>
  <c r="AA321" i="1"/>
  <c r="AB321" i="1"/>
  <c r="AC321" i="1"/>
  <c r="AF321" i="1"/>
  <c r="AA322" i="1"/>
  <c r="AB322" i="1"/>
  <c r="AC322" i="1"/>
  <c r="AF322" i="1"/>
  <c r="AA323" i="1"/>
  <c r="AB323" i="1"/>
  <c r="AC323" i="1"/>
  <c r="AF323" i="1"/>
  <c r="AA324" i="1"/>
  <c r="AB324" i="1"/>
  <c r="AC324" i="1"/>
  <c r="AF324" i="1"/>
  <c r="AA325" i="1"/>
  <c r="AB325" i="1"/>
  <c r="AC325" i="1"/>
  <c r="AF325" i="1"/>
  <c r="AA326" i="1"/>
  <c r="AB326" i="1"/>
  <c r="AC326" i="1"/>
  <c r="AF326" i="1"/>
  <c r="AA327" i="1"/>
  <c r="AB327" i="1"/>
  <c r="AC327" i="1"/>
  <c r="AF327" i="1"/>
  <c r="AA328" i="1"/>
  <c r="AB328" i="1"/>
  <c r="AC328" i="1"/>
  <c r="AF328" i="1"/>
  <c r="AA329" i="1"/>
  <c r="AB329" i="1"/>
  <c r="AC329" i="1"/>
  <c r="AF329" i="1"/>
  <c r="AA330" i="1"/>
  <c r="AB330" i="1"/>
  <c r="AC330" i="1"/>
  <c r="AF330" i="1"/>
  <c r="AA331" i="1"/>
  <c r="AB331" i="1"/>
  <c r="AC331" i="1"/>
  <c r="AF331" i="1"/>
  <c r="AA332" i="1"/>
  <c r="AB332" i="1"/>
  <c r="AC332" i="1"/>
  <c r="AF332" i="1"/>
  <c r="AA333" i="1"/>
  <c r="AB333" i="1"/>
  <c r="AC333" i="1"/>
  <c r="AF333" i="1"/>
  <c r="AA334" i="1"/>
  <c r="AB334" i="1"/>
  <c r="AC334" i="1"/>
  <c r="AF334" i="1"/>
  <c r="AA335" i="1"/>
  <c r="AB335" i="1"/>
  <c r="AC335" i="1"/>
  <c r="AF335" i="1"/>
  <c r="AA336" i="1"/>
  <c r="AB336" i="1"/>
  <c r="AC336" i="1"/>
  <c r="AF336" i="1"/>
  <c r="AA337" i="1"/>
  <c r="AB337" i="1"/>
  <c r="AC337" i="1"/>
  <c r="AF337" i="1"/>
  <c r="AA338" i="1"/>
  <c r="AB338" i="1"/>
  <c r="AC338" i="1"/>
  <c r="AF338" i="1"/>
  <c r="AA339" i="1"/>
  <c r="AB339" i="1"/>
  <c r="AC339" i="1"/>
  <c r="AF339" i="1"/>
  <c r="AA340" i="1"/>
  <c r="AB340" i="1"/>
  <c r="AC340" i="1"/>
  <c r="AF340" i="1"/>
  <c r="AA341" i="1"/>
  <c r="AB341" i="1"/>
  <c r="AC341" i="1"/>
  <c r="AF341" i="1"/>
  <c r="AA342" i="1"/>
  <c r="AB342" i="1"/>
  <c r="AC342" i="1"/>
  <c r="AF342" i="1"/>
  <c r="AA343" i="1"/>
  <c r="AB343" i="1"/>
  <c r="AC343" i="1"/>
  <c r="AF343" i="1"/>
  <c r="AA344" i="1"/>
  <c r="AB344" i="1"/>
  <c r="AC344" i="1"/>
  <c r="AF344" i="1"/>
  <c r="AA345" i="1"/>
  <c r="AB345" i="1"/>
  <c r="AC345" i="1"/>
  <c r="AF345" i="1"/>
  <c r="AA346" i="1"/>
  <c r="AB346" i="1"/>
  <c r="AC346" i="1"/>
  <c r="AF346" i="1"/>
  <c r="AA347" i="1"/>
  <c r="AB347" i="1"/>
  <c r="AC347" i="1"/>
  <c r="AF347" i="1"/>
  <c r="AA348" i="1"/>
  <c r="AB348" i="1"/>
  <c r="AC348" i="1"/>
  <c r="AF348" i="1"/>
  <c r="AA349" i="1"/>
  <c r="AB349" i="1"/>
  <c r="AC349" i="1"/>
  <c r="AF349" i="1"/>
  <c r="AA350" i="1"/>
  <c r="AB350" i="1"/>
  <c r="AC350" i="1"/>
  <c r="AF350" i="1"/>
  <c r="AA351" i="1"/>
  <c r="AB351" i="1"/>
  <c r="AC351" i="1"/>
  <c r="AF351" i="1"/>
  <c r="AA352" i="1"/>
  <c r="AB352" i="1"/>
  <c r="AC352" i="1"/>
  <c r="AF352" i="1"/>
  <c r="AA353" i="1"/>
  <c r="AB353" i="1"/>
  <c r="AC353" i="1"/>
  <c r="AF353" i="1"/>
  <c r="AA354" i="1"/>
  <c r="AB354" i="1"/>
  <c r="AC354" i="1"/>
  <c r="AF354" i="1"/>
  <c r="AA355" i="1"/>
  <c r="AB355" i="1"/>
  <c r="AC355" i="1"/>
  <c r="AF355" i="1"/>
  <c r="AA356" i="1"/>
  <c r="AB356" i="1"/>
  <c r="AC356" i="1"/>
  <c r="AF356" i="1"/>
  <c r="AA357" i="1"/>
  <c r="AB357" i="1"/>
  <c r="AC357" i="1"/>
  <c r="AF357" i="1"/>
  <c r="AA358" i="1"/>
  <c r="AB358" i="1"/>
  <c r="AC358" i="1"/>
  <c r="AF358" i="1"/>
  <c r="AA359" i="1"/>
  <c r="AB359" i="1"/>
  <c r="AC359" i="1"/>
  <c r="AF359" i="1"/>
  <c r="AA360" i="1"/>
  <c r="AB360" i="1"/>
  <c r="AC360" i="1"/>
  <c r="AF360" i="1"/>
  <c r="AA361" i="1"/>
  <c r="AB361" i="1"/>
  <c r="AC361" i="1"/>
  <c r="AF361" i="1"/>
  <c r="AA362" i="1"/>
  <c r="AB362" i="1"/>
  <c r="AC362" i="1"/>
  <c r="AF362" i="1"/>
  <c r="AA363" i="1"/>
  <c r="AB363" i="1"/>
  <c r="AC363" i="1"/>
  <c r="AF363" i="1"/>
  <c r="AA364" i="1"/>
  <c r="AB364" i="1"/>
  <c r="AC364" i="1"/>
  <c r="AF364" i="1"/>
  <c r="AA365" i="1"/>
  <c r="AB365" i="1"/>
  <c r="AC365" i="1"/>
  <c r="AF365" i="1"/>
  <c r="AA366" i="1"/>
  <c r="AB366" i="1"/>
  <c r="AC366" i="1"/>
  <c r="AF366" i="1"/>
  <c r="AA367" i="1"/>
  <c r="AB367" i="1"/>
  <c r="AC367" i="1"/>
  <c r="AF367" i="1"/>
  <c r="AA368" i="1"/>
  <c r="AB368" i="1"/>
  <c r="AC368" i="1"/>
  <c r="AF368" i="1"/>
  <c r="AA369" i="1"/>
  <c r="AB369" i="1"/>
  <c r="AC369" i="1"/>
  <c r="AF369" i="1"/>
  <c r="AA370" i="1"/>
  <c r="AB370" i="1"/>
  <c r="AC370" i="1"/>
  <c r="AF370" i="1"/>
  <c r="AA371" i="1"/>
  <c r="AB371" i="1"/>
  <c r="AC371" i="1"/>
  <c r="AF371" i="1"/>
  <c r="AA372" i="1"/>
  <c r="AB372" i="1"/>
  <c r="AC372" i="1"/>
  <c r="AF372" i="1"/>
  <c r="AA373" i="1"/>
  <c r="AB373" i="1"/>
  <c r="AC373" i="1"/>
  <c r="AF373" i="1"/>
  <c r="AA374" i="1"/>
  <c r="AB374" i="1"/>
  <c r="AC374" i="1"/>
  <c r="AF374" i="1"/>
  <c r="AA375" i="1"/>
  <c r="AB375" i="1"/>
  <c r="AC375" i="1"/>
  <c r="AF375" i="1"/>
  <c r="AA376" i="1"/>
  <c r="AB376" i="1"/>
  <c r="AC376" i="1"/>
  <c r="AF376" i="1"/>
  <c r="AA377" i="1"/>
  <c r="AB377" i="1"/>
  <c r="AC377" i="1"/>
  <c r="AF377" i="1"/>
  <c r="AA378" i="1"/>
  <c r="AB378" i="1"/>
  <c r="AC378" i="1"/>
  <c r="AF378" i="1"/>
  <c r="AA379" i="1"/>
  <c r="AB379" i="1"/>
  <c r="AC379" i="1"/>
  <c r="AF379" i="1"/>
  <c r="AA380" i="1"/>
  <c r="AB380" i="1"/>
  <c r="AC380" i="1"/>
  <c r="AF380" i="1"/>
  <c r="AA381" i="1"/>
  <c r="AB381" i="1"/>
  <c r="AC381" i="1"/>
  <c r="AF381" i="1"/>
  <c r="AA382" i="1"/>
  <c r="AB382" i="1"/>
  <c r="AC382" i="1"/>
  <c r="AF382" i="1"/>
  <c r="AA383" i="1"/>
  <c r="AB383" i="1"/>
  <c r="AC383" i="1"/>
  <c r="AF383" i="1"/>
  <c r="AA384" i="1"/>
  <c r="AB384" i="1"/>
  <c r="AC384" i="1"/>
  <c r="AF384" i="1"/>
  <c r="AA385" i="1"/>
  <c r="AB385" i="1"/>
  <c r="AC385" i="1"/>
  <c r="AF385" i="1"/>
  <c r="AA386" i="1"/>
  <c r="AB386" i="1"/>
  <c r="AC386" i="1"/>
  <c r="AF386" i="1"/>
  <c r="AA387" i="1"/>
  <c r="AB387" i="1"/>
  <c r="AC387" i="1"/>
  <c r="AF387" i="1"/>
  <c r="AA388" i="1"/>
  <c r="AB388" i="1"/>
  <c r="AC388" i="1"/>
  <c r="AF388" i="1"/>
  <c r="AA389" i="1"/>
  <c r="AB389" i="1"/>
  <c r="AC389" i="1"/>
  <c r="AF389" i="1"/>
  <c r="AA390" i="1"/>
  <c r="AB390" i="1"/>
  <c r="AC390" i="1"/>
  <c r="AF390" i="1"/>
  <c r="AA391" i="1"/>
  <c r="AB391" i="1"/>
  <c r="AC391" i="1"/>
  <c r="AF391" i="1"/>
  <c r="AA392" i="1"/>
  <c r="AB392" i="1"/>
  <c r="AC392" i="1"/>
  <c r="AF392" i="1"/>
  <c r="AA393" i="1"/>
  <c r="AB393" i="1"/>
  <c r="AC393" i="1"/>
  <c r="AF393" i="1"/>
  <c r="AA394" i="1"/>
  <c r="AB394" i="1"/>
  <c r="AC394" i="1"/>
  <c r="AF394" i="1"/>
  <c r="AA395" i="1"/>
  <c r="AB395" i="1"/>
  <c r="AC395" i="1"/>
  <c r="AF395" i="1"/>
  <c r="AA396" i="1"/>
  <c r="AB396" i="1"/>
  <c r="AC396" i="1"/>
  <c r="AF396" i="1"/>
  <c r="AA397" i="1"/>
  <c r="AB397" i="1"/>
  <c r="AC397" i="1"/>
  <c r="AF397" i="1"/>
  <c r="AA398" i="1"/>
  <c r="AB398" i="1"/>
  <c r="AC398" i="1"/>
  <c r="AF398" i="1"/>
  <c r="AA399" i="1"/>
  <c r="AB399" i="1"/>
  <c r="AC399" i="1"/>
  <c r="AF399" i="1"/>
  <c r="AA400" i="1"/>
  <c r="AB400" i="1"/>
  <c r="AC400" i="1"/>
  <c r="AF400" i="1"/>
  <c r="AA401" i="1"/>
  <c r="AB401" i="1"/>
  <c r="AC401" i="1"/>
  <c r="AF401" i="1"/>
  <c r="AA402" i="1"/>
  <c r="AB402" i="1"/>
  <c r="AC402" i="1"/>
  <c r="AF402" i="1"/>
  <c r="AA403" i="1"/>
  <c r="AB403" i="1"/>
  <c r="AC403" i="1"/>
  <c r="AF403" i="1"/>
  <c r="AA404" i="1"/>
  <c r="AB404" i="1"/>
  <c r="AC404" i="1"/>
  <c r="AF404" i="1"/>
  <c r="AA405" i="1"/>
  <c r="AB405" i="1"/>
  <c r="AC405" i="1"/>
  <c r="AF405" i="1"/>
  <c r="AA406" i="1"/>
  <c r="AB406" i="1"/>
  <c r="AC406" i="1"/>
  <c r="AF406" i="1"/>
  <c r="AA407" i="1"/>
  <c r="AB407" i="1"/>
  <c r="AC407" i="1"/>
  <c r="AF407" i="1"/>
  <c r="AA408" i="1"/>
  <c r="AB408" i="1"/>
  <c r="AC408" i="1"/>
  <c r="AF408" i="1"/>
  <c r="AA409" i="1"/>
  <c r="AB409" i="1"/>
  <c r="AC409" i="1"/>
  <c r="AF409" i="1"/>
  <c r="AA410" i="1"/>
  <c r="AB410" i="1"/>
  <c r="AC410" i="1"/>
  <c r="AF410" i="1"/>
  <c r="AA411" i="1"/>
  <c r="AB411" i="1"/>
  <c r="AC411" i="1"/>
  <c r="AF411" i="1"/>
  <c r="AA412" i="1"/>
  <c r="AB412" i="1"/>
  <c r="AC412" i="1"/>
  <c r="AF412" i="1"/>
  <c r="AA413" i="1"/>
  <c r="AB413" i="1"/>
  <c r="AC413" i="1"/>
  <c r="AF413" i="1"/>
  <c r="AA414" i="1"/>
  <c r="AB414" i="1"/>
  <c r="AC414" i="1"/>
  <c r="AF414" i="1"/>
  <c r="AA415" i="1"/>
  <c r="AB415" i="1"/>
  <c r="AC415" i="1"/>
  <c r="AF415" i="1"/>
  <c r="AA416" i="1"/>
  <c r="AB416" i="1"/>
  <c r="AC416" i="1"/>
  <c r="AF416" i="1"/>
  <c r="AA417" i="1"/>
  <c r="AB417" i="1"/>
  <c r="AC417" i="1"/>
  <c r="AF417" i="1"/>
  <c r="AA418" i="1"/>
  <c r="AB418" i="1"/>
  <c r="AC418" i="1"/>
  <c r="AF418" i="1"/>
  <c r="AA419" i="1"/>
  <c r="AB419" i="1"/>
  <c r="AC419" i="1"/>
  <c r="AF419" i="1"/>
  <c r="AA420" i="1"/>
  <c r="AB420" i="1"/>
  <c r="AC420" i="1"/>
  <c r="AF420" i="1"/>
  <c r="AA421" i="1"/>
  <c r="AB421" i="1"/>
  <c r="AC421" i="1"/>
  <c r="AF421" i="1"/>
  <c r="AA422" i="1"/>
  <c r="AB422" i="1"/>
  <c r="AC422" i="1"/>
  <c r="AF422" i="1"/>
  <c r="AA423" i="1"/>
  <c r="AB423" i="1"/>
  <c r="AC423" i="1"/>
  <c r="AF423" i="1"/>
  <c r="AA424" i="1"/>
  <c r="AB424" i="1"/>
  <c r="AC424" i="1"/>
  <c r="AF424" i="1"/>
  <c r="AA425" i="1"/>
  <c r="AB425" i="1"/>
  <c r="AC425" i="1"/>
  <c r="AF425" i="1"/>
  <c r="AA426" i="1"/>
  <c r="AB426" i="1"/>
  <c r="AC426" i="1"/>
  <c r="AF426" i="1"/>
  <c r="AA427" i="1"/>
  <c r="AB427" i="1"/>
  <c r="AC427" i="1"/>
  <c r="AF427" i="1"/>
  <c r="AA428" i="1"/>
  <c r="AB428" i="1"/>
  <c r="AC428" i="1"/>
  <c r="AF428" i="1"/>
  <c r="AA429" i="1"/>
  <c r="AB429" i="1"/>
  <c r="AC429" i="1"/>
  <c r="AF429" i="1"/>
  <c r="AA430" i="1"/>
  <c r="AB430" i="1"/>
  <c r="AC430" i="1"/>
  <c r="AF430" i="1"/>
  <c r="AA431" i="1"/>
  <c r="AB431" i="1"/>
  <c r="AC431" i="1"/>
  <c r="AF431" i="1"/>
  <c r="AA432" i="1"/>
  <c r="AB432" i="1"/>
  <c r="AC432" i="1"/>
  <c r="AF432" i="1"/>
  <c r="AA433" i="1"/>
  <c r="AB433" i="1"/>
  <c r="AC433" i="1"/>
  <c r="AF433" i="1"/>
  <c r="AA434" i="1"/>
  <c r="AB434" i="1"/>
  <c r="AC434" i="1"/>
  <c r="AF434" i="1"/>
  <c r="AA435" i="1"/>
  <c r="AB435" i="1"/>
  <c r="AC435" i="1"/>
  <c r="AF435" i="1"/>
  <c r="AA436" i="1"/>
  <c r="AB436" i="1"/>
  <c r="AC436" i="1"/>
  <c r="AF436" i="1"/>
  <c r="AA437" i="1"/>
  <c r="AB437" i="1"/>
  <c r="AC437" i="1"/>
  <c r="AF437" i="1"/>
  <c r="AA438" i="1"/>
  <c r="AB438" i="1"/>
  <c r="AC438" i="1"/>
  <c r="AF438" i="1"/>
  <c r="AA439" i="1"/>
  <c r="AB439" i="1"/>
  <c r="AC439" i="1"/>
  <c r="AF439" i="1"/>
  <c r="AA440" i="1"/>
  <c r="AB440" i="1"/>
  <c r="AC440" i="1"/>
  <c r="AF440" i="1"/>
  <c r="AA441" i="1"/>
  <c r="AB441" i="1"/>
  <c r="AC441" i="1"/>
  <c r="AF441" i="1"/>
  <c r="AA442" i="1"/>
  <c r="AB442" i="1"/>
  <c r="AC442" i="1"/>
  <c r="AF442" i="1"/>
  <c r="AA443" i="1"/>
  <c r="AB443" i="1"/>
  <c r="AC443" i="1"/>
  <c r="AF443" i="1"/>
  <c r="AA444" i="1"/>
  <c r="AB444" i="1"/>
  <c r="AC444" i="1"/>
  <c r="AF444" i="1"/>
  <c r="AA445" i="1"/>
  <c r="AB445" i="1"/>
  <c r="AC445" i="1"/>
  <c r="AF445" i="1"/>
  <c r="AA446" i="1"/>
  <c r="AB446" i="1"/>
  <c r="AC446" i="1"/>
  <c r="AF446" i="1"/>
  <c r="AA447" i="1"/>
  <c r="AB447" i="1"/>
  <c r="AC447" i="1"/>
  <c r="AF447" i="1"/>
  <c r="AA448" i="1"/>
  <c r="AB448" i="1"/>
  <c r="AC448" i="1"/>
  <c r="AF448" i="1"/>
  <c r="AA449" i="1"/>
  <c r="AB449" i="1"/>
  <c r="AC449" i="1"/>
  <c r="AF449" i="1"/>
  <c r="AA450" i="1"/>
  <c r="AB450" i="1"/>
  <c r="AC450" i="1"/>
  <c r="AF450" i="1"/>
  <c r="AA451" i="1"/>
  <c r="AB451" i="1"/>
  <c r="AC451" i="1"/>
  <c r="AF451" i="1"/>
  <c r="AA452" i="1"/>
  <c r="AB452" i="1"/>
  <c r="AC452" i="1"/>
  <c r="AF452" i="1"/>
  <c r="AA453" i="1"/>
  <c r="AB453" i="1"/>
  <c r="AC453" i="1"/>
  <c r="AF453" i="1"/>
  <c r="AA454" i="1"/>
  <c r="AB454" i="1"/>
  <c r="AC454" i="1"/>
  <c r="AF454" i="1"/>
  <c r="AA455" i="1"/>
  <c r="AB455" i="1"/>
  <c r="AC455" i="1"/>
  <c r="AF455" i="1"/>
  <c r="AA456" i="1"/>
  <c r="AB456" i="1"/>
  <c r="AC456" i="1"/>
  <c r="AF456" i="1"/>
  <c r="AA457" i="1"/>
  <c r="AB457" i="1"/>
  <c r="AC457" i="1"/>
  <c r="AF457" i="1"/>
  <c r="AA458" i="1"/>
  <c r="AB458" i="1"/>
  <c r="AC458" i="1"/>
  <c r="AF458" i="1"/>
  <c r="AA459" i="1"/>
  <c r="AB459" i="1"/>
  <c r="AC459" i="1"/>
  <c r="AF459" i="1"/>
  <c r="AA460" i="1"/>
  <c r="AB460" i="1"/>
  <c r="AC460" i="1"/>
  <c r="AF460" i="1"/>
  <c r="AA461" i="1"/>
  <c r="AB461" i="1"/>
  <c r="AC461" i="1"/>
  <c r="AF461" i="1"/>
  <c r="AA462" i="1"/>
  <c r="AB462" i="1"/>
  <c r="AC462" i="1"/>
  <c r="AF462" i="1"/>
  <c r="AA463" i="1"/>
  <c r="AB463" i="1"/>
  <c r="AC463" i="1"/>
  <c r="AF463" i="1"/>
  <c r="AA464" i="1"/>
  <c r="AB464" i="1"/>
  <c r="AC464" i="1"/>
  <c r="AF464" i="1"/>
  <c r="AA465" i="1"/>
  <c r="AB465" i="1"/>
  <c r="AC465" i="1"/>
  <c r="AF465" i="1"/>
  <c r="AA466" i="1"/>
  <c r="AB466" i="1"/>
  <c r="AC466" i="1"/>
  <c r="AF466" i="1"/>
  <c r="AA467" i="1"/>
  <c r="AB467" i="1"/>
  <c r="AC467" i="1"/>
  <c r="AF467" i="1"/>
  <c r="AA468" i="1"/>
  <c r="AB468" i="1"/>
  <c r="AC468" i="1"/>
  <c r="AF468" i="1"/>
  <c r="AA469" i="1"/>
  <c r="AB469" i="1"/>
  <c r="AC469" i="1"/>
  <c r="AF469" i="1"/>
  <c r="AA470" i="1"/>
  <c r="AB470" i="1"/>
  <c r="AC470" i="1"/>
  <c r="AF470" i="1"/>
  <c r="AA471" i="1"/>
  <c r="AB471" i="1"/>
  <c r="AC471" i="1"/>
  <c r="AF471" i="1"/>
  <c r="AA472" i="1"/>
  <c r="AB472" i="1"/>
  <c r="AC472" i="1"/>
  <c r="AF472" i="1"/>
  <c r="AA473" i="1"/>
  <c r="AB473" i="1"/>
  <c r="AC473" i="1"/>
  <c r="AF473" i="1"/>
  <c r="AA474" i="1"/>
  <c r="AB474" i="1"/>
  <c r="AC474" i="1"/>
  <c r="AF474" i="1"/>
  <c r="AA475" i="1"/>
  <c r="AB475" i="1"/>
  <c r="AC475" i="1"/>
  <c r="AF475" i="1"/>
  <c r="AA476" i="1"/>
  <c r="AB476" i="1"/>
  <c r="AC476" i="1"/>
  <c r="AF476" i="1"/>
  <c r="AA477" i="1"/>
  <c r="AB477" i="1"/>
  <c r="AC477" i="1"/>
  <c r="AF477" i="1"/>
  <c r="AA478" i="1"/>
  <c r="AB478" i="1"/>
  <c r="AC478" i="1"/>
  <c r="AF478" i="1"/>
  <c r="AA479" i="1"/>
  <c r="AB479" i="1"/>
  <c r="AC479" i="1"/>
  <c r="AF479" i="1"/>
  <c r="AA480" i="1"/>
  <c r="AB480" i="1"/>
  <c r="AC480" i="1"/>
  <c r="AF480" i="1"/>
  <c r="AA481" i="1"/>
  <c r="AB481" i="1"/>
  <c r="AC481" i="1"/>
  <c r="AF481" i="1"/>
  <c r="AA482" i="1"/>
  <c r="AB482" i="1"/>
  <c r="AC482" i="1"/>
  <c r="AF482" i="1"/>
  <c r="AA483" i="1"/>
  <c r="AB483" i="1"/>
  <c r="AC483" i="1"/>
  <c r="AF483" i="1"/>
  <c r="AA484" i="1"/>
  <c r="AB484" i="1"/>
  <c r="AC484" i="1"/>
  <c r="AF484" i="1"/>
  <c r="AA485" i="1"/>
  <c r="AB485" i="1"/>
  <c r="AC485" i="1"/>
  <c r="AF485" i="1"/>
  <c r="AA486" i="1"/>
  <c r="AB486" i="1"/>
  <c r="AC486" i="1"/>
  <c r="AF486" i="1"/>
  <c r="AA487" i="1"/>
  <c r="AB487" i="1"/>
  <c r="AC487" i="1"/>
  <c r="AF487" i="1"/>
  <c r="AA488" i="1"/>
  <c r="AB488" i="1"/>
  <c r="AC488" i="1"/>
  <c r="AF488" i="1"/>
  <c r="AA489" i="1"/>
  <c r="AB489" i="1"/>
  <c r="AC489" i="1"/>
  <c r="AF489" i="1"/>
  <c r="AA490" i="1"/>
  <c r="AB490" i="1"/>
  <c r="AC490" i="1"/>
  <c r="AF490" i="1"/>
  <c r="AA491" i="1"/>
  <c r="AB491" i="1"/>
  <c r="AC491" i="1"/>
  <c r="AF491" i="1"/>
  <c r="AA492" i="1"/>
  <c r="AB492" i="1"/>
  <c r="AC492" i="1"/>
  <c r="AF492" i="1"/>
  <c r="AA493" i="1"/>
  <c r="AB493" i="1"/>
  <c r="AC493" i="1"/>
  <c r="AF493" i="1"/>
  <c r="AA494" i="1"/>
  <c r="AB494" i="1"/>
  <c r="AC494" i="1"/>
  <c r="AF494" i="1"/>
  <c r="AA495" i="1"/>
  <c r="AB495" i="1"/>
  <c r="AC495" i="1"/>
  <c r="AF495" i="1"/>
  <c r="AA496" i="1"/>
  <c r="AB496" i="1"/>
  <c r="AC496" i="1"/>
  <c r="AF496" i="1"/>
  <c r="AA497" i="1"/>
  <c r="AB497" i="1"/>
  <c r="AC497" i="1"/>
  <c r="AF497" i="1"/>
  <c r="AA498" i="1"/>
  <c r="AB498" i="1"/>
  <c r="AC498" i="1"/>
  <c r="AF498" i="1"/>
  <c r="AA499" i="1"/>
  <c r="AB499" i="1"/>
  <c r="AC499" i="1"/>
  <c r="AF499" i="1"/>
  <c r="AA500" i="1"/>
  <c r="AB500" i="1"/>
  <c r="AC500" i="1"/>
  <c r="AF500" i="1"/>
  <c r="AA501" i="1"/>
  <c r="AB501" i="1"/>
  <c r="AC501" i="1"/>
  <c r="AF501" i="1"/>
  <c r="AA502" i="1"/>
  <c r="AB502" i="1"/>
  <c r="AC502" i="1"/>
  <c r="AF502" i="1"/>
  <c r="AA503" i="1"/>
  <c r="AB503" i="1"/>
  <c r="AC503" i="1"/>
  <c r="AF503" i="1"/>
  <c r="AA504" i="1"/>
  <c r="AB504" i="1"/>
  <c r="AC504" i="1"/>
  <c r="AF504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35" i="1"/>
  <c r="R35" i="1"/>
  <c r="S35" i="1"/>
  <c r="T35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Q42" i="1"/>
  <c r="R42" i="1"/>
  <c r="S42" i="1"/>
  <c r="T42" i="1"/>
  <c r="Q43" i="1"/>
  <c r="R43" i="1"/>
  <c r="S43" i="1"/>
  <c r="T43" i="1"/>
  <c r="Q44" i="1"/>
  <c r="R44" i="1"/>
  <c r="S44" i="1"/>
  <c r="T44" i="1"/>
  <c r="Q45" i="1"/>
  <c r="R45" i="1"/>
  <c r="S45" i="1"/>
  <c r="T45" i="1"/>
  <c r="Q46" i="1"/>
  <c r="R46" i="1"/>
  <c r="S46" i="1"/>
  <c r="T46" i="1"/>
  <c r="Q47" i="1"/>
  <c r="R47" i="1"/>
  <c r="S47" i="1"/>
  <c r="T47" i="1"/>
  <c r="Q48" i="1"/>
  <c r="R48" i="1"/>
  <c r="S48" i="1"/>
  <c r="T48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4" i="1"/>
  <c r="R54" i="1"/>
  <c r="S54" i="1"/>
  <c r="T54" i="1"/>
  <c r="Q55" i="1"/>
  <c r="R55" i="1"/>
  <c r="S55" i="1"/>
  <c r="T55" i="1"/>
  <c r="Q56" i="1"/>
  <c r="R56" i="1"/>
  <c r="S56" i="1"/>
  <c r="T56" i="1"/>
  <c r="Q57" i="1"/>
  <c r="R57" i="1"/>
  <c r="S57" i="1"/>
  <c r="T57" i="1"/>
  <c r="Q58" i="1"/>
  <c r="R58" i="1"/>
  <c r="S58" i="1"/>
  <c r="T58" i="1"/>
  <c r="Q59" i="1"/>
  <c r="R59" i="1"/>
  <c r="S59" i="1"/>
  <c r="T59" i="1"/>
  <c r="Q60" i="1"/>
  <c r="R60" i="1"/>
  <c r="S60" i="1"/>
  <c r="T60" i="1"/>
  <c r="Q61" i="1"/>
  <c r="R61" i="1"/>
  <c r="S61" i="1"/>
  <c r="T61" i="1"/>
  <c r="Q62" i="1"/>
  <c r="R62" i="1"/>
  <c r="S62" i="1"/>
  <c r="T62" i="1"/>
  <c r="Q63" i="1"/>
  <c r="R63" i="1"/>
  <c r="S63" i="1"/>
  <c r="T63" i="1"/>
  <c r="Q64" i="1"/>
  <c r="R64" i="1"/>
  <c r="S64" i="1"/>
  <c r="T64" i="1"/>
  <c r="Q65" i="1"/>
  <c r="R65" i="1"/>
  <c r="S65" i="1"/>
  <c r="T65" i="1"/>
  <c r="Q66" i="1"/>
  <c r="R66" i="1"/>
  <c r="S66" i="1"/>
  <c r="T66" i="1"/>
  <c r="Q67" i="1"/>
  <c r="R67" i="1"/>
  <c r="S67" i="1"/>
  <c r="T67" i="1"/>
  <c r="Q68" i="1"/>
  <c r="R68" i="1"/>
  <c r="S68" i="1"/>
  <c r="T68" i="1"/>
  <c r="Q69" i="1"/>
  <c r="R69" i="1"/>
  <c r="S69" i="1"/>
  <c r="T69" i="1"/>
  <c r="Q70" i="1"/>
  <c r="R70" i="1"/>
  <c r="S70" i="1"/>
  <c r="T70" i="1"/>
  <c r="Q71" i="1"/>
  <c r="R71" i="1"/>
  <c r="S71" i="1"/>
  <c r="T71" i="1"/>
  <c r="Q72" i="1"/>
  <c r="R72" i="1"/>
  <c r="S72" i="1"/>
  <c r="T72" i="1"/>
  <c r="Q73" i="1"/>
  <c r="R73" i="1"/>
  <c r="S73" i="1"/>
  <c r="T73" i="1"/>
  <c r="Q74" i="1"/>
  <c r="R74" i="1"/>
  <c r="S74" i="1"/>
  <c r="T74" i="1"/>
  <c r="Q75" i="1"/>
  <c r="R75" i="1"/>
  <c r="S75" i="1"/>
  <c r="T75" i="1"/>
  <c r="Q76" i="1"/>
  <c r="R76" i="1"/>
  <c r="S76" i="1"/>
  <c r="T76" i="1"/>
  <c r="Q77" i="1"/>
  <c r="R77" i="1"/>
  <c r="S77" i="1"/>
  <c r="T77" i="1"/>
  <c r="Q78" i="1"/>
  <c r="R78" i="1"/>
  <c r="S78" i="1"/>
  <c r="T78" i="1"/>
  <c r="Q79" i="1"/>
  <c r="R79" i="1"/>
  <c r="S79" i="1"/>
  <c r="T79" i="1"/>
  <c r="Q80" i="1"/>
  <c r="R80" i="1"/>
  <c r="S80" i="1"/>
  <c r="T80" i="1"/>
  <c r="Q81" i="1"/>
  <c r="R81" i="1"/>
  <c r="S81" i="1"/>
  <c r="T81" i="1"/>
  <c r="Q82" i="1"/>
  <c r="R82" i="1"/>
  <c r="S82" i="1"/>
  <c r="T82" i="1"/>
  <c r="Q83" i="1"/>
  <c r="R83" i="1"/>
  <c r="S83" i="1"/>
  <c r="T83" i="1"/>
  <c r="Q84" i="1"/>
  <c r="R84" i="1"/>
  <c r="S84" i="1"/>
  <c r="T84" i="1"/>
  <c r="Q85" i="1"/>
  <c r="R85" i="1"/>
  <c r="S85" i="1"/>
  <c r="T85" i="1"/>
  <c r="Q86" i="1"/>
  <c r="R86" i="1"/>
  <c r="S86" i="1"/>
  <c r="T86" i="1"/>
  <c r="Q87" i="1"/>
  <c r="R87" i="1"/>
  <c r="S87" i="1"/>
  <c r="T87" i="1"/>
  <c r="Q88" i="1"/>
  <c r="R88" i="1"/>
  <c r="S88" i="1"/>
  <c r="T88" i="1"/>
  <c r="Q89" i="1"/>
  <c r="R89" i="1"/>
  <c r="S89" i="1"/>
  <c r="T89" i="1"/>
  <c r="Q90" i="1"/>
  <c r="R90" i="1"/>
  <c r="S90" i="1"/>
  <c r="T90" i="1"/>
  <c r="Q91" i="1"/>
  <c r="R91" i="1"/>
  <c r="S91" i="1"/>
  <c r="T91" i="1"/>
  <c r="Q92" i="1"/>
  <c r="R92" i="1"/>
  <c r="S92" i="1"/>
  <c r="T92" i="1"/>
  <c r="Q93" i="1"/>
  <c r="R93" i="1"/>
  <c r="S93" i="1"/>
  <c r="T93" i="1"/>
  <c r="Q94" i="1"/>
  <c r="R94" i="1"/>
  <c r="S94" i="1"/>
  <c r="T94" i="1"/>
  <c r="Q95" i="1"/>
  <c r="R95" i="1"/>
  <c r="S95" i="1"/>
  <c r="T95" i="1"/>
  <c r="Q96" i="1"/>
  <c r="R96" i="1"/>
  <c r="S96" i="1"/>
  <c r="T96" i="1"/>
  <c r="Q97" i="1"/>
  <c r="R97" i="1"/>
  <c r="S97" i="1"/>
  <c r="T97" i="1"/>
  <c r="Q98" i="1"/>
  <c r="R98" i="1"/>
  <c r="S98" i="1"/>
  <c r="T98" i="1"/>
  <c r="Q99" i="1"/>
  <c r="R99" i="1"/>
  <c r="S99" i="1"/>
  <c r="T99" i="1"/>
  <c r="Q100" i="1"/>
  <c r="R100" i="1"/>
  <c r="S100" i="1"/>
  <c r="T100" i="1"/>
  <c r="Q101" i="1"/>
  <c r="R101" i="1"/>
  <c r="S101" i="1"/>
  <c r="T101" i="1"/>
  <c r="Q102" i="1"/>
  <c r="R102" i="1"/>
  <c r="S102" i="1"/>
  <c r="T102" i="1"/>
  <c r="Q103" i="1"/>
  <c r="R103" i="1"/>
  <c r="S103" i="1"/>
  <c r="T103" i="1"/>
  <c r="Q104" i="1"/>
  <c r="R104" i="1"/>
  <c r="S104" i="1"/>
  <c r="T104" i="1"/>
  <c r="Q105" i="1"/>
  <c r="R105" i="1"/>
  <c r="S105" i="1"/>
  <c r="T105" i="1"/>
  <c r="Q106" i="1"/>
  <c r="R106" i="1"/>
  <c r="S106" i="1"/>
  <c r="T106" i="1"/>
  <c r="Q107" i="1"/>
  <c r="R107" i="1"/>
  <c r="S107" i="1"/>
  <c r="T107" i="1"/>
  <c r="Q108" i="1"/>
  <c r="R108" i="1"/>
  <c r="S108" i="1"/>
  <c r="T108" i="1"/>
  <c r="Q109" i="1"/>
  <c r="R109" i="1"/>
  <c r="S109" i="1"/>
  <c r="T109" i="1"/>
  <c r="Q110" i="1"/>
  <c r="R110" i="1"/>
  <c r="S110" i="1"/>
  <c r="T110" i="1"/>
  <c r="Q111" i="1"/>
  <c r="R111" i="1"/>
  <c r="S111" i="1"/>
  <c r="T111" i="1"/>
  <c r="Q112" i="1"/>
  <c r="R112" i="1"/>
  <c r="S112" i="1"/>
  <c r="T112" i="1"/>
  <c r="Q113" i="1"/>
  <c r="R113" i="1"/>
  <c r="S113" i="1"/>
  <c r="T113" i="1"/>
  <c r="Q114" i="1"/>
  <c r="R114" i="1"/>
  <c r="S114" i="1"/>
  <c r="T114" i="1"/>
  <c r="Q115" i="1"/>
  <c r="R115" i="1"/>
  <c r="S115" i="1"/>
  <c r="T115" i="1"/>
  <c r="Q116" i="1"/>
  <c r="R116" i="1"/>
  <c r="S116" i="1"/>
  <c r="T116" i="1"/>
  <c r="Q117" i="1"/>
  <c r="R117" i="1"/>
  <c r="S117" i="1"/>
  <c r="T117" i="1"/>
  <c r="Q118" i="1"/>
  <c r="R118" i="1"/>
  <c r="S118" i="1"/>
  <c r="T118" i="1"/>
  <c r="Q119" i="1"/>
  <c r="R119" i="1"/>
  <c r="S119" i="1"/>
  <c r="T119" i="1"/>
  <c r="Q120" i="1"/>
  <c r="R120" i="1"/>
  <c r="S120" i="1"/>
  <c r="T120" i="1"/>
  <c r="Q121" i="1"/>
  <c r="R121" i="1"/>
  <c r="S121" i="1"/>
  <c r="T121" i="1"/>
  <c r="Q122" i="1"/>
  <c r="R122" i="1"/>
  <c r="S122" i="1"/>
  <c r="T122" i="1"/>
  <c r="Q123" i="1"/>
  <c r="R123" i="1"/>
  <c r="S123" i="1"/>
  <c r="T123" i="1"/>
  <c r="Q124" i="1"/>
  <c r="R124" i="1"/>
  <c r="S124" i="1"/>
  <c r="T124" i="1"/>
  <c r="Q125" i="1"/>
  <c r="R125" i="1"/>
  <c r="S125" i="1"/>
  <c r="T125" i="1"/>
  <c r="Q126" i="1"/>
  <c r="R126" i="1"/>
  <c r="S126" i="1"/>
  <c r="T126" i="1"/>
  <c r="Q127" i="1"/>
  <c r="R127" i="1"/>
  <c r="S127" i="1"/>
  <c r="T127" i="1"/>
  <c r="Q128" i="1"/>
  <c r="R128" i="1"/>
  <c r="S128" i="1"/>
  <c r="T128" i="1"/>
  <c r="Q129" i="1"/>
  <c r="R129" i="1"/>
  <c r="S129" i="1"/>
  <c r="T129" i="1"/>
  <c r="Q130" i="1"/>
  <c r="R130" i="1"/>
  <c r="S130" i="1"/>
  <c r="T130" i="1"/>
  <c r="Q131" i="1"/>
  <c r="R131" i="1"/>
  <c r="S131" i="1"/>
  <c r="T131" i="1"/>
  <c r="Q132" i="1"/>
  <c r="R132" i="1"/>
  <c r="S132" i="1"/>
  <c r="T132" i="1"/>
  <c r="Q133" i="1"/>
  <c r="R133" i="1"/>
  <c r="S133" i="1"/>
  <c r="T133" i="1"/>
  <c r="Q134" i="1"/>
  <c r="R134" i="1"/>
  <c r="S134" i="1"/>
  <c r="T134" i="1"/>
  <c r="Q135" i="1"/>
  <c r="R135" i="1"/>
  <c r="S135" i="1"/>
  <c r="T135" i="1"/>
  <c r="Q136" i="1"/>
  <c r="R136" i="1"/>
  <c r="S136" i="1"/>
  <c r="T136" i="1"/>
  <c r="Q137" i="1"/>
  <c r="R137" i="1"/>
  <c r="S137" i="1"/>
  <c r="T137" i="1"/>
  <c r="Q138" i="1"/>
  <c r="R138" i="1"/>
  <c r="S138" i="1"/>
  <c r="T138" i="1"/>
  <c r="Q139" i="1"/>
  <c r="R139" i="1"/>
  <c r="S139" i="1"/>
  <c r="T139" i="1"/>
  <c r="Q140" i="1"/>
  <c r="R140" i="1"/>
  <c r="S140" i="1"/>
  <c r="T140" i="1"/>
  <c r="Q141" i="1"/>
  <c r="R141" i="1"/>
  <c r="S141" i="1"/>
  <c r="T141" i="1"/>
  <c r="Q142" i="1"/>
  <c r="R142" i="1"/>
  <c r="S142" i="1"/>
  <c r="T142" i="1"/>
  <c r="Q143" i="1"/>
  <c r="R143" i="1"/>
  <c r="S143" i="1"/>
  <c r="T143" i="1"/>
  <c r="Q144" i="1"/>
  <c r="R144" i="1"/>
  <c r="S144" i="1"/>
  <c r="T144" i="1"/>
  <c r="Q145" i="1"/>
  <c r="R145" i="1"/>
  <c r="S145" i="1"/>
  <c r="T145" i="1"/>
  <c r="Q146" i="1"/>
  <c r="R146" i="1"/>
  <c r="S146" i="1"/>
  <c r="T146" i="1"/>
  <c r="Q147" i="1"/>
  <c r="R147" i="1"/>
  <c r="S147" i="1"/>
  <c r="T147" i="1"/>
  <c r="Q148" i="1"/>
  <c r="R148" i="1"/>
  <c r="S148" i="1"/>
  <c r="T148" i="1"/>
  <c r="Q149" i="1"/>
  <c r="R149" i="1"/>
  <c r="S149" i="1"/>
  <c r="T149" i="1"/>
  <c r="Q150" i="1"/>
  <c r="R150" i="1"/>
  <c r="S150" i="1"/>
  <c r="T150" i="1"/>
  <c r="Q151" i="1"/>
  <c r="R151" i="1"/>
  <c r="S151" i="1"/>
  <c r="T151" i="1"/>
  <c r="Q152" i="1"/>
  <c r="R152" i="1"/>
  <c r="S152" i="1"/>
  <c r="T152" i="1"/>
  <c r="Q153" i="1"/>
  <c r="R153" i="1"/>
  <c r="S153" i="1"/>
  <c r="T153" i="1"/>
  <c r="Q154" i="1"/>
  <c r="R154" i="1"/>
  <c r="S154" i="1"/>
  <c r="T154" i="1"/>
  <c r="Q155" i="1"/>
  <c r="R155" i="1"/>
  <c r="S155" i="1"/>
  <c r="T155" i="1"/>
  <c r="Q156" i="1"/>
  <c r="R156" i="1"/>
  <c r="S156" i="1"/>
  <c r="T156" i="1"/>
  <c r="Q157" i="1"/>
  <c r="R157" i="1"/>
  <c r="S157" i="1"/>
  <c r="T157" i="1"/>
  <c r="Q158" i="1"/>
  <c r="R158" i="1"/>
  <c r="S158" i="1"/>
  <c r="T158" i="1"/>
  <c r="Q159" i="1"/>
  <c r="R159" i="1"/>
  <c r="S159" i="1"/>
  <c r="T159" i="1"/>
  <c r="Q160" i="1"/>
  <c r="R160" i="1"/>
  <c r="S160" i="1"/>
  <c r="T160" i="1"/>
  <c r="Q161" i="1"/>
  <c r="R161" i="1"/>
  <c r="S161" i="1"/>
  <c r="T161" i="1"/>
  <c r="Q162" i="1"/>
  <c r="R162" i="1"/>
  <c r="S162" i="1"/>
  <c r="T162" i="1"/>
  <c r="Q163" i="1"/>
  <c r="R163" i="1"/>
  <c r="S163" i="1"/>
  <c r="T163" i="1"/>
  <c r="Q164" i="1"/>
  <c r="R164" i="1"/>
  <c r="S164" i="1"/>
  <c r="T164" i="1"/>
  <c r="Q165" i="1"/>
  <c r="R165" i="1"/>
  <c r="S165" i="1"/>
  <c r="T165" i="1"/>
  <c r="Q166" i="1"/>
  <c r="R166" i="1"/>
  <c r="S166" i="1"/>
  <c r="T166" i="1"/>
  <c r="Q167" i="1"/>
  <c r="R167" i="1"/>
  <c r="S167" i="1"/>
  <c r="T167" i="1"/>
  <c r="Q168" i="1"/>
  <c r="R168" i="1"/>
  <c r="S168" i="1"/>
  <c r="T168" i="1"/>
  <c r="Q169" i="1"/>
  <c r="R169" i="1"/>
  <c r="S169" i="1"/>
  <c r="T169" i="1"/>
  <c r="Q170" i="1"/>
  <c r="R170" i="1"/>
  <c r="S170" i="1"/>
  <c r="T170" i="1"/>
  <c r="Q171" i="1"/>
  <c r="R171" i="1"/>
  <c r="S171" i="1"/>
  <c r="T171" i="1"/>
  <c r="Q172" i="1"/>
  <c r="R172" i="1"/>
  <c r="S172" i="1"/>
  <c r="T172" i="1"/>
  <c r="Q173" i="1"/>
  <c r="R173" i="1"/>
  <c r="S173" i="1"/>
  <c r="T173" i="1"/>
  <c r="Q174" i="1"/>
  <c r="R174" i="1"/>
  <c r="S174" i="1"/>
  <c r="T174" i="1"/>
  <c r="Q175" i="1"/>
  <c r="R175" i="1"/>
  <c r="S175" i="1"/>
  <c r="T175" i="1"/>
  <c r="Q176" i="1"/>
  <c r="R176" i="1"/>
  <c r="S176" i="1"/>
  <c r="T176" i="1"/>
  <c r="Q177" i="1"/>
  <c r="R177" i="1"/>
  <c r="S177" i="1"/>
  <c r="T177" i="1"/>
  <c r="Q178" i="1"/>
  <c r="R178" i="1"/>
  <c r="S178" i="1"/>
  <c r="T178" i="1"/>
  <c r="Q179" i="1"/>
  <c r="R179" i="1"/>
  <c r="S179" i="1"/>
  <c r="T179" i="1"/>
  <c r="Q180" i="1"/>
  <c r="R180" i="1"/>
  <c r="S180" i="1"/>
  <c r="T180" i="1"/>
  <c r="Q181" i="1"/>
  <c r="R181" i="1"/>
  <c r="S181" i="1"/>
  <c r="T181" i="1"/>
  <c r="Q182" i="1"/>
  <c r="R182" i="1"/>
  <c r="S182" i="1"/>
  <c r="T182" i="1"/>
  <c r="Q183" i="1"/>
  <c r="R183" i="1"/>
  <c r="S183" i="1"/>
  <c r="T183" i="1"/>
  <c r="Q184" i="1"/>
  <c r="R184" i="1"/>
  <c r="S184" i="1"/>
  <c r="T184" i="1"/>
  <c r="Q185" i="1"/>
  <c r="R185" i="1"/>
  <c r="S185" i="1"/>
  <c r="T185" i="1"/>
  <c r="Q186" i="1"/>
  <c r="R186" i="1"/>
  <c r="S186" i="1"/>
  <c r="T186" i="1"/>
  <c r="Q187" i="1"/>
  <c r="R187" i="1"/>
  <c r="S187" i="1"/>
  <c r="T187" i="1"/>
  <c r="Q188" i="1"/>
  <c r="R188" i="1"/>
  <c r="S188" i="1"/>
  <c r="T188" i="1"/>
  <c r="Q189" i="1"/>
  <c r="R189" i="1"/>
  <c r="S189" i="1"/>
  <c r="T189" i="1"/>
  <c r="Q190" i="1"/>
  <c r="R190" i="1"/>
  <c r="S190" i="1"/>
  <c r="T190" i="1"/>
  <c r="Q191" i="1"/>
  <c r="R191" i="1"/>
  <c r="S191" i="1"/>
  <c r="T191" i="1"/>
  <c r="Q192" i="1"/>
  <c r="R192" i="1"/>
  <c r="S192" i="1"/>
  <c r="T192" i="1"/>
  <c r="Q193" i="1"/>
  <c r="R193" i="1"/>
  <c r="S193" i="1"/>
  <c r="T193" i="1"/>
  <c r="Q194" i="1"/>
  <c r="R194" i="1"/>
  <c r="S194" i="1"/>
  <c r="T194" i="1"/>
  <c r="Q195" i="1"/>
  <c r="R195" i="1"/>
  <c r="S195" i="1"/>
  <c r="T195" i="1"/>
  <c r="Q196" i="1"/>
  <c r="R196" i="1"/>
  <c r="S196" i="1"/>
  <c r="T196" i="1"/>
  <c r="Q197" i="1"/>
  <c r="R197" i="1"/>
  <c r="S197" i="1"/>
  <c r="T197" i="1"/>
  <c r="Q198" i="1"/>
  <c r="R198" i="1"/>
  <c r="S198" i="1"/>
  <c r="T198" i="1"/>
  <c r="Q199" i="1"/>
  <c r="R199" i="1"/>
  <c r="S199" i="1"/>
  <c r="T199" i="1"/>
  <c r="Q200" i="1"/>
  <c r="R200" i="1"/>
  <c r="S200" i="1"/>
  <c r="T200" i="1"/>
  <c r="Q201" i="1"/>
  <c r="R201" i="1"/>
  <c r="S201" i="1"/>
  <c r="T201" i="1"/>
  <c r="Q202" i="1"/>
  <c r="R202" i="1"/>
  <c r="S202" i="1"/>
  <c r="T202" i="1"/>
  <c r="Q203" i="1"/>
  <c r="R203" i="1"/>
  <c r="S203" i="1"/>
  <c r="T203" i="1"/>
  <c r="Q204" i="1"/>
  <c r="R204" i="1"/>
  <c r="S204" i="1"/>
  <c r="T204" i="1"/>
  <c r="Q205" i="1"/>
  <c r="R205" i="1"/>
  <c r="S205" i="1"/>
  <c r="T205" i="1"/>
  <c r="Q206" i="1"/>
  <c r="R206" i="1"/>
  <c r="S206" i="1"/>
  <c r="T206" i="1"/>
  <c r="Q207" i="1"/>
  <c r="R207" i="1"/>
  <c r="S207" i="1"/>
  <c r="T207" i="1"/>
  <c r="Q208" i="1"/>
  <c r="R208" i="1"/>
  <c r="S208" i="1"/>
  <c r="T208" i="1"/>
  <c r="Q209" i="1"/>
  <c r="R209" i="1"/>
  <c r="S209" i="1"/>
  <c r="T209" i="1"/>
  <c r="Q210" i="1"/>
  <c r="R210" i="1"/>
  <c r="S210" i="1"/>
  <c r="T210" i="1"/>
  <c r="Q211" i="1"/>
  <c r="R211" i="1"/>
  <c r="S211" i="1"/>
  <c r="T211" i="1"/>
  <c r="Q212" i="1"/>
  <c r="R212" i="1"/>
  <c r="S212" i="1"/>
  <c r="T212" i="1"/>
  <c r="Q213" i="1"/>
  <c r="R213" i="1"/>
  <c r="S213" i="1"/>
  <c r="T213" i="1"/>
  <c r="Q214" i="1"/>
  <c r="R214" i="1"/>
  <c r="S214" i="1"/>
  <c r="T214" i="1"/>
  <c r="Q215" i="1"/>
  <c r="R215" i="1"/>
  <c r="S215" i="1"/>
  <c r="T215" i="1"/>
  <c r="Q216" i="1"/>
  <c r="R216" i="1"/>
  <c r="S216" i="1"/>
  <c r="T216" i="1"/>
  <c r="Q217" i="1"/>
  <c r="R217" i="1"/>
  <c r="S217" i="1"/>
  <c r="T217" i="1"/>
  <c r="Q218" i="1"/>
  <c r="R218" i="1"/>
  <c r="S218" i="1"/>
  <c r="T218" i="1"/>
  <c r="Q219" i="1"/>
  <c r="R219" i="1"/>
  <c r="S219" i="1"/>
  <c r="T219" i="1"/>
  <c r="Q220" i="1"/>
  <c r="R220" i="1"/>
  <c r="S220" i="1"/>
  <c r="T220" i="1"/>
  <c r="Q221" i="1"/>
  <c r="R221" i="1"/>
  <c r="S221" i="1"/>
  <c r="T221" i="1"/>
  <c r="Q222" i="1"/>
  <c r="R222" i="1"/>
  <c r="S222" i="1"/>
  <c r="T222" i="1"/>
  <c r="Q223" i="1"/>
  <c r="R223" i="1"/>
  <c r="S223" i="1"/>
  <c r="T223" i="1"/>
  <c r="Q224" i="1"/>
  <c r="R224" i="1"/>
  <c r="S224" i="1"/>
  <c r="T224" i="1"/>
  <c r="Q225" i="1"/>
  <c r="R225" i="1"/>
  <c r="S225" i="1"/>
  <c r="T225" i="1"/>
  <c r="Q226" i="1"/>
  <c r="R226" i="1"/>
  <c r="S226" i="1"/>
  <c r="T226" i="1"/>
  <c r="Q227" i="1"/>
  <c r="R227" i="1"/>
  <c r="S227" i="1"/>
  <c r="T227" i="1"/>
  <c r="Q228" i="1"/>
  <c r="R228" i="1"/>
  <c r="S228" i="1"/>
  <c r="T228" i="1"/>
  <c r="Q229" i="1"/>
  <c r="R229" i="1"/>
  <c r="S229" i="1"/>
  <c r="T229" i="1"/>
  <c r="Q230" i="1"/>
  <c r="R230" i="1"/>
  <c r="S230" i="1"/>
  <c r="T230" i="1"/>
  <c r="Q231" i="1"/>
  <c r="R231" i="1"/>
  <c r="S231" i="1"/>
  <c r="T231" i="1"/>
  <c r="Q232" i="1"/>
  <c r="R232" i="1"/>
  <c r="S232" i="1"/>
  <c r="T232" i="1"/>
  <c r="Q233" i="1"/>
  <c r="R233" i="1"/>
  <c r="S233" i="1"/>
  <c r="T233" i="1"/>
  <c r="Q234" i="1"/>
  <c r="R234" i="1"/>
  <c r="S234" i="1"/>
  <c r="T234" i="1"/>
  <c r="Q235" i="1"/>
  <c r="R235" i="1"/>
  <c r="S235" i="1"/>
  <c r="T235" i="1"/>
  <c r="Q236" i="1"/>
  <c r="R236" i="1"/>
  <c r="S236" i="1"/>
  <c r="T236" i="1"/>
  <c r="Q237" i="1"/>
  <c r="R237" i="1"/>
  <c r="S237" i="1"/>
  <c r="T237" i="1"/>
  <c r="Q238" i="1"/>
  <c r="R238" i="1"/>
  <c r="S238" i="1"/>
  <c r="T238" i="1"/>
  <c r="Q239" i="1"/>
  <c r="R239" i="1"/>
  <c r="S239" i="1"/>
  <c r="T239" i="1"/>
  <c r="Q240" i="1"/>
  <c r="R240" i="1"/>
  <c r="S240" i="1"/>
  <c r="T240" i="1"/>
  <c r="Q241" i="1"/>
  <c r="R241" i="1"/>
  <c r="S241" i="1"/>
  <c r="T241" i="1"/>
  <c r="Q242" i="1"/>
  <c r="R242" i="1"/>
  <c r="S242" i="1"/>
  <c r="T242" i="1"/>
  <c r="Q243" i="1"/>
  <c r="R243" i="1"/>
  <c r="S243" i="1"/>
  <c r="T243" i="1"/>
  <c r="Q244" i="1"/>
  <c r="R244" i="1"/>
  <c r="S244" i="1"/>
  <c r="T244" i="1"/>
  <c r="Q245" i="1"/>
  <c r="R245" i="1"/>
  <c r="S245" i="1"/>
  <c r="T245" i="1"/>
  <c r="Q246" i="1"/>
  <c r="R246" i="1"/>
  <c r="S246" i="1"/>
  <c r="T246" i="1"/>
  <c r="Q247" i="1"/>
  <c r="R247" i="1"/>
  <c r="S247" i="1"/>
  <c r="T247" i="1"/>
  <c r="Q248" i="1"/>
  <c r="R248" i="1"/>
  <c r="S248" i="1"/>
  <c r="T248" i="1"/>
  <c r="Q249" i="1"/>
  <c r="R249" i="1"/>
  <c r="S249" i="1"/>
  <c r="T249" i="1"/>
  <c r="Q250" i="1"/>
  <c r="R250" i="1"/>
  <c r="S250" i="1"/>
  <c r="T250" i="1"/>
  <c r="Q251" i="1"/>
  <c r="R251" i="1"/>
  <c r="S251" i="1"/>
  <c r="T251" i="1"/>
  <c r="Q252" i="1"/>
  <c r="R252" i="1"/>
  <c r="S252" i="1"/>
  <c r="T252" i="1"/>
  <c r="Q253" i="1"/>
  <c r="R253" i="1"/>
  <c r="S253" i="1"/>
  <c r="T253" i="1"/>
  <c r="Q254" i="1"/>
  <c r="R254" i="1"/>
  <c r="S254" i="1"/>
  <c r="T254" i="1"/>
  <c r="Q255" i="1"/>
  <c r="R255" i="1"/>
  <c r="S255" i="1"/>
  <c r="T255" i="1"/>
  <c r="Q256" i="1"/>
  <c r="R256" i="1"/>
  <c r="S256" i="1"/>
  <c r="T256" i="1"/>
  <c r="Q257" i="1"/>
  <c r="R257" i="1"/>
  <c r="S257" i="1"/>
  <c r="T257" i="1"/>
  <c r="Q258" i="1"/>
  <c r="R258" i="1"/>
  <c r="S258" i="1"/>
  <c r="T258" i="1"/>
  <c r="Q259" i="1"/>
  <c r="R259" i="1"/>
  <c r="S259" i="1"/>
  <c r="T259" i="1"/>
  <c r="Q260" i="1"/>
  <c r="R260" i="1"/>
  <c r="S260" i="1"/>
  <c r="T260" i="1"/>
  <c r="Q261" i="1"/>
  <c r="R261" i="1"/>
  <c r="S261" i="1"/>
  <c r="T261" i="1"/>
  <c r="Q262" i="1"/>
  <c r="R262" i="1"/>
  <c r="S262" i="1"/>
  <c r="T262" i="1"/>
  <c r="Q263" i="1"/>
  <c r="R263" i="1"/>
  <c r="S263" i="1"/>
  <c r="T263" i="1"/>
  <c r="Q264" i="1"/>
  <c r="R264" i="1"/>
  <c r="S264" i="1"/>
  <c r="T264" i="1"/>
  <c r="Q265" i="1"/>
  <c r="R265" i="1"/>
  <c r="S265" i="1"/>
  <c r="T265" i="1"/>
  <c r="Q266" i="1"/>
  <c r="R266" i="1"/>
  <c r="S266" i="1"/>
  <c r="T266" i="1"/>
  <c r="Q267" i="1"/>
  <c r="R267" i="1"/>
  <c r="S267" i="1"/>
  <c r="T267" i="1"/>
  <c r="Q268" i="1"/>
  <c r="R268" i="1"/>
  <c r="S268" i="1"/>
  <c r="T268" i="1"/>
  <c r="Q269" i="1"/>
  <c r="R269" i="1"/>
  <c r="S269" i="1"/>
  <c r="T269" i="1"/>
  <c r="Q270" i="1"/>
  <c r="R270" i="1"/>
  <c r="S270" i="1"/>
  <c r="T270" i="1"/>
  <c r="Q271" i="1"/>
  <c r="R271" i="1"/>
  <c r="S271" i="1"/>
  <c r="T271" i="1"/>
  <c r="Q272" i="1"/>
  <c r="R272" i="1"/>
  <c r="S272" i="1"/>
  <c r="T272" i="1"/>
  <c r="Q273" i="1"/>
  <c r="R273" i="1"/>
  <c r="S273" i="1"/>
  <c r="T273" i="1"/>
  <c r="Q274" i="1"/>
  <c r="R274" i="1"/>
  <c r="S274" i="1"/>
  <c r="T274" i="1"/>
  <c r="Q275" i="1"/>
  <c r="R275" i="1"/>
  <c r="S275" i="1"/>
  <c r="T275" i="1"/>
  <c r="Q276" i="1"/>
  <c r="R276" i="1"/>
  <c r="S276" i="1"/>
  <c r="T276" i="1"/>
  <c r="Q277" i="1"/>
  <c r="R277" i="1"/>
  <c r="S277" i="1"/>
  <c r="T277" i="1"/>
  <c r="Q278" i="1"/>
  <c r="R278" i="1"/>
  <c r="S278" i="1"/>
  <c r="T278" i="1"/>
  <c r="Q279" i="1"/>
  <c r="R279" i="1"/>
  <c r="S279" i="1"/>
  <c r="T279" i="1"/>
  <c r="Q280" i="1"/>
  <c r="R280" i="1"/>
  <c r="S280" i="1"/>
  <c r="T280" i="1"/>
  <c r="Q281" i="1"/>
  <c r="R281" i="1"/>
  <c r="S281" i="1"/>
  <c r="T281" i="1"/>
  <c r="Q282" i="1"/>
  <c r="R282" i="1"/>
  <c r="S282" i="1"/>
  <c r="T282" i="1"/>
  <c r="Q283" i="1"/>
  <c r="R283" i="1"/>
  <c r="S283" i="1"/>
  <c r="T283" i="1"/>
  <c r="Q284" i="1"/>
  <c r="R284" i="1"/>
  <c r="S284" i="1"/>
  <c r="T284" i="1"/>
  <c r="Q285" i="1"/>
  <c r="R285" i="1"/>
  <c r="S285" i="1"/>
  <c r="T285" i="1"/>
  <c r="Q286" i="1"/>
  <c r="R286" i="1"/>
  <c r="S286" i="1"/>
  <c r="T286" i="1"/>
  <c r="Q287" i="1"/>
  <c r="R287" i="1"/>
  <c r="S287" i="1"/>
  <c r="T287" i="1"/>
  <c r="Q288" i="1"/>
  <c r="R288" i="1"/>
  <c r="S288" i="1"/>
  <c r="T288" i="1"/>
  <c r="Q289" i="1"/>
  <c r="R289" i="1"/>
  <c r="S289" i="1"/>
  <c r="T289" i="1"/>
  <c r="Q290" i="1"/>
  <c r="R290" i="1"/>
  <c r="S290" i="1"/>
  <c r="T290" i="1"/>
  <c r="Q291" i="1"/>
  <c r="R291" i="1"/>
  <c r="S291" i="1"/>
  <c r="T291" i="1"/>
  <c r="Q292" i="1"/>
  <c r="R292" i="1"/>
  <c r="S292" i="1"/>
  <c r="T292" i="1"/>
  <c r="Q293" i="1"/>
  <c r="R293" i="1"/>
  <c r="S293" i="1"/>
  <c r="T293" i="1"/>
  <c r="Q294" i="1"/>
  <c r="R294" i="1"/>
  <c r="S294" i="1"/>
  <c r="T294" i="1"/>
  <c r="Q295" i="1"/>
  <c r="R295" i="1"/>
  <c r="S295" i="1"/>
  <c r="T295" i="1"/>
  <c r="Q296" i="1"/>
  <c r="R296" i="1"/>
  <c r="S296" i="1"/>
  <c r="T296" i="1"/>
  <c r="Q297" i="1"/>
  <c r="R297" i="1"/>
  <c r="S297" i="1"/>
  <c r="T297" i="1"/>
  <c r="Q298" i="1"/>
  <c r="R298" i="1"/>
  <c r="S298" i="1"/>
  <c r="T298" i="1"/>
  <c r="Q299" i="1"/>
  <c r="R299" i="1"/>
  <c r="S299" i="1"/>
  <c r="T299" i="1"/>
  <c r="Q300" i="1"/>
  <c r="R300" i="1"/>
  <c r="S300" i="1"/>
  <c r="T300" i="1"/>
  <c r="Q301" i="1"/>
  <c r="R301" i="1"/>
  <c r="S301" i="1"/>
  <c r="T301" i="1"/>
  <c r="Q302" i="1"/>
  <c r="R302" i="1"/>
  <c r="S302" i="1"/>
  <c r="T302" i="1"/>
  <c r="Q303" i="1"/>
  <c r="R303" i="1"/>
  <c r="S303" i="1"/>
  <c r="T303" i="1"/>
  <c r="Q304" i="1"/>
  <c r="R304" i="1"/>
  <c r="S304" i="1"/>
  <c r="T304" i="1"/>
  <c r="Q305" i="1"/>
  <c r="R305" i="1"/>
  <c r="S305" i="1"/>
  <c r="T305" i="1"/>
  <c r="Q306" i="1"/>
  <c r="R306" i="1"/>
  <c r="S306" i="1"/>
  <c r="T306" i="1"/>
  <c r="Q307" i="1"/>
  <c r="R307" i="1"/>
  <c r="S307" i="1"/>
  <c r="T307" i="1"/>
  <c r="Q308" i="1"/>
  <c r="R308" i="1"/>
  <c r="S308" i="1"/>
  <c r="T308" i="1"/>
  <c r="Q309" i="1"/>
  <c r="R309" i="1"/>
  <c r="S309" i="1"/>
  <c r="T309" i="1"/>
  <c r="Q310" i="1"/>
  <c r="R310" i="1"/>
  <c r="S310" i="1"/>
  <c r="T310" i="1"/>
  <c r="Q311" i="1"/>
  <c r="R311" i="1"/>
  <c r="S311" i="1"/>
  <c r="T311" i="1"/>
  <c r="Q312" i="1"/>
  <c r="R312" i="1"/>
  <c r="S312" i="1"/>
  <c r="T312" i="1"/>
  <c r="Q313" i="1"/>
  <c r="R313" i="1"/>
  <c r="S313" i="1"/>
  <c r="T313" i="1"/>
  <c r="Q314" i="1"/>
  <c r="R314" i="1"/>
  <c r="S314" i="1"/>
  <c r="T314" i="1"/>
  <c r="Q315" i="1"/>
  <c r="R315" i="1"/>
  <c r="S315" i="1"/>
  <c r="T315" i="1"/>
  <c r="Q316" i="1"/>
  <c r="R316" i="1"/>
  <c r="S316" i="1"/>
  <c r="T316" i="1"/>
  <c r="Q317" i="1"/>
  <c r="R317" i="1"/>
  <c r="S317" i="1"/>
  <c r="T317" i="1"/>
  <c r="Q318" i="1"/>
  <c r="R318" i="1"/>
  <c r="S318" i="1"/>
  <c r="T318" i="1"/>
  <c r="Q319" i="1"/>
  <c r="R319" i="1"/>
  <c r="S319" i="1"/>
  <c r="T319" i="1"/>
  <c r="Q320" i="1"/>
  <c r="R320" i="1"/>
  <c r="S320" i="1"/>
  <c r="T320" i="1"/>
  <c r="Q321" i="1"/>
  <c r="R321" i="1"/>
  <c r="S321" i="1"/>
  <c r="T321" i="1"/>
  <c r="Q322" i="1"/>
  <c r="R322" i="1"/>
  <c r="S322" i="1"/>
  <c r="T322" i="1"/>
  <c r="Q323" i="1"/>
  <c r="R323" i="1"/>
  <c r="S323" i="1"/>
  <c r="T323" i="1"/>
  <c r="Q324" i="1"/>
  <c r="R324" i="1"/>
  <c r="S324" i="1"/>
  <c r="T324" i="1"/>
  <c r="Q325" i="1"/>
  <c r="R325" i="1"/>
  <c r="S325" i="1"/>
  <c r="T325" i="1"/>
  <c r="Q326" i="1"/>
  <c r="R326" i="1"/>
  <c r="S326" i="1"/>
  <c r="T326" i="1"/>
  <c r="Q327" i="1"/>
  <c r="R327" i="1"/>
  <c r="S327" i="1"/>
  <c r="T327" i="1"/>
  <c r="Q328" i="1"/>
  <c r="R328" i="1"/>
  <c r="S328" i="1"/>
  <c r="T328" i="1"/>
  <c r="Q329" i="1"/>
  <c r="R329" i="1"/>
  <c r="S329" i="1"/>
  <c r="T329" i="1"/>
  <c r="Q330" i="1"/>
  <c r="R330" i="1"/>
  <c r="S330" i="1"/>
  <c r="T330" i="1"/>
  <c r="Q331" i="1"/>
  <c r="R331" i="1"/>
  <c r="S331" i="1"/>
  <c r="T331" i="1"/>
  <c r="Q332" i="1"/>
  <c r="R332" i="1"/>
  <c r="S332" i="1"/>
  <c r="T332" i="1"/>
  <c r="Q333" i="1"/>
  <c r="R333" i="1"/>
  <c r="S333" i="1"/>
  <c r="T333" i="1"/>
  <c r="Q334" i="1"/>
  <c r="R334" i="1"/>
  <c r="S334" i="1"/>
  <c r="T334" i="1"/>
  <c r="Q335" i="1"/>
  <c r="R335" i="1"/>
  <c r="S335" i="1"/>
  <c r="T335" i="1"/>
  <c r="Q336" i="1"/>
  <c r="R336" i="1"/>
  <c r="S336" i="1"/>
  <c r="T336" i="1"/>
  <c r="Q337" i="1"/>
  <c r="R337" i="1"/>
  <c r="S337" i="1"/>
  <c r="T337" i="1"/>
  <c r="Q338" i="1"/>
  <c r="R338" i="1"/>
  <c r="S338" i="1"/>
  <c r="T338" i="1"/>
  <c r="Q339" i="1"/>
  <c r="R339" i="1"/>
  <c r="S339" i="1"/>
  <c r="T339" i="1"/>
  <c r="Q340" i="1"/>
  <c r="R340" i="1"/>
  <c r="S340" i="1"/>
  <c r="T340" i="1"/>
  <c r="Q341" i="1"/>
  <c r="R341" i="1"/>
  <c r="S341" i="1"/>
  <c r="T341" i="1"/>
  <c r="Q342" i="1"/>
  <c r="R342" i="1"/>
  <c r="S342" i="1"/>
  <c r="T342" i="1"/>
  <c r="Q343" i="1"/>
  <c r="R343" i="1"/>
  <c r="S343" i="1"/>
  <c r="T343" i="1"/>
  <c r="Q344" i="1"/>
  <c r="R344" i="1"/>
  <c r="S344" i="1"/>
  <c r="T344" i="1"/>
  <c r="Q345" i="1"/>
  <c r="R345" i="1"/>
  <c r="S345" i="1"/>
  <c r="T345" i="1"/>
  <c r="Q346" i="1"/>
  <c r="R346" i="1"/>
  <c r="S346" i="1"/>
  <c r="T346" i="1"/>
  <c r="Q347" i="1"/>
  <c r="R347" i="1"/>
  <c r="S347" i="1"/>
  <c r="T347" i="1"/>
  <c r="Q348" i="1"/>
  <c r="R348" i="1"/>
  <c r="S348" i="1"/>
  <c r="T348" i="1"/>
  <c r="Q349" i="1"/>
  <c r="R349" i="1"/>
  <c r="S349" i="1"/>
  <c r="T349" i="1"/>
  <c r="Q350" i="1"/>
  <c r="R350" i="1"/>
  <c r="S350" i="1"/>
  <c r="T350" i="1"/>
  <c r="Q351" i="1"/>
  <c r="R351" i="1"/>
  <c r="S351" i="1"/>
  <c r="T351" i="1"/>
  <c r="Q352" i="1"/>
  <c r="R352" i="1"/>
  <c r="S352" i="1"/>
  <c r="T352" i="1"/>
  <c r="Q353" i="1"/>
  <c r="R353" i="1"/>
  <c r="S353" i="1"/>
  <c r="T353" i="1"/>
  <c r="Q354" i="1"/>
  <c r="R354" i="1"/>
  <c r="S354" i="1"/>
  <c r="T354" i="1"/>
  <c r="Q355" i="1"/>
  <c r="R355" i="1"/>
  <c r="S355" i="1"/>
  <c r="T355" i="1"/>
  <c r="Q356" i="1"/>
  <c r="R356" i="1"/>
  <c r="S356" i="1"/>
  <c r="T356" i="1"/>
  <c r="Q357" i="1"/>
  <c r="R357" i="1"/>
  <c r="S357" i="1"/>
  <c r="T357" i="1"/>
  <c r="Q358" i="1"/>
  <c r="R358" i="1"/>
  <c r="S358" i="1"/>
  <c r="T358" i="1"/>
  <c r="Q359" i="1"/>
  <c r="R359" i="1"/>
  <c r="S359" i="1"/>
  <c r="T359" i="1"/>
  <c r="Q360" i="1"/>
  <c r="R360" i="1"/>
  <c r="S360" i="1"/>
  <c r="T360" i="1"/>
  <c r="Q361" i="1"/>
  <c r="R361" i="1"/>
  <c r="S361" i="1"/>
  <c r="T361" i="1"/>
  <c r="Q362" i="1"/>
  <c r="R362" i="1"/>
  <c r="S362" i="1"/>
  <c r="T362" i="1"/>
  <c r="Q363" i="1"/>
  <c r="R363" i="1"/>
  <c r="S363" i="1"/>
  <c r="T363" i="1"/>
  <c r="Q364" i="1"/>
  <c r="R364" i="1"/>
  <c r="S364" i="1"/>
  <c r="T364" i="1"/>
  <c r="Q365" i="1"/>
  <c r="R365" i="1"/>
  <c r="S365" i="1"/>
  <c r="T365" i="1"/>
  <c r="Q366" i="1"/>
  <c r="R366" i="1"/>
  <c r="S366" i="1"/>
  <c r="T366" i="1"/>
  <c r="Q367" i="1"/>
  <c r="R367" i="1"/>
  <c r="S367" i="1"/>
  <c r="T367" i="1"/>
  <c r="Q368" i="1"/>
  <c r="R368" i="1"/>
  <c r="S368" i="1"/>
  <c r="T368" i="1"/>
  <c r="Q369" i="1"/>
  <c r="R369" i="1"/>
  <c r="S369" i="1"/>
  <c r="T369" i="1"/>
  <c r="Q370" i="1"/>
  <c r="R370" i="1"/>
  <c r="S370" i="1"/>
  <c r="T370" i="1"/>
  <c r="Q371" i="1"/>
  <c r="R371" i="1"/>
  <c r="S371" i="1"/>
  <c r="T371" i="1"/>
  <c r="Q372" i="1"/>
  <c r="R372" i="1"/>
  <c r="S372" i="1"/>
  <c r="T372" i="1"/>
  <c r="Q373" i="1"/>
  <c r="R373" i="1"/>
  <c r="S373" i="1"/>
  <c r="T373" i="1"/>
  <c r="Q374" i="1"/>
  <c r="R374" i="1"/>
  <c r="S374" i="1"/>
  <c r="T374" i="1"/>
  <c r="Q375" i="1"/>
  <c r="R375" i="1"/>
  <c r="S375" i="1"/>
  <c r="T375" i="1"/>
  <c r="Q376" i="1"/>
  <c r="R376" i="1"/>
  <c r="S376" i="1"/>
  <c r="T376" i="1"/>
  <c r="Q377" i="1"/>
  <c r="R377" i="1"/>
  <c r="S377" i="1"/>
  <c r="T377" i="1"/>
  <c r="Q378" i="1"/>
  <c r="R378" i="1"/>
  <c r="S378" i="1"/>
  <c r="T378" i="1"/>
  <c r="Q379" i="1"/>
  <c r="R379" i="1"/>
  <c r="S379" i="1"/>
  <c r="T379" i="1"/>
  <c r="Q380" i="1"/>
  <c r="R380" i="1"/>
  <c r="S380" i="1"/>
  <c r="T380" i="1"/>
  <c r="Q381" i="1"/>
  <c r="R381" i="1"/>
  <c r="S381" i="1"/>
  <c r="T381" i="1"/>
  <c r="Q382" i="1"/>
  <c r="R382" i="1"/>
  <c r="S382" i="1"/>
  <c r="T382" i="1"/>
  <c r="Q383" i="1"/>
  <c r="R383" i="1"/>
  <c r="S383" i="1"/>
  <c r="T383" i="1"/>
  <c r="Q384" i="1"/>
  <c r="R384" i="1"/>
  <c r="S384" i="1"/>
  <c r="T384" i="1"/>
  <c r="Q385" i="1"/>
  <c r="R385" i="1"/>
  <c r="S385" i="1"/>
  <c r="T385" i="1"/>
  <c r="Q386" i="1"/>
  <c r="R386" i="1"/>
  <c r="S386" i="1"/>
  <c r="T386" i="1"/>
  <c r="Q387" i="1"/>
  <c r="R387" i="1"/>
  <c r="S387" i="1"/>
  <c r="T387" i="1"/>
  <c r="Q388" i="1"/>
  <c r="R388" i="1"/>
  <c r="S388" i="1"/>
  <c r="T388" i="1"/>
  <c r="Q389" i="1"/>
  <c r="R389" i="1"/>
  <c r="S389" i="1"/>
  <c r="T389" i="1"/>
  <c r="Q390" i="1"/>
  <c r="R390" i="1"/>
  <c r="S390" i="1"/>
  <c r="T390" i="1"/>
  <c r="Q391" i="1"/>
  <c r="R391" i="1"/>
  <c r="S391" i="1"/>
  <c r="T391" i="1"/>
  <c r="Q392" i="1"/>
  <c r="R392" i="1"/>
  <c r="S392" i="1"/>
  <c r="T392" i="1"/>
  <c r="Q393" i="1"/>
  <c r="R393" i="1"/>
  <c r="S393" i="1"/>
  <c r="T393" i="1"/>
  <c r="Q394" i="1"/>
  <c r="R394" i="1"/>
  <c r="S394" i="1"/>
  <c r="T394" i="1"/>
  <c r="Q395" i="1"/>
  <c r="R395" i="1"/>
  <c r="S395" i="1"/>
  <c r="T395" i="1"/>
  <c r="Q396" i="1"/>
  <c r="R396" i="1"/>
  <c r="S396" i="1"/>
  <c r="T396" i="1"/>
  <c r="Q397" i="1"/>
  <c r="R397" i="1"/>
  <c r="S397" i="1"/>
  <c r="T397" i="1"/>
  <c r="Q398" i="1"/>
  <c r="R398" i="1"/>
  <c r="S398" i="1"/>
  <c r="T398" i="1"/>
  <c r="Q399" i="1"/>
  <c r="R399" i="1"/>
  <c r="S399" i="1"/>
  <c r="T399" i="1"/>
  <c r="Q400" i="1"/>
  <c r="R400" i="1"/>
  <c r="S400" i="1"/>
  <c r="T400" i="1"/>
  <c r="Q401" i="1"/>
  <c r="R401" i="1"/>
  <c r="S401" i="1"/>
  <c r="T401" i="1"/>
  <c r="Q402" i="1"/>
  <c r="R402" i="1"/>
  <c r="S402" i="1"/>
  <c r="T402" i="1"/>
  <c r="Q403" i="1"/>
  <c r="R403" i="1"/>
  <c r="S403" i="1"/>
  <c r="T403" i="1"/>
  <c r="Q404" i="1"/>
  <c r="R404" i="1"/>
  <c r="S404" i="1"/>
  <c r="T404" i="1"/>
  <c r="Q405" i="1"/>
  <c r="R405" i="1"/>
  <c r="S405" i="1"/>
  <c r="T405" i="1"/>
  <c r="Q406" i="1"/>
  <c r="R406" i="1"/>
  <c r="S406" i="1"/>
  <c r="T406" i="1"/>
  <c r="Q407" i="1"/>
  <c r="R407" i="1"/>
  <c r="S407" i="1"/>
  <c r="T407" i="1"/>
  <c r="Q408" i="1"/>
  <c r="R408" i="1"/>
  <c r="S408" i="1"/>
  <c r="T408" i="1"/>
  <c r="Q409" i="1"/>
  <c r="R409" i="1"/>
  <c r="S409" i="1"/>
  <c r="T409" i="1"/>
  <c r="Q410" i="1"/>
  <c r="R410" i="1"/>
  <c r="S410" i="1"/>
  <c r="T410" i="1"/>
  <c r="Q411" i="1"/>
  <c r="R411" i="1"/>
  <c r="S411" i="1"/>
  <c r="T411" i="1"/>
  <c r="Q412" i="1"/>
  <c r="R412" i="1"/>
  <c r="S412" i="1"/>
  <c r="T412" i="1"/>
  <c r="Q413" i="1"/>
  <c r="R413" i="1"/>
  <c r="S413" i="1"/>
  <c r="T413" i="1"/>
  <c r="Q414" i="1"/>
  <c r="R414" i="1"/>
  <c r="S414" i="1"/>
  <c r="T414" i="1"/>
  <c r="Q415" i="1"/>
  <c r="R415" i="1"/>
  <c r="S415" i="1"/>
  <c r="T415" i="1"/>
  <c r="Q416" i="1"/>
  <c r="R416" i="1"/>
  <c r="S416" i="1"/>
  <c r="T416" i="1"/>
  <c r="Q417" i="1"/>
  <c r="R417" i="1"/>
  <c r="S417" i="1"/>
  <c r="T417" i="1"/>
  <c r="Q418" i="1"/>
  <c r="R418" i="1"/>
  <c r="S418" i="1"/>
  <c r="T418" i="1"/>
  <c r="Q419" i="1"/>
  <c r="R419" i="1"/>
  <c r="S419" i="1"/>
  <c r="T419" i="1"/>
  <c r="Q420" i="1"/>
  <c r="R420" i="1"/>
  <c r="S420" i="1"/>
  <c r="T420" i="1"/>
  <c r="Q421" i="1"/>
  <c r="R421" i="1"/>
  <c r="S421" i="1"/>
  <c r="T421" i="1"/>
  <c r="Q422" i="1"/>
  <c r="R422" i="1"/>
  <c r="S422" i="1"/>
  <c r="T422" i="1"/>
  <c r="Q423" i="1"/>
  <c r="R423" i="1"/>
  <c r="S423" i="1"/>
  <c r="T423" i="1"/>
  <c r="Q424" i="1"/>
  <c r="R424" i="1"/>
  <c r="S424" i="1"/>
  <c r="T424" i="1"/>
  <c r="Q425" i="1"/>
  <c r="R425" i="1"/>
  <c r="S425" i="1"/>
  <c r="T425" i="1"/>
  <c r="Q426" i="1"/>
  <c r="R426" i="1"/>
  <c r="S426" i="1"/>
  <c r="T426" i="1"/>
  <c r="Q427" i="1"/>
  <c r="R427" i="1"/>
  <c r="S427" i="1"/>
  <c r="T427" i="1"/>
  <c r="Q428" i="1"/>
  <c r="R428" i="1"/>
  <c r="S428" i="1"/>
  <c r="T428" i="1"/>
  <c r="Q429" i="1"/>
  <c r="R429" i="1"/>
  <c r="S429" i="1"/>
  <c r="T429" i="1"/>
  <c r="Q430" i="1"/>
  <c r="R430" i="1"/>
  <c r="S430" i="1"/>
  <c r="T430" i="1"/>
  <c r="Q431" i="1"/>
  <c r="R431" i="1"/>
  <c r="S431" i="1"/>
  <c r="T431" i="1"/>
  <c r="Q432" i="1"/>
  <c r="R432" i="1"/>
  <c r="S432" i="1"/>
  <c r="T432" i="1"/>
  <c r="Q433" i="1"/>
  <c r="R433" i="1"/>
  <c r="S433" i="1"/>
  <c r="T433" i="1"/>
  <c r="Q434" i="1"/>
  <c r="R434" i="1"/>
  <c r="S434" i="1"/>
  <c r="T434" i="1"/>
  <c r="Q435" i="1"/>
  <c r="R435" i="1"/>
  <c r="S435" i="1"/>
  <c r="T435" i="1"/>
  <c r="Q436" i="1"/>
  <c r="R436" i="1"/>
  <c r="S436" i="1"/>
  <c r="T436" i="1"/>
  <c r="Q437" i="1"/>
  <c r="R437" i="1"/>
  <c r="S437" i="1"/>
  <c r="T437" i="1"/>
  <c r="Q438" i="1"/>
  <c r="R438" i="1"/>
  <c r="S438" i="1"/>
  <c r="T438" i="1"/>
  <c r="Q439" i="1"/>
  <c r="R439" i="1"/>
  <c r="S439" i="1"/>
  <c r="T439" i="1"/>
  <c r="Q440" i="1"/>
  <c r="R440" i="1"/>
  <c r="S440" i="1"/>
  <c r="T440" i="1"/>
  <c r="Q441" i="1"/>
  <c r="R441" i="1"/>
  <c r="S441" i="1"/>
  <c r="T441" i="1"/>
  <c r="Q442" i="1"/>
  <c r="R442" i="1"/>
  <c r="S442" i="1"/>
  <c r="T442" i="1"/>
  <c r="Q443" i="1"/>
  <c r="R443" i="1"/>
  <c r="S443" i="1"/>
  <c r="T443" i="1"/>
  <c r="Q444" i="1"/>
  <c r="R444" i="1"/>
  <c r="S444" i="1"/>
  <c r="T444" i="1"/>
  <c r="Q445" i="1"/>
  <c r="R445" i="1"/>
  <c r="S445" i="1"/>
  <c r="T445" i="1"/>
  <c r="Q446" i="1"/>
  <c r="R446" i="1"/>
  <c r="S446" i="1"/>
  <c r="T446" i="1"/>
  <c r="Q447" i="1"/>
  <c r="R447" i="1"/>
  <c r="S447" i="1"/>
  <c r="T447" i="1"/>
  <c r="Q448" i="1"/>
  <c r="R448" i="1"/>
  <c r="S448" i="1"/>
  <c r="T448" i="1"/>
  <c r="Q449" i="1"/>
  <c r="R449" i="1"/>
  <c r="S449" i="1"/>
  <c r="T449" i="1"/>
  <c r="Q450" i="1"/>
  <c r="R450" i="1"/>
  <c r="S450" i="1"/>
  <c r="T450" i="1"/>
  <c r="Q451" i="1"/>
  <c r="R451" i="1"/>
  <c r="S451" i="1"/>
  <c r="T451" i="1"/>
  <c r="Q452" i="1"/>
  <c r="R452" i="1"/>
  <c r="S452" i="1"/>
  <c r="T452" i="1"/>
  <c r="Q453" i="1"/>
  <c r="R453" i="1"/>
  <c r="S453" i="1"/>
  <c r="T453" i="1"/>
  <c r="Q454" i="1"/>
  <c r="R454" i="1"/>
  <c r="S454" i="1"/>
  <c r="T454" i="1"/>
  <c r="Q455" i="1"/>
  <c r="R455" i="1"/>
  <c r="S455" i="1"/>
  <c r="T455" i="1"/>
  <c r="Q456" i="1"/>
  <c r="R456" i="1"/>
  <c r="S456" i="1"/>
  <c r="T456" i="1"/>
  <c r="Q457" i="1"/>
  <c r="R457" i="1"/>
  <c r="S457" i="1"/>
  <c r="T457" i="1"/>
  <c r="Q458" i="1"/>
  <c r="R458" i="1"/>
  <c r="S458" i="1"/>
  <c r="T458" i="1"/>
  <c r="Q459" i="1"/>
  <c r="R459" i="1"/>
  <c r="S459" i="1"/>
  <c r="T459" i="1"/>
  <c r="Q460" i="1"/>
  <c r="R460" i="1"/>
  <c r="S460" i="1"/>
  <c r="T460" i="1"/>
  <c r="Q461" i="1"/>
  <c r="R461" i="1"/>
  <c r="S461" i="1"/>
  <c r="T461" i="1"/>
  <c r="Q462" i="1"/>
  <c r="R462" i="1"/>
  <c r="S462" i="1"/>
  <c r="T462" i="1"/>
  <c r="Q463" i="1"/>
  <c r="R463" i="1"/>
  <c r="S463" i="1"/>
  <c r="T463" i="1"/>
  <c r="Q464" i="1"/>
  <c r="R464" i="1"/>
  <c r="S464" i="1"/>
  <c r="T464" i="1"/>
  <c r="Q465" i="1"/>
  <c r="R465" i="1"/>
  <c r="S465" i="1"/>
  <c r="T465" i="1"/>
  <c r="Q466" i="1"/>
  <c r="R466" i="1"/>
  <c r="S466" i="1"/>
  <c r="T466" i="1"/>
  <c r="Q467" i="1"/>
  <c r="R467" i="1"/>
  <c r="S467" i="1"/>
  <c r="T467" i="1"/>
  <c r="Q468" i="1"/>
  <c r="R468" i="1"/>
  <c r="S468" i="1"/>
  <c r="T468" i="1"/>
  <c r="Q469" i="1"/>
  <c r="R469" i="1"/>
  <c r="S469" i="1"/>
  <c r="T469" i="1"/>
  <c r="Q470" i="1"/>
  <c r="R470" i="1"/>
  <c r="S470" i="1"/>
  <c r="T470" i="1"/>
  <c r="Q471" i="1"/>
  <c r="R471" i="1"/>
  <c r="S471" i="1"/>
  <c r="T471" i="1"/>
  <c r="Q472" i="1"/>
  <c r="R472" i="1"/>
  <c r="S472" i="1"/>
  <c r="T472" i="1"/>
  <c r="Q473" i="1"/>
  <c r="R473" i="1"/>
  <c r="S473" i="1"/>
  <c r="T473" i="1"/>
  <c r="Q474" i="1"/>
  <c r="R474" i="1"/>
  <c r="S474" i="1"/>
  <c r="T474" i="1"/>
  <c r="Q475" i="1"/>
  <c r="R475" i="1"/>
  <c r="S475" i="1"/>
  <c r="T475" i="1"/>
  <c r="Q476" i="1"/>
  <c r="R476" i="1"/>
  <c r="S476" i="1"/>
  <c r="T476" i="1"/>
  <c r="Q477" i="1"/>
  <c r="R477" i="1"/>
  <c r="S477" i="1"/>
  <c r="T477" i="1"/>
  <c r="Q478" i="1"/>
  <c r="R478" i="1"/>
  <c r="S478" i="1"/>
  <c r="T478" i="1"/>
  <c r="Q479" i="1"/>
  <c r="R479" i="1"/>
  <c r="S479" i="1"/>
  <c r="T479" i="1"/>
  <c r="Q480" i="1"/>
  <c r="R480" i="1"/>
  <c r="S480" i="1"/>
  <c r="T480" i="1"/>
  <c r="Q481" i="1"/>
  <c r="R481" i="1"/>
  <c r="S481" i="1"/>
  <c r="T481" i="1"/>
  <c r="Q482" i="1"/>
  <c r="R482" i="1"/>
  <c r="S482" i="1"/>
  <c r="T482" i="1"/>
  <c r="Q483" i="1"/>
  <c r="R483" i="1"/>
  <c r="S483" i="1"/>
  <c r="T483" i="1"/>
  <c r="Q484" i="1"/>
  <c r="R484" i="1"/>
  <c r="S484" i="1"/>
  <c r="T484" i="1"/>
  <c r="Q485" i="1"/>
  <c r="R485" i="1"/>
  <c r="S485" i="1"/>
  <c r="T485" i="1"/>
  <c r="Q486" i="1"/>
  <c r="R486" i="1"/>
  <c r="S486" i="1"/>
  <c r="T486" i="1"/>
  <c r="Q487" i="1"/>
  <c r="R487" i="1"/>
  <c r="S487" i="1"/>
  <c r="T487" i="1"/>
  <c r="Q488" i="1"/>
  <c r="R488" i="1"/>
  <c r="S488" i="1"/>
  <c r="T488" i="1"/>
  <c r="Q489" i="1"/>
  <c r="R489" i="1"/>
  <c r="S489" i="1"/>
  <c r="T489" i="1"/>
  <c r="Q490" i="1"/>
  <c r="R490" i="1"/>
  <c r="S490" i="1"/>
  <c r="T490" i="1"/>
  <c r="Q491" i="1"/>
  <c r="R491" i="1"/>
  <c r="S491" i="1"/>
  <c r="T491" i="1"/>
  <c r="Q492" i="1"/>
  <c r="R492" i="1"/>
  <c r="S492" i="1"/>
  <c r="T492" i="1"/>
  <c r="Q493" i="1"/>
  <c r="R493" i="1"/>
  <c r="S493" i="1"/>
  <c r="T493" i="1"/>
  <c r="Q494" i="1"/>
  <c r="R494" i="1"/>
  <c r="S494" i="1"/>
  <c r="T494" i="1"/>
  <c r="Q495" i="1"/>
  <c r="R495" i="1"/>
  <c r="S495" i="1"/>
  <c r="T495" i="1"/>
  <c r="Q496" i="1"/>
  <c r="R496" i="1"/>
  <c r="S496" i="1"/>
  <c r="T496" i="1"/>
  <c r="Q497" i="1"/>
  <c r="R497" i="1"/>
  <c r="S497" i="1"/>
  <c r="T497" i="1"/>
  <c r="Q498" i="1"/>
  <c r="R498" i="1"/>
  <c r="S498" i="1"/>
  <c r="T498" i="1"/>
  <c r="Q499" i="1"/>
  <c r="R499" i="1"/>
  <c r="S499" i="1"/>
  <c r="T499" i="1"/>
  <c r="Q500" i="1"/>
  <c r="R500" i="1"/>
  <c r="S500" i="1"/>
  <c r="T500" i="1"/>
  <c r="Q501" i="1"/>
  <c r="R501" i="1"/>
  <c r="S501" i="1"/>
  <c r="T501" i="1"/>
  <c r="Q502" i="1"/>
  <c r="R502" i="1"/>
  <c r="S502" i="1"/>
  <c r="T502" i="1"/>
  <c r="Q503" i="1"/>
  <c r="R503" i="1"/>
  <c r="S503" i="1"/>
  <c r="T503" i="1"/>
  <c r="Q504" i="1"/>
  <c r="R504" i="1"/>
  <c r="S504" i="1"/>
  <c r="T504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X504" i="1"/>
  <c r="V504" i="1"/>
  <c r="X503" i="1"/>
  <c r="V503" i="1"/>
  <c r="X502" i="1"/>
  <c r="V502" i="1"/>
  <c r="X501" i="1"/>
  <c r="V501" i="1"/>
  <c r="X500" i="1"/>
  <c r="V500" i="1"/>
  <c r="X499" i="1"/>
  <c r="V499" i="1"/>
  <c r="X498" i="1"/>
  <c r="V498" i="1"/>
  <c r="X497" i="1"/>
  <c r="V497" i="1"/>
  <c r="X496" i="1"/>
  <c r="V496" i="1"/>
  <c r="X495" i="1"/>
  <c r="V495" i="1"/>
  <c r="X494" i="1"/>
  <c r="V494" i="1"/>
  <c r="X493" i="1"/>
  <c r="V493" i="1"/>
  <c r="X492" i="1"/>
  <c r="V492" i="1"/>
  <c r="X491" i="1"/>
  <c r="V491" i="1"/>
  <c r="X490" i="1"/>
  <c r="V490" i="1"/>
  <c r="X489" i="1"/>
  <c r="V489" i="1"/>
  <c r="X488" i="1"/>
  <c r="V488" i="1"/>
  <c r="X487" i="1"/>
  <c r="V487" i="1"/>
  <c r="X486" i="1"/>
  <c r="V486" i="1"/>
  <c r="X485" i="1"/>
  <c r="V485" i="1"/>
  <c r="X484" i="1"/>
  <c r="V484" i="1"/>
  <c r="X483" i="1"/>
  <c r="V483" i="1"/>
  <c r="X482" i="1"/>
  <c r="V482" i="1"/>
  <c r="X481" i="1"/>
  <c r="V481" i="1"/>
  <c r="X480" i="1"/>
  <c r="V480" i="1"/>
  <c r="X479" i="1"/>
  <c r="V479" i="1"/>
  <c r="X478" i="1"/>
  <c r="V478" i="1"/>
  <c r="X477" i="1"/>
  <c r="V477" i="1"/>
  <c r="X476" i="1"/>
  <c r="V476" i="1"/>
  <c r="X475" i="1"/>
  <c r="V475" i="1"/>
  <c r="X474" i="1"/>
  <c r="V474" i="1"/>
  <c r="X473" i="1"/>
  <c r="V473" i="1"/>
  <c r="X472" i="1"/>
  <c r="V472" i="1"/>
  <c r="X471" i="1"/>
  <c r="V471" i="1"/>
  <c r="X470" i="1"/>
  <c r="V470" i="1"/>
  <c r="X469" i="1"/>
  <c r="V469" i="1"/>
  <c r="X468" i="1"/>
  <c r="V468" i="1"/>
  <c r="X467" i="1"/>
  <c r="V467" i="1"/>
  <c r="X466" i="1"/>
  <c r="V466" i="1"/>
  <c r="X465" i="1"/>
  <c r="V465" i="1"/>
  <c r="X464" i="1"/>
  <c r="V464" i="1"/>
  <c r="X463" i="1"/>
  <c r="V463" i="1"/>
  <c r="X462" i="1"/>
  <c r="V462" i="1"/>
  <c r="X461" i="1"/>
  <c r="V461" i="1"/>
  <c r="X460" i="1"/>
  <c r="V460" i="1"/>
  <c r="X459" i="1"/>
  <c r="V459" i="1"/>
  <c r="X458" i="1"/>
  <c r="V458" i="1"/>
  <c r="X457" i="1"/>
  <c r="V457" i="1"/>
  <c r="X456" i="1"/>
  <c r="V456" i="1"/>
  <c r="X455" i="1"/>
  <c r="V455" i="1"/>
  <c r="X454" i="1"/>
  <c r="V454" i="1"/>
  <c r="X453" i="1"/>
  <c r="V453" i="1"/>
  <c r="X452" i="1"/>
  <c r="V452" i="1"/>
  <c r="X451" i="1"/>
  <c r="V451" i="1"/>
  <c r="X450" i="1"/>
  <c r="V450" i="1"/>
  <c r="X449" i="1"/>
  <c r="V449" i="1"/>
  <c r="X448" i="1"/>
  <c r="V448" i="1"/>
  <c r="X447" i="1"/>
  <c r="V447" i="1"/>
  <c r="X446" i="1"/>
  <c r="V446" i="1"/>
  <c r="X445" i="1"/>
  <c r="V445" i="1"/>
  <c r="X444" i="1"/>
  <c r="V444" i="1"/>
  <c r="X443" i="1"/>
  <c r="V443" i="1"/>
  <c r="X442" i="1"/>
  <c r="V442" i="1"/>
  <c r="X441" i="1"/>
  <c r="V441" i="1"/>
  <c r="X440" i="1"/>
  <c r="V440" i="1"/>
  <c r="X439" i="1"/>
  <c r="V439" i="1"/>
  <c r="X438" i="1"/>
  <c r="V438" i="1"/>
  <c r="X437" i="1"/>
  <c r="V437" i="1"/>
  <c r="X436" i="1"/>
  <c r="V436" i="1"/>
  <c r="X435" i="1"/>
  <c r="V435" i="1"/>
  <c r="X434" i="1"/>
  <c r="V434" i="1"/>
  <c r="X433" i="1"/>
  <c r="V433" i="1"/>
  <c r="X432" i="1"/>
  <c r="V432" i="1"/>
  <c r="X431" i="1"/>
  <c r="V431" i="1"/>
  <c r="X430" i="1"/>
  <c r="V430" i="1"/>
  <c r="X429" i="1"/>
  <c r="V429" i="1"/>
  <c r="X428" i="1"/>
  <c r="V428" i="1"/>
  <c r="X427" i="1"/>
  <c r="V427" i="1"/>
  <c r="X426" i="1"/>
  <c r="V426" i="1"/>
  <c r="X425" i="1"/>
  <c r="V425" i="1"/>
  <c r="X424" i="1"/>
  <c r="V424" i="1"/>
  <c r="X423" i="1"/>
  <c r="V423" i="1"/>
  <c r="X422" i="1"/>
  <c r="V422" i="1"/>
  <c r="X421" i="1"/>
  <c r="V421" i="1"/>
  <c r="X420" i="1"/>
  <c r="V420" i="1"/>
  <c r="X419" i="1"/>
  <c r="V419" i="1"/>
  <c r="X418" i="1"/>
  <c r="V418" i="1"/>
  <c r="X417" i="1"/>
  <c r="V417" i="1"/>
  <c r="X416" i="1"/>
  <c r="V416" i="1"/>
  <c r="X415" i="1"/>
  <c r="V415" i="1"/>
  <c r="X414" i="1"/>
  <c r="V414" i="1"/>
  <c r="X413" i="1"/>
  <c r="V413" i="1"/>
  <c r="X412" i="1"/>
  <c r="V412" i="1"/>
  <c r="X411" i="1"/>
  <c r="V411" i="1"/>
  <c r="X410" i="1"/>
  <c r="V410" i="1"/>
  <c r="X409" i="1"/>
  <c r="V409" i="1"/>
  <c r="X408" i="1"/>
  <c r="V408" i="1"/>
  <c r="X407" i="1"/>
  <c r="V407" i="1"/>
  <c r="X406" i="1"/>
  <c r="V406" i="1"/>
  <c r="X405" i="1"/>
  <c r="V405" i="1"/>
  <c r="X404" i="1"/>
  <c r="V404" i="1"/>
  <c r="X403" i="1"/>
  <c r="V403" i="1"/>
  <c r="X402" i="1"/>
  <c r="V402" i="1"/>
  <c r="X401" i="1"/>
  <c r="V401" i="1"/>
  <c r="X400" i="1"/>
  <c r="V400" i="1"/>
  <c r="X399" i="1"/>
  <c r="V399" i="1"/>
  <c r="X398" i="1"/>
  <c r="V398" i="1"/>
  <c r="X397" i="1"/>
  <c r="V397" i="1"/>
  <c r="X396" i="1"/>
  <c r="V396" i="1"/>
  <c r="X395" i="1"/>
  <c r="V395" i="1"/>
  <c r="X394" i="1"/>
  <c r="V394" i="1"/>
  <c r="X393" i="1"/>
  <c r="V393" i="1"/>
  <c r="X392" i="1"/>
  <c r="V392" i="1"/>
  <c r="X391" i="1"/>
  <c r="V391" i="1"/>
  <c r="X390" i="1"/>
  <c r="V390" i="1"/>
  <c r="X389" i="1"/>
  <c r="V389" i="1"/>
  <c r="X388" i="1"/>
  <c r="V388" i="1"/>
  <c r="X387" i="1"/>
  <c r="V387" i="1"/>
  <c r="X386" i="1"/>
  <c r="V386" i="1"/>
  <c r="X385" i="1"/>
  <c r="V385" i="1"/>
  <c r="X384" i="1"/>
  <c r="V384" i="1"/>
  <c r="X383" i="1"/>
  <c r="V383" i="1"/>
  <c r="X382" i="1"/>
  <c r="V382" i="1"/>
  <c r="X381" i="1"/>
  <c r="V381" i="1"/>
  <c r="X380" i="1"/>
  <c r="V380" i="1"/>
  <c r="X379" i="1"/>
  <c r="V379" i="1"/>
  <c r="X378" i="1"/>
  <c r="V378" i="1"/>
  <c r="X377" i="1"/>
  <c r="V377" i="1"/>
  <c r="X376" i="1"/>
  <c r="V376" i="1"/>
  <c r="X375" i="1"/>
  <c r="V375" i="1"/>
  <c r="X374" i="1"/>
  <c r="V374" i="1"/>
  <c r="X373" i="1"/>
  <c r="V373" i="1"/>
  <c r="X372" i="1"/>
  <c r="V372" i="1"/>
  <c r="X371" i="1"/>
  <c r="V371" i="1"/>
  <c r="X370" i="1"/>
  <c r="V370" i="1"/>
  <c r="X369" i="1"/>
  <c r="V369" i="1"/>
  <c r="X368" i="1"/>
  <c r="V368" i="1"/>
  <c r="X367" i="1"/>
  <c r="V367" i="1"/>
  <c r="X366" i="1"/>
  <c r="V366" i="1"/>
  <c r="X365" i="1"/>
  <c r="V365" i="1"/>
  <c r="X364" i="1"/>
  <c r="V364" i="1"/>
  <c r="X363" i="1"/>
  <c r="V363" i="1"/>
  <c r="X362" i="1"/>
  <c r="V362" i="1"/>
  <c r="X361" i="1"/>
  <c r="V361" i="1"/>
  <c r="X360" i="1"/>
  <c r="V360" i="1"/>
  <c r="X359" i="1"/>
  <c r="V359" i="1"/>
  <c r="X358" i="1"/>
  <c r="V358" i="1"/>
  <c r="X357" i="1"/>
  <c r="V357" i="1"/>
  <c r="X356" i="1"/>
  <c r="V356" i="1"/>
  <c r="X355" i="1"/>
  <c r="V355" i="1"/>
  <c r="X354" i="1"/>
  <c r="V354" i="1"/>
  <c r="X353" i="1"/>
  <c r="V353" i="1"/>
  <c r="X352" i="1"/>
  <c r="V352" i="1"/>
  <c r="X351" i="1"/>
  <c r="V351" i="1"/>
  <c r="X350" i="1"/>
  <c r="V350" i="1"/>
  <c r="X349" i="1"/>
  <c r="V349" i="1"/>
  <c r="X348" i="1"/>
  <c r="V348" i="1"/>
  <c r="X347" i="1"/>
  <c r="V347" i="1"/>
  <c r="X346" i="1"/>
  <c r="V346" i="1"/>
  <c r="X345" i="1"/>
  <c r="V345" i="1"/>
  <c r="X344" i="1"/>
  <c r="V344" i="1"/>
  <c r="X343" i="1"/>
  <c r="V343" i="1"/>
  <c r="X342" i="1"/>
  <c r="V342" i="1"/>
  <c r="X341" i="1"/>
  <c r="V341" i="1"/>
  <c r="X340" i="1"/>
  <c r="V340" i="1"/>
  <c r="X339" i="1"/>
  <c r="V339" i="1"/>
  <c r="X338" i="1"/>
  <c r="V338" i="1"/>
  <c r="X337" i="1"/>
  <c r="V337" i="1"/>
  <c r="X336" i="1"/>
  <c r="V336" i="1"/>
  <c r="X335" i="1"/>
  <c r="V335" i="1"/>
  <c r="X334" i="1"/>
  <c r="V334" i="1"/>
  <c r="X333" i="1"/>
  <c r="V333" i="1"/>
  <c r="X332" i="1"/>
  <c r="V332" i="1"/>
  <c r="X331" i="1"/>
  <c r="V331" i="1"/>
  <c r="X330" i="1"/>
  <c r="V330" i="1"/>
  <c r="X329" i="1"/>
  <c r="V329" i="1"/>
  <c r="X328" i="1"/>
  <c r="V328" i="1"/>
  <c r="X327" i="1"/>
  <c r="V327" i="1"/>
  <c r="X326" i="1"/>
  <c r="V326" i="1"/>
  <c r="X325" i="1"/>
  <c r="V325" i="1"/>
  <c r="X324" i="1"/>
  <c r="V324" i="1"/>
  <c r="X323" i="1"/>
  <c r="V323" i="1"/>
  <c r="X322" i="1"/>
  <c r="V322" i="1"/>
  <c r="X321" i="1"/>
  <c r="V321" i="1"/>
  <c r="X320" i="1"/>
  <c r="V320" i="1"/>
  <c r="X319" i="1"/>
  <c r="V319" i="1"/>
  <c r="X318" i="1"/>
  <c r="V318" i="1"/>
  <c r="X317" i="1"/>
  <c r="V317" i="1"/>
  <c r="X316" i="1"/>
  <c r="V316" i="1"/>
  <c r="X315" i="1"/>
  <c r="V315" i="1"/>
  <c r="X314" i="1"/>
  <c r="V314" i="1"/>
  <c r="X313" i="1"/>
  <c r="V313" i="1"/>
  <c r="X312" i="1"/>
  <c r="V312" i="1"/>
  <c r="X311" i="1"/>
  <c r="V311" i="1"/>
  <c r="X310" i="1"/>
  <c r="V310" i="1"/>
  <c r="X309" i="1"/>
  <c r="V309" i="1"/>
  <c r="X308" i="1"/>
  <c r="V308" i="1"/>
  <c r="X307" i="1"/>
  <c r="V307" i="1"/>
  <c r="X306" i="1"/>
  <c r="V306" i="1"/>
  <c r="X305" i="1"/>
  <c r="V305" i="1"/>
  <c r="X304" i="1"/>
  <c r="V304" i="1"/>
  <c r="X303" i="1"/>
  <c r="V303" i="1"/>
  <c r="X302" i="1"/>
  <c r="V302" i="1"/>
  <c r="X301" i="1"/>
  <c r="V301" i="1"/>
  <c r="X300" i="1"/>
  <c r="V300" i="1"/>
  <c r="X299" i="1"/>
  <c r="V299" i="1"/>
  <c r="X298" i="1"/>
  <c r="V298" i="1"/>
  <c r="X297" i="1"/>
  <c r="V297" i="1"/>
  <c r="X296" i="1"/>
  <c r="V296" i="1"/>
  <c r="X295" i="1"/>
  <c r="V295" i="1"/>
  <c r="X294" i="1"/>
  <c r="V294" i="1"/>
  <c r="X293" i="1"/>
  <c r="V293" i="1"/>
  <c r="X292" i="1"/>
  <c r="V292" i="1"/>
  <c r="X291" i="1"/>
  <c r="V291" i="1"/>
  <c r="X290" i="1"/>
  <c r="V290" i="1"/>
  <c r="X289" i="1"/>
  <c r="V289" i="1"/>
  <c r="X288" i="1"/>
  <c r="V288" i="1"/>
  <c r="X287" i="1"/>
  <c r="V287" i="1"/>
  <c r="X286" i="1"/>
  <c r="V286" i="1"/>
  <c r="X285" i="1"/>
  <c r="V285" i="1"/>
  <c r="X284" i="1"/>
  <c r="V284" i="1"/>
  <c r="X283" i="1"/>
  <c r="V283" i="1"/>
  <c r="X282" i="1"/>
  <c r="V282" i="1"/>
  <c r="X281" i="1"/>
  <c r="V281" i="1"/>
  <c r="X280" i="1"/>
  <c r="V280" i="1"/>
  <c r="X279" i="1"/>
  <c r="V279" i="1"/>
  <c r="X278" i="1"/>
  <c r="V278" i="1"/>
  <c r="X277" i="1"/>
  <c r="V277" i="1"/>
  <c r="X276" i="1"/>
  <c r="V276" i="1"/>
  <c r="X275" i="1"/>
  <c r="V275" i="1"/>
  <c r="X274" i="1"/>
  <c r="V274" i="1"/>
  <c r="X273" i="1"/>
  <c r="V273" i="1"/>
  <c r="X272" i="1"/>
  <c r="V272" i="1"/>
  <c r="X271" i="1"/>
  <c r="V271" i="1"/>
  <c r="X270" i="1"/>
  <c r="V270" i="1"/>
  <c r="X269" i="1"/>
  <c r="V269" i="1"/>
  <c r="X268" i="1"/>
  <c r="V268" i="1"/>
  <c r="X267" i="1"/>
  <c r="V267" i="1"/>
  <c r="X266" i="1"/>
  <c r="V266" i="1"/>
  <c r="X265" i="1"/>
  <c r="V265" i="1"/>
  <c r="X264" i="1"/>
  <c r="V264" i="1"/>
  <c r="X263" i="1"/>
  <c r="V263" i="1"/>
  <c r="X262" i="1"/>
  <c r="V262" i="1"/>
  <c r="X261" i="1"/>
  <c r="V261" i="1"/>
  <c r="X260" i="1"/>
  <c r="V260" i="1"/>
  <c r="X259" i="1"/>
  <c r="V259" i="1"/>
  <c r="X258" i="1"/>
  <c r="V258" i="1"/>
  <c r="X257" i="1"/>
  <c r="V257" i="1"/>
  <c r="X256" i="1"/>
  <c r="V256" i="1"/>
  <c r="X255" i="1"/>
  <c r="V255" i="1"/>
  <c r="X254" i="1"/>
  <c r="V254" i="1"/>
  <c r="X253" i="1"/>
  <c r="V253" i="1"/>
  <c r="X252" i="1"/>
  <c r="V252" i="1"/>
  <c r="X251" i="1"/>
  <c r="V251" i="1"/>
  <c r="X250" i="1"/>
  <c r="V250" i="1"/>
  <c r="X249" i="1"/>
  <c r="V249" i="1"/>
  <c r="X248" i="1"/>
  <c r="V248" i="1"/>
  <c r="X247" i="1"/>
  <c r="V247" i="1"/>
  <c r="X246" i="1"/>
  <c r="V246" i="1"/>
  <c r="X245" i="1"/>
  <c r="V245" i="1"/>
  <c r="X244" i="1"/>
  <c r="V244" i="1"/>
  <c r="X243" i="1"/>
  <c r="V243" i="1"/>
  <c r="X242" i="1"/>
  <c r="V242" i="1"/>
  <c r="X241" i="1"/>
  <c r="V241" i="1"/>
  <c r="X240" i="1"/>
  <c r="V240" i="1"/>
  <c r="X239" i="1"/>
  <c r="V239" i="1"/>
  <c r="X238" i="1"/>
  <c r="V238" i="1"/>
  <c r="X237" i="1"/>
  <c r="V237" i="1"/>
  <c r="X236" i="1"/>
  <c r="V236" i="1"/>
  <c r="X235" i="1"/>
  <c r="V235" i="1"/>
  <c r="X234" i="1"/>
  <c r="V234" i="1"/>
  <c r="X233" i="1"/>
  <c r="V233" i="1"/>
  <c r="X232" i="1"/>
  <c r="V232" i="1"/>
  <c r="X231" i="1"/>
  <c r="V231" i="1"/>
  <c r="X230" i="1"/>
  <c r="V230" i="1"/>
  <c r="X229" i="1"/>
  <c r="V229" i="1"/>
  <c r="X228" i="1"/>
  <c r="V228" i="1"/>
  <c r="X227" i="1"/>
  <c r="V227" i="1"/>
  <c r="X226" i="1"/>
  <c r="V226" i="1"/>
  <c r="X225" i="1"/>
  <c r="V225" i="1"/>
  <c r="X224" i="1"/>
  <c r="V224" i="1"/>
  <c r="X223" i="1"/>
  <c r="V223" i="1"/>
  <c r="X222" i="1"/>
  <c r="V222" i="1"/>
  <c r="X221" i="1"/>
  <c r="V221" i="1"/>
  <c r="X220" i="1"/>
  <c r="V220" i="1"/>
  <c r="X219" i="1"/>
  <c r="V219" i="1"/>
  <c r="X218" i="1"/>
  <c r="V218" i="1"/>
  <c r="X217" i="1"/>
  <c r="V217" i="1"/>
  <c r="X216" i="1"/>
  <c r="V216" i="1"/>
  <c r="X215" i="1"/>
  <c r="V215" i="1"/>
  <c r="X214" i="1"/>
  <c r="V214" i="1"/>
  <c r="X213" i="1"/>
  <c r="V213" i="1"/>
  <c r="X212" i="1"/>
  <c r="V212" i="1"/>
  <c r="X211" i="1"/>
  <c r="V211" i="1"/>
  <c r="X210" i="1"/>
  <c r="V210" i="1"/>
  <c r="X209" i="1"/>
  <c r="V209" i="1"/>
  <c r="X208" i="1"/>
  <c r="V208" i="1"/>
  <c r="X207" i="1"/>
  <c r="V207" i="1"/>
  <c r="X206" i="1"/>
  <c r="V206" i="1"/>
  <c r="X205" i="1"/>
  <c r="V205" i="1"/>
  <c r="X204" i="1"/>
  <c r="V204" i="1"/>
  <c r="X203" i="1"/>
  <c r="V203" i="1"/>
  <c r="X202" i="1"/>
  <c r="V202" i="1"/>
  <c r="X201" i="1"/>
  <c r="V201" i="1"/>
  <c r="X200" i="1"/>
  <c r="V200" i="1"/>
  <c r="X199" i="1"/>
  <c r="V199" i="1"/>
  <c r="X198" i="1"/>
  <c r="V198" i="1"/>
  <c r="X197" i="1"/>
  <c r="V197" i="1"/>
  <c r="X196" i="1"/>
  <c r="V196" i="1"/>
  <c r="X195" i="1"/>
  <c r="V195" i="1"/>
  <c r="X194" i="1"/>
  <c r="V194" i="1"/>
  <c r="X193" i="1"/>
  <c r="V193" i="1"/>
  <c r="X192" i="1"/>
  <c r="V192" i="1"/>
  <c r="X191" i="1"/>
  <c r="V191" i="1"/>
  <c r="X190" i="1"/>
  <c r="V190" i="1"/>
  <c r="X189" i="1"/>
  <c r="V189" i="1"/>
  <c r="X188" i="1"/>
  <c r="V188" i="1"/>
  <c r="X187" i="1"/>
  <c r="V187" i="1"/>
  <c r="X186" i="1"/>
  <c r="V186" i="1"/>
  <c r="X185" i="1"/>
  <c r="V185" i="1"/>
  <c r="X184" i="1"/>
  <c r="V184" i="1"/>
  <c r="X183" i="1"/>
  <c r="V183" i="1"/>
  <c r="X182" i="1"/>
  <c r="V182" i="1"/>
  <c r="X181" i="1"/>
  <c r="V181" i="1"/>
  <c r="X180" i="1"/>
  <c r="V180" i="1"/>
  <c r="X179" i="1"/>
  <c r="V179" i="1"/>
  <c r="X178" i="1"/>
  <c r="V178" i="1"/>
  <c r="X177" i="1"/>
  <c r="V177" i="1"/>
  <c r="X176" i="1"/>
  <c r="V176" i="1"/>
  <c r="X175" i="1"/>
  <c r="V175" i="1"/>
  <c r="X174" i="1"/>
  <c r="V174" i="1"/>
  <c r="X173" i="1"/>
  <c r="V173" i="1"/>
  <c r="X172" i="1"/>
  <c r="V172" i="1"/>
  <c r="X171" i="1"/>
  <c r="V171" i="1"/>
  <c r="X170" i="1"/>
  <c r="V170" i="1"/>
  <c r="X169" i="1"/>
  <c r="V169" i="1"/>
  <c r="X168" i="1"/>
  <c r="V168" i="1"/>
  <c r="X167" i="1"/>
  <c r="V167" i="1"/>
  <c r="X166" i="1"/>
  <c r="V166" i="1"/>
  <c r="X165" i="1"/>
  <c r="V165" i="1"/>
  <c r="X164" i="1"/>
  <c r="V164" i="1"/>
  <c r="X163" i="1"/>
  <c r="V163" i="1"/>
  <c r="X162" i="1"/>
  <c r="V162" i="1"/>
  <c r="X161" i="1"/>
  <c r="V161" i="1"/>
  <c r="X160" i="1"/>
  <c r="V160" i="1"/>
  <c r="X159" i="1"/>
  <c r="V159" i="1"/>
  <c r="X158" i="1"/>
  <c r="V158" i="1"/>
  <c r="X157" i="1"/>
  <c r="V157" i="1"/>
  <c r="X156" i="1"/>
  <c r="V156" i="1"/>
  <c r="X155" i="1"/>
  <c r="V155" i="1"/>
  <c r="X154" i="1"/>
  <c r="V154" i="1"/>
  <c r="X153" i="1"/>
  <c r="V153" i="1"/>
  <c r="X152" i="1"/>
  <c r="V152" i="1"/>
  <c r="X151" i="1"/>
  <c r="V151" i="1"/>
  <c r="X150" i="1"/>
  <c r="V150" i="1"/>
  <c r="X149" i="1"/>
  <c r="V149" i="1"/>
  <c r="X148" i="1"/>
  <c r="V148" i="1"/>
  <c r="X147" i="1"/>
  <c r="V147" i="1"/>
  <c r="X146" i="1"/>
  <c r="V146" i="1"/>
  <c r="X145" i="1"/>
  <c r="V145" i="1"/>
  <c r="X144" i="1"/>
  <c r="V144" i="1"/>
  <c r="X143" i="1"/>
  <c r="V143" i="1"/>
  <c r="X142" i="1"/>
  <c r="V142" i="1"/>
  <c r="X141" i="1"/>
  <c r="V141" i="1"/>
  <c r="X140" i="1"/>
  <c r="V140" i="1"/>
  <c r="X139" i="1"/>
  <c r="V139" i="1"/>
  <c r="X138" i="1"/>
  <c r="V138" i="1"/>
  <c r="X137" i="1"/>
  <c r="V137" i="1"/>
  <c r="X136" i="1"/>
  <c r="V136" i="1"/>
  <c r="X135" i="1"/>
  <c r="V135" i="1"/>
  <c r="X134" i="1"/>
  <c r="V134" i="1"/>
  <c r="X133" i="1"/>
  <c r="V133" i="1"/>
  <c r="X132" i="1"/>
  <c r="V132" i="1"/>
  <c r="X131" i="1"/>
  <c r="V131" i="1"/>
  <c r="X130" i="1"/>
  <c r="V130" i="1"/>
  <c r="X129" i="1"/>
  <c r="V129" i="1"/>
  <c r="X128" i="1"/>
  <c r="V128" i="1"/>
  <c r="X127" i="1"/>
  <c r="V127" i="1"/>
  <c r="X126" i="1"/>
  <c r="V126" i="1"/>
  <c r="X125" i="1"/>
  <c r="V125" i="1"/>
  <c r="X124" i="1"/>
  <c r="V124" i="1"/>
  <c r="X123" i="1"/>
  <c r="V123" i="1"/>
  <c r="X122" i="1"/>
  <c r="V122" i="1"/>
  <c r="X121" i="1"/>
  <c r="V121" i="1"/>
  <c r="X120" i="1"/>
  <c r="V120" i="1"/>
  <c r="X119" i="1"/>
  <c r="V119" i="1"/>
  <c r="X118" i="1"/>
  <c r="V118" i="1"/>
  <c r="X117" i="1"/>
  <c r="V117" i="1"/>
  <c r="X116" i="1"/>
  <c r="V116" i="1"/>
  <c r="X115" i="1"/>
  <c r="V115" i="1"/>
  <c r="X114" i="1"/>
  <c r="V114" i="1"/>
  <c r="X113" i="1"/>
  <c r="V113" i="1"/>
  <c r="X112" i="1"/>
  <c r="V112" i="1"/>
  <c r="X111" i="1"/>
  <c r="V111" i="1"/>
  <c r="X110" i="1"/>
  <c r="V110" i="1"/>
  <c r="X109" i="1"/>
  <c r="V109" i="1"/>
  <c r="X108" i="1"/>
  <c r="V108" i="1"/>
  <c r="X107" i="1"/>
  <c r="V107" i="1"/>
  <c r="X106" i="1"/>
  <c r="V106" i="1"/>
  <c r="X105" i="1"/>
  <c r="V105" i="1"/>
  <c r="X104" i="1"/>
  <c r="V104" i="1"/>
  <c r="X103" i="1"/>
  <c r="V103" i="1"/>
  <c r="X102" i="1"/>
  <c r="V102" i="1"/>
  <c r="X101" i="1"/>
  <c r="V101" i="1"/>
  <c r="X100" i="1"/>
  <c r="V100" i="1"/>
  <c r="X99" i="1"/>
  <c r="V99" i="1"/>
  <c r="X98" i="1"/>
  <c r="V98" i="1"/>
  <c r="X97" i="1"/>
  <c r="V97" i="1"/>
  <c r="X96" i="1"/>
  <c r="V96" i="1"/>
  <c r="X95" i="1"/>
  <c r="V95" i="1"/>
  <c r="X94" i="1"/>
  <c r="V94" i="1"/>
  <c r="X93" i="1"/>
  <c r="V93" i="1"/>
  <c r="X92" i="1"/>
  <c r="V92" i="1"/>
  <c r="X91" i="1"/>
  <c r="V91" i="1"/>
  <c r="X90" i="1"/>
  <c r="V90" i="1"/>
  <c r="X89" i="1"/>
  <c r="V89" i="1"/>
  <c r="X88" i="1"/>
  <c r="V88" i="1"/>
  <c r="X87" i="1"/>
  <c r="V87" i="1"/>
  <c r="X86" i="1"/>
  <c r="V86" i="1"/>
  <c r="X85" i="1"/>
  <c r="V85" i="1"/>
  <c r="X84" i="1"/>
  <c r="V84" i="1"/>
  <c r="X83" i="1"/>
  <c r="V83" i="1"/>
  <c r="X82" i="1"/>
  <c r="V82" i="1"/>
  <c r="X81" i="1"/>
  <c r="V81" i="1"/>
  <c r="X80" i="1"/>
  <c r="V80" i="1"/>
  <c r="X79" i="1"/>
  <c r="V79" i="1"/>
  <c r="X78" i="1"/>
  <c r="V78" i="1"/>
  <c r="X77" i="1"/>
  <c r="V77" i="1"/>
  <c r="X76" i="1"/>
  <c r="V76" i="1"/>
  <c r="X75" i="1"/>
  <c r="V75" i="1"/>
  <c r="X74" i="1"/>
  <c r="V74" i="1"/>
  <c r="X73" i="1"/>
  <c r="V73" i="1"/>
  <c r="X72" i="1"/>
  <c r="V72" i="1"/>
  <c r="X71" i="1"/>
  <c r="V71" i="1"/>
  <c r="X70" i="1"/>
  <c r="V70" i="1"/>
  <c r="X69" i="1"/>
  <c r="V69" i="1"/>
  <c r="X68" i="1"/>
  <c r="V68" i="1"/>
  <c r="X67" i="1"/>
  <c r="V67" i="1"/>
  <c r="X66" i="1"/>
  <c r="V66" i="1"/>
  <c r="X65" i="1"/>
  <c r="V65" i="1"/>
  <c r="X64" i="1"/>
  <c r="V64" i="1"/>
  <c r="X63" i="1"/>
  <c r="V63" i="1"/>
  <c r="X62" i="1"/>
  <c r="V62" i="1"/>
  <c r="X61" i="1"/>
  <c r="V61" i="1"/>
  <c r="X60" i="1"/>
  <c r="V60" i="1"/>
  <c r="X59" i="1"/>
  <c r="V59" i="1"/>
  <c r="X58" i="1"/>
  <c r="V58" i="1"/>
  <c r="X57" i="1"/>
  <c r="V57" i="1"/>
  <c r="X56" i="1"/>
  <c r="V56" i="1"/>
  <c r="X55" i="1"/>
  <c r="V55" i="1"/>
  <c r="X54" i="1"/>
  <c r="V54" i="1"/>
  <c r="X53" i="1"/>
  <c r="V53" i="1"/>
  <c r="X52" i="1"/>
  <c r="V52" i="1"/>
  <c r="X51" i="1"/>
  <c r="V51" i="1"/>
  <c r="X50" i="1"/>
  <c r="V50" i="1"/>
  <c r="X49" i="1"/>
  <c r="V49" i="1"/>
  <c r="X48" i="1"/>
  <c r="V48" i="1"/>
  <c r="X47" i="1"/>
  <c r="V47" i="1"/>
  <c r="X46" i="1"/>
  <c r="V46" i="1"/>
  <c r="X45" i="1"/>
  <c r="V45" i="1"/>
  <c r="X44" i="1"/>
  <c r="V44" i="1"/>
  <c r="X43" i="1"/>
  <c r="V43" i="1"/>
  <c r="X42" i="1"/>
  <c r="V42" i="1"/>
  <c r="X41" i="1"/>
  <c r="V41" i="1"/>
  <c r="X40" i="1"/>
  <c r="V40" i="1"/>
  <c r="X39" i="1"/>
  <c r="V39" i="1"/>
  <c r="X38" i="1"/>
  <c r="V38" i="1"/>
  <c r="X37" i="1"/>
  <c r="V37" i="1"/>
  <c r="X36" i="1"/>
  <c r="V36" i="1"/>
  <c r="X35" i="1"/>
  <c r="V35" i="1"/>
  <c r="X34" i="1"/>
  <c r="V34" i="1"/>
  <c r="X33" i="1"/>
  <c r="V33" i="1"/>
  <c r="X32" i="1"/>
  <c r="V32" i="1"/>
  <c r="X31" i="1"/>
  <c r="V31" i="1"/>
  <c r="X30" i="1"/>
  <c r="V30" i="1"/>
  <c r="X29" i="1"/>
  <c r="V29" i="1"/>
  <c r="X28" i="1"/>
  <c r="V28" i="1"/>
  <c r="X27" i="1"/>
  <c r="V27" i="1"/>
  <c r="X26" i="1"/>
  <c r="V26" i="1"/>
  <c r="X25" i="1"/>
  <c r="V25" i="1"/>
  <c r="X24" i="1"/>
  <c r="V24" i="1"/>
  <c r="X23" i="1"/>
  <c r="V23" i="1"/>
  <c r="X22" i="1"/>
  <c r="V22" i="1"/>
  <c r="X21" i="1"/>
  <c r="V21" i="1"/>
  <c r="X20" i="1"/>
  <c r="V20" i="1"/>
  <c r="X19" i="1"/>
  <c r="V19" i="1"/>
  <c r="X18" i="1"/>
  <c r="V18" i="1"/>
  <c r="X17" i="1"/>
  <c r="V17" i="1"/>
  <c r="X16" i="1"/>
  <c r="V16" i="1"/>
  <c r="X15" i="1"/>
  <c r="V15" i="1"/>
  <c r="X14" i="1"/>
  <c r="V14" i="1"/>
  <c r="B5" i="1"/>
  <c r="M8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<sst xmlns="http://schemas.openxmlformats.org/spreadsheetml/2006/main" count="207" uniqueCount="111">
  <si>
    <t>Saldo inicial</t>
  </si>
  <si>
    <t>Saldo final</t>
  </si>
  <si>
    <t>Fonte</t>
  </si>
  <si>
    <t>Data</t>
  </si>
  <si>
    <t>Natureza</t>
  </si>
  <si>
    <t>Descrição</t>
  </si>
  <si>
    <t>Transcrição</t>
  </si>
  <si>
    <t>Valor</t>
  </si>
  <si>
    <t>Caixa</t>
  </si>
  <si>
    <t>E/S</t>
  </si>
  <si>
    <t>Vlr</t>
  </si>
  <si>
    <t>Tipo</t>
  </si>
  <si>
    <t>Desc</t>
  </si>
  <si>
    <t>Ass</t>
  </si>
  <si>
    <t>Residentes</t>
  </si>
  <si>
    <t>RR</t>
  </si>
  <si>
    <t>entrada</t>
  </si>
  <si>
    <t>E</t>
  </si>
  <si>
    <t>B</t>
  </si>
  <si>
    <t>Adjuntos</t>
  </si>
  <si>
    <t>AR</t>
  </si>
  <si>
    <t>Subvenções</t>
  </si>
  <si>
    <t>DN</t>
  </si>
  <si>
    <t>Pensões</t>
  </si>
  <si>
    <t>PS</t>
  </si>
  <si>
    <t>saída</t>
  </si>
  <si>
    <t>S</t>
  </si>
  <si>
    <t>Gastos Ordinários</t>
  </si>
  <si>
    <t>GO</t>
  </si>
  <si>
    <t>Roupas</t>
  </si>
  <si>
    <t>RP</t>
  </si>
  <si>
    <t>Médicos e Remédios</t>
  </si>
  <si>
    <t>MR</t>
  </si>
  <si>
    <t>Diversos Pessoais</t>
  </si>
  <si>
    <t>DV</t>
  </si>
  <si>
    <t xml:space="preserve">Adjuntos </t>
  </si>
  <si>
    <t>AD</t>
  </si>
  <si>
    <t>Veículos</t>
  </si>
  <si>
    <t>VC</t>
  </si>
  <si>
    <t xml:space="preserve">Natal e Festas </t>
  </si>
  <si>
    <t>NF</t>
  </si>
  <si>
    <t>Vários</t>
  </si>
  <si>
    <t>VR</t>
  </si>
  <si>
    <t>Donativos ao Centro</t>
  </si>
  <si>
    <t>DC</t>
  </si>
  <si>
    <t>Contrib. labores ap.</t>
  </si>
  <si>
    <t>DL</t>
  </si>
  <si>
    <t>Contribuição de residentes</t>
  </si>
  <si>
    <t>CO</t>
  </si>
  <si>
    <t>C</t>
  </si>
  <si>
    <t>Contribuições participantes</t>
  </si>
  <si>
    <t>CP</t>
  </si>
  <si>
    <t>Outros conceitos</t>
  </si>
  <si>
    <t>OT</t>
  </si>
  <si>
    <t>IPTU e Seguros</t>
  </si>
  <si>
    <t>CF</t>
  </si>
  <si>
    <t>Ordenados</t>
  </si>
  <si>
    <t>OR</t>
  </si>
  <si>
    <t xml:space="preserve">Comestíveis </t>
  </si>
  <si>
    <t>CM</t>
  </si>
  <si>
    <t>Gastos Gerais</t>
  </si>
  <si>
    <t>GG</t>
  </si>
  <si>
    <t xml:space="preserve">Luz </t>
  </si>
  <si>
    <t>LZ</t>
  </si>
  <si>
    <t xml:space="preserve">Água </t>
  </si>
  <si>
    <t>AG</t>
  </si>
  <si>
    <t xml:space="preserve">Gás </t>
  </si>
  <si>
    <t>GS</t>
  </si>
  <si>
    <t xml:space="preserve">Telefone </t>
  </si>
  <si>
    <t>TF</t>
  </si>
  <si>
    <t>Consertos</t>
  </si>
  <si>
    <t>CS</t>
  </si>
  <si>
    <t>Manutenção/Reposição</t>
  </si>
  <si>
    <t>MT</t>
  </si>
  <si>
    <t>Atividades culturais</t>
  </si>
  <si>
    <t>AC</t>
  </si>
  <si>
    <t>Instalações</t>
  </si>
  <si>
    <t>IT</t>
  </si>
  <si>
    <t>Saldo cc</t>
  </si>
  <si>
    <t>Aplic</t>
  </si>
  <si>
    <t>Dados de apoio</t>
  </si>
  <si>
    <t>Lançamentos</t>
  </si>
  <si>
    <t>Suporte</t>
  </si>
  <si>
    <t>Totais  por natureza</t>
  </si>
  <si>
    <t>Iniciais</t>
  </si>
  <si>
    <t>Configuração</t>
  </si>
  <si>
    <t>Lançamentos agrupados por natureza</t>
  </si>
  <si>
    <t>Referência</t>
  </si>
  <si>
    <t>Ref.</t>
  </si>
  <si>
    <t>Suporte 2</t>
  </si>
  <si>
    <t>Mês</t>
  </si>
  <si>
    <t>Dia</t>
  </si>
  <si>
    <t>Suporte 4</t>
  </si>
  <si>
    <t>Descrição curta</t>
  </si>
  <si>
    <t>Gastos com consultas, exames, remédios, tratamentos, plano de saúde etc.</t>
  </si>
  <si>
    <t>Gastos com roupas, sapatos, indumentária em geral</t>
  </si>
  <si>
    <t>Gastos ordinários (assinaturas, transporte, refeições, etc.)</t>
  </si>
  <si>
    <t>Receitas e despesas vinculadas ao trabalho profissional e previdência privada</t>
  </si>
  <si>
    <t>Gastos com cursos anuais, convívios, retiros, viagens, despesas extraordinárias etc.</t>
  </si>
  <si>
    <t xml:space="preserve">Gastos com combustível, pedágio, limpeza, manutenção, etc. </t>
  </si>
  <si>
    <t>Pagamento de ordenados</t>
  </si>
  <si>
    <t>Pagamento de despesas com comestiveis para a casa em geral</t>
  </si>
  <si>
    <t>Conta de energia</t>
  </si>
  <si>
    <t>Conta de água</t>
  </si>
  <si>
    <t>Conta de gás</t>
  </si>
  <si>
    <t>Conta de internet e telefonia</t>
  </si>
  <si>
    <t>Custos com manutenção</t>
  </si>
  <si>
    <t>Custos para consertos e melhorias em geral nas instalações da casa</t>
  </si>
  <si>
    <t>Custos com jardinagem, faxina, materiais de limpeza, peças e insumos para manutenção etc.</t>
  </si>
  <si>
    <t>Subvenções e doações para iniciativas apostólicas, ajudas familiares etc.</t>
  </si>
  <si>
    <t>Materiais de escritório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</si>
</sst>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yyyy\-mm"/>
    <numFmt numFmtId="167" formatCode="dd/mm/yy;@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"/>
    </font>
    <font>
      <b/>
      <sz val="11"/>
      <color theme="1"/>
      <name val="Aptos Narrow"/>
    </font>
    <font>
      <b/>
      <sz val="11"/>
      <color theme="1"/>
      <name val="Aptos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sz val="18"/>
      <color theme="3"/>
      <name val="Aptos Narrow"/>
      <family val="2"/>
      <scheme val="major"/>
    </font>
    <font>
      <b/>
      <sz val="11"/>
      <color theme="1"/>
      <name val="Arial"/>
      <family val="2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  <font>
      <i/>
      <sz val="11"/>
      <color theme="2" tint="-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6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5" fontId="2" fillId="0" borderId="0" xfId="0" applyNumberFormat="1" applyFont="1"/>
    <xf numFmtId="0" fontId="7" fillId="0" borderId="0" xfId="0" applyFont="1"/>
    <xf numFmtId="4" fontId="5" fillId="0" borderId="0" xfId="0" applyNumberFormat="1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44" fontId="0" fillId="0" borderId="0" xfId="1" applyFont="1"/>
    <xf numFmtId="44" fontId="0" fillId="0" borderId="0" xfId="1" applyFont="1" applyFill="1"/>
    <xf numFmtId="44" fontId="1" fillId="0" borderId="0" xfId="1" applyFont="1" applyFill="1"/>
    <xf numFmtId="0" fontId="10" fillId="3" borderId="2" xfId="0" applyFont="1" applyFill="1" applyBorder="1" applyAlignment="1">
      <alignment horizontal="left" vertical="center"/>
    </xf>
    <xf numFmtId="44" fontId="10" fillId="3" borderId="2" xfId="1" applyFont="1" applyFill="1" applyBorder="1" applyAlignment="1">
      <alignment horizontal="right" vertical="center"/>
    </xf>
    <xf numFmtId="164" fontId="1" fillId="0" borderId="2" xfId="0" applyNumberFormat="1" applyFont="1" applyBorder="1"/>
    <xf numFmtId="0" fontId="8" fillId="0" borderId="0" xfId="2"/>
    <xf numFmtId="165" fontId="2" fillId="0" borderId="2" xfId="0" applyNumberFormat="1" applyFont="1" applyBorder="1"/>
    <xf numFmtId="0" fontId="0" fillId="0" borderId="2" xfId="0" applyBorder="1"/>
    <xf numFmtId="44" fontId="0" fillId="0" borderId="2" xfId="1" applyFont="1" applyBorder="1"/>
    <xf numFmtId="44" fontId="2" fillId="0" borderId="2" xfId="1" applyFont="1" applyBorder="1"/>
    <xf numFmtId="44" fontId="1" fillId="0" borderId="2" xfId="1" applyFont="1" applyBorder="1"/>
    <xf numFmtId="44" fontId="1" fillId="0" borderId="2" xfId="1" applyFont="1" applyFill="1" applyBorder="1"/>
    <xf numFmtId="0" fontId="1" fillId="0" borderId="2" xfId="0" applyFont="1" applyBorder="1"/>
    <xf numFmtId="164" fontId="11" fillId="2" borderId="2" xfId="0" applyNumberFormat="1" applyFont="1" applyFill="1" applyBorder="1"/>
    <xf numFmtId="164" fontId="1" fillId="2" borderId="2" xfId="0" applyNumberFormat="1" applyFont="1" applyFill="1" applyBorder="1"/>
    <xf numFmtId="0" fontId="0" fillId="0" borderId="2" xfId="0" applyBorder="1" applyAlignment="1">
      <alignment horizontal="center"/>
    </xf>
    <xf numFmtId="4" fontId="12" fillId="0" borderId="0" xfId="0" applyNumberFormat="1" applyFont="1"/>
    <xf numFmtId="4" fontId="12" fillId="0" borderId="4" xfId="0" applyNumberFormat="1" applyFont="1" applyBorder="1"/>
    <xf numFmtId="4" fontId="5" fillId="0" borderId="5" xfId="0" applyNumberFormat="1" applyFont="1" applyBorder="1" applyAlignment="1">
      <alignment horizontal="right"/>
    </xf>
    <xf numFmtId="14" fontId="12" fillId="0" borderId="0" xfId="0" applyNumberFormat="1" applyFont="1"/>
    <xf numFmtId="166" fontId="0" fillId="0" borderId="2" xfId="0" applyNumberFormat="1" applyBorder="1" applyAlignment="1">
      <alignment horizontal="center"/>
    </xf>
    <xf numFmtId="167" fontId="6" fillId="0" borderId="1" xfId="0" applyNumberFormat="1" applyFont="1" applyBorder="1"/>
  </cellXfs>
  <cellStyles count="3">
    <cellStyle name="Moeda" xfId="1" builtinId="4"/>
    <cellStyle name="Normal" xfId="0" builtinId="0"/>
    <cellStyle name="Título" xfId="2" builtinId="15"/>
  </cellStyles>
  <dxfs count="11">
    <dxf>
      <font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_-* #,##0.00_-;\-* #,##0.00_-;_-* &quot;-&quot;??_-;_-@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</dxf>
    <dxf>
      <font>
        <i/>
        <strike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i/>
        <strike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i/>
        <strike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6D33F-9FC5-4442-A295-DA7C474F689D}" name="Tabela1" displayName="Tabela1" ref="A8:H504" totalsRowShown="0" headerRowDxfId="10" dataDxfId="9">
  <autoFilter ref="A8:H504" xr:uid="{6F26D33F-9FC5-4442-A295-DA7C474F689D}"/>
  <tableColumns count="8">
    <tableColumn id="1" xr3:uid="{2E98334D-5CFA-F24B-AE4B-A17AACBC104A}" name="Fonte" dataDxfId="8"/>
    <tableColumn id="2" xr3:uid="{985FDF7A-260E-054A-972E-05483EC5CD50}" name="Data" dataDxfId="7"/>
    <tableColumn id="3" xr3:uid="{C0EB3965-5FCC-834F-B8DB-8D424B2F1818}" name="Transcrição" dataDxfId="6"/>
    <tableColumn id="8" xr3:uid="{6C87BB0F-513C-0148-8AEA-3B315AD2E735}" name="Ref." dataDxfId="5"/>
    <tableColumn id="7" xr3:uid="{6E1105DD-6855-8843-9B76-D7978BF1910D}" name="Iniciais" dataDxfId="4"/>
    <tableColumn id="4" xr3:uid="{E257224B-B774-074E-B6D4-DE58D555A465}" name="Natureza" dataDxfId="3"/>
    <tableColumn id="5" xr3:uid="{E28D192D-BA01-AD4D-BC50-ABCAC1F70F3F}" name="Descrição" dataDxfId="2"/>
    <tableColumn id="6" xr3:uid="{E56D9CAE-DF36-E140-B4E6-73A60CB0B633}" name="Valo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B8C08C-16FE-9243-BAA0-802EABDE84C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ebe7663-7ef7-428b-b365-a1665f4f055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4"/>
  <sheetViews>
    <sheetView showGridLines="0" workbookViewId="0">
      <selection activeCell="A9" sqref="A9"/>
    </sheetView>
  </sheetViews>
  <sheetFormatPr baseColWidth="10" defaultColWidth="12.6640625" defaultRowHeight="15" customHeight="1" x14ac:dyDescent="0.2"/>
  <cols>
    <col min="1" max="1" width="11.5" customWidth="1"/>
    <col min="2" max="2" width="9.1640625" bestFit="1" customWidth="1"/>
    <col min="3" max="3" width="14" bestFit="1" customWidth="1"/>
    <col min="4" max="4" width="8.5" bestFit="1" customWidth="1"/>
    <col min="5" max="5" width="14" customWidth="1"/>
    <col min="6" max="6" width="10.6640625" bestFit="1" customWidth="1"/>
    <col min="7" max="7" width="22.83203125" bestFit="1" customWidth="1"/>
    <col min="8" max="8" width="9.83203125" bestFit="1" customWidth="1"/>
    <col min="9" max="9" width="6.5" customWidth="1"/>
    <col min="10" max="10" width="11.1640625" customWidth="1"/>
    <col min="11" max="11" width="14.5" style="24" customWidth="1"/>
    <col min="12" max="12" width="6.5" customWidth="1"/>
    <col min="13" max="13" width="14.1640625" customWidth="1"/>
    <col min="14" max="14" width="20.1640625" bestFit="1" customWidth="1"/>
    <col min="15" max="15" width="12.5" style="24" bestFit="1" customWidth="1"/>
    <col min="16" max="16" width="6.5" customWidth="1"/>
    <col min="17" max="17" width="4.83203125" customWidth="1"/>
    <col min="18" max="18" width="4.1640625" customWidth="1"/>
    <col min="19" max="19" width="11.1640625" customWidth="1"/>
    <col min="20" max="20" width="4.83203125" customWidth="1"/>
    <col min="21" max="21" width="9.6640625" customWidth="1"/>
    <col min="22" max="22" width="28.1640625" customWidth="1"/>
    <col min="23" max="23" width="4.33203125" bestFit="1" customWidth="1"/>
    <col min="24" max="24" width="5.83203125" bestFit="1" customWidth="1"/>
    <col min="25" max="25" width="4.33203125" bestFit="1" customWidth="1"/>
    <col min="26" max="26" width="10.6640625" bestFit="1" customWidth="1"/>
    <col min="27" max="27" width="5.33203125" customWidth="1"/>
    <col min="28" max="28" width="8.1640625" bestFit="1" customWidth="1"/>
    <col min="29" max="35" width="9.6640625" customWidth="1"/>
    <col min="36" max="36" width="30.6640625" customWidth="1"/>
    <col min="37" max="37" width="12.83203125" customWidth="1"/>
  </cols>
  <sheetData>
    <row r="1" spans="1:36" ht="24" x14ac:dyDescent="0.3">
      <c r="A1" s="30" t="s">
        <v>85</v>
      </c>
    </row>
    <row r="2" spans="1:36" x14ac:dyDescent="0.2">
      <c r="A2" s="32" t="s">
        <v>84</v>
      </c>
      <c r="B2" s="40"/>
      <c r="O2"/>
    </row>
    <row r="3" spans="1:36" x14ac:dyDescent="0.2">
      <c r="A3" s="32" t="s">
        <v>87</v>
      </c>
      <c r="B3" s="45"/>
      <c r="O3"/>
    </row>
    <row r="4" spans="1:36" x14ac:dyDescent="0.2">
      <c r="A4" s="37" t="s">
        <v>0</v>
      </c>
      <c r="B4" s="38"/>
      <c r="O4"/>
      <c r="AJ4" s="1"/>
    </row>
    <row r="5" spans="1:36" x14ac:dyDescent="0.2">
      <c r="A5" s="37" t="s">
        <v>1</v>
      </c>
      <c r="B5" s="39">
        <f>B4+SUM(H9:H1004)</f>
        <v>0</v>
      </c>
      <c r="H5" s="2"/>
      <c r="K5" s="25"/>
      <c r="O5"/>
      <c r="AJ5" s="1"/>
    </row>
    <row r="6" spans="1:36" x14ac:dyDescent="0.2">
      <c r="K6"/>
      <c r="O6"/>
    </row>
    <row r="7" spans="1:36" ht="24" x14ac:dyDescent="0.3">
      <c r="A7" s="30" t="s">
        <v>81</v>
      </c>
      <c r="H7" s="2"/>
      <c r="J7" s="30" t="s">
        <v>83</v>
      </c>
      <c r="L7" s="3"/>
      <c r="M7" s="30" t="s">
        <v>86</v>
      </c>
      <c r="N7" s="3"/>
      <c r="O7" s="3"/>
      <c r="Q7" s="30" t="s">
        <v>89</v>
      </c>
      <c r="X7" s="3"/>
      <c r="AA7" s="30" t="s">
        <v>92</v>
      </c>
      <c r="AC7" s="3"/>
    </row>
    <row r="8" spans="1:36" s="17" customFormat="1" ht="16" x14ac:dyDescent="0.2">
      <c r="A8" s="12" t="s">
        <v>2</v>
      </c>
      <c r="B8" s="12" t="s">
        <v>3</v>
      </c>
      <c r="C8" s="13" t="s">
        <v>6</v>
      </c>
      <c r="D8" s="13" t="s">
        <v>88</v>
      </c>
      <c r="E8" s="13" t="s">
        <v>84</v>
      </c>
      <c r="F8" s="14" t="s">
        <v>4</v>
      </c>
      <c r="G8" s="15" t="s">
        <v>5</v>
      </c>
      <c r="H8" s="16" t="s">
        <v>7</v>
      </c>
      <c r="J8" s="27" t="str" cm="1">
        <f t="array" ref="J8:K8">_xlfn.LET(_xlpm.nat,Tabela1[Natureza],_xlpm.hdr,_xlfn.HSTACK("Natureza","Somatória"),IF(SUM(--(_xlpm.nat&lt;&gt;""))=0,_xlpm.hdr,_xlfn.LET(_xlpm.u,_xlfn.UNIQUE(_xlfn._xlws.FILTER(_xlpm.nat,_xlpm.nat&lt;&gt;"")),_xlpm.k,IF(_xlpm.u="RR",0,_xlfn.XMATCH(_xlpm.u,_xlpm.u)),_xlpm.n,_xlfn.SORTBY(_xlpm.u,_xlpm.k,1),_xlpm.s,SUMIF(Tabela1[Natureza],_xlpm.n,Tabela1[Valor]),_xlfn.VSTACK(_xlpm.hdr,_xlfn.HSTACK(_xlpm.n,_xlpm.s),_xlfn.HSTACK("TOTAL &gt;&gt;&gt;",SUM(_xlpm.s))))))</f>
        <v>Natureza</v>
      </c>
      <c r="K8" s="28" t="str">
        <v>Somatória</v>
      </c>
      <c r="L8" s="18"/>
      <c r="M8" s="27" t="str" cm="1">
        <f t="array" ref="M8:O8">_xlfn.LET(_xlpm.natcol,Tabela1[Natureza],_xlpm.hdr,_xlfn.HSTACK("Natureza","Descrição","Valor"),IF(SUM(--(_xlpm.natcol&lt;&gt;""))=0,_xlpm.hdr,_xlfn.LET(_xlpm.d,_xlfn._xlws.FILTER(_xlfn.HSTACK(Tabela1[Natureza],Tabela1[Descrição],Tabela1[Valor]),_xlpm.natcol&lt;&gt;""),_xlpm.ordem,_xlfn.XMATCH(_xlfn.CHOOSECOLS(_xlpm.d,1),_xlfn.CHOOSECOLS(_xlfn.ANCHORARRAY(J8),1)),_xlpm.sorted,_xlfn.SORTBY(_xlpm.d,_xlpm.ordem,1,ABS(_xlfn.CHOOSECOLS(_xlpm.d,3)),-1),_xlpm.nat,_xlfn.CHOOSECOLS(_xlpm.sorted,1),_xlpm.r,ROWS(_xlpm.sorted),_xlpm.body,_xlfn.DROP(_xlfn.REDUCE(_xlfn.HSTACK("","",""),_xlfn.SEQUENCE(_xlpm.r),_xlfn.LAMBDA(_xlpm.acc,_xlpm.i,IF(AND(_xlpm.i&gt;1,INDEX(_xlpm.nat,_xlpm.i)&lt;&gt;INDEX(_xlpm.nat,_xlpm.i-1)),_xlfn.VSTACK(_xlpm.acc,_xlfn.HSTACK("","",""),INDEX(_xlpm.sorted,_xlpm.i,0)),_xlfn.VSTACK(_xlpm.acc,INDEX(_xlpm.sorted,_xlpm.i,0))))),1),_xlfn.VSTACK(_xlpm.hdr,_xlpm.body))))</f>
        <v>Natureza</v>
      </c>
      <c r="N8" s="27" t="str">
        <v>Descrição</v>
      </c>
      <c r="O8" s="27" t="str">
        <v>Valor</v>
      </c>
      <c r="P8" s="19"/>
      <c r="Q8" s="22" t="s">
        <v>90</v>
      </c>
      <c r="R8" s="22" t="s">
        <v>91</v>
      </c>
      <c r="S8" s="22" t="s">
        <v>8</v>
      </c>
      <c r="T8" s="22" t="s">
        <v>9</v>
      </c>
      <c r="U8" s="23" t="s">
        <v>10</v>
      </c>
      <c r="V8" s="22" t="s">
        <v>11</v>
      </c>
      <c r="W8" s="22"/>
      <c r="X8" s="22" t="s">
        <v>12</v>
      </c>
      <c r="Y8" s="22" t="s">
        <v>13</v>
      </c>
      <c r="Z8"/>
      <c r="AA8" s="22" t="s">
        <v>90</v>
      </c>
      <c r="AB8" s="22" t="s">
        <v>91</v>
      </c>
      <c r="AC8" s="22" t="s">
        <v>12</v>
      </c>
      <c r="AD8" s="23" t="s">
        <v>10</v>
      </c>
      <c r="AE8" s="22"/>
      <c r="AF8" s="22" t="s">
        <v>13</v>
      </c>
    </row>
    <row r="9" spans="1:36" x14ac:dyDescent="0.2">
      <c r="A9" s="42"/>
      <c r="B9" s="44"/>
      <c r="C9" s="41"/>
      <c r="D9" s="41"/>
      <c r="E9" s="41"/>
      <c r="F9" s="11"/>
      <c r="G9" s="11"/>
      <c r="H9" s="43"/>
      <c r="J9" s="31"/>
      <c r="K9" s="34"/>
      <c r="M9" s="31"/>
      <c r="N9" s="31"/>
      <c r="O9" s="33"/>
      <c r="P9" s="3"/>
      <c r="Q9" s="6" t="str">
        <f>IF($F9&lt;&gt;"",RIGHT(Tabela1[[#This Row],[Ref.]],2),"")</f>
        <v/>
      </c>
      <c r="R9" s="6" t="str">
        <f>IF($F9&lt;&gt;"",1,"")</f>
        <v/>
      </c>
      <c r="S9" s="4" t="str">
        <f>IF($F9&lt;&gt;"",_xlfn.XLOOKUP(F9,Naturezas!B:B,Naturezas!E:E,"",0,1),"")</f>
        <v/>
      </c>
      <c r="T9" s="4" t="str">
        <f>IF($F9&lt;&gt;"",_xlfn.XLOOKUP($F9,Naturezas!B:B,Naturezas!D:D,"",0,1),"")</f>
        <v/>
      </c>
      <c r="U9" s="5" t="str">
        <f>IF($F9&lt;&gt;"",IF(OR($F9=Naturezas!$B$3,$F9=Naturezas!$B$4,$F9=Naturezas!$B$5,$F9=Naturezas!$B$17,$F9=Naturezas!$B$18,$F9=Naturezas!$B$19),$H9,-$H9),"")</f>
        <v/>
      </c>
      <c r="V9" s="4" t="str">
        <f>IF($F9&lt;&gt;"",$F9,"")</f>
        <v/>
      </c>
      <c r="W9" s="4"/>
      <c r="X9" s="4" t="str">
        <f>IF($F9&lt;&gt;"",$G9,"")</f>
        <v/>
      </c>
      <c r="Y9" s="6" t="str">
        <f>IF($F9&lt;&gt;"",Tabela1[[#This Row],[Iniciais]],"")</f>
        <v/>
      </c>
      <c r="AA9" s="6" t="str">
        <f>IF($F9&lt;&gt;"",RIGHT(Tabela1[[#This Row],[Ref.]],2),"")</f>
        <v/>
      </c>
      <c r="AB9" s="46" t="str">
        <f>IF($F9&lt;&gt;"",DATE(LEFT(Tabela1[[#This Row],[Ref.]],4),RIGHT(Tabela1[[#This Row],[Ref.]],2),1),"")</f>
        <v/>
      </c>
      <c r="AC9" s="4" t="str">
        <f>IF($F9&lt;&gt;"",$G9,"")</f>
        <v/>
      </c>
      <c r="AD9" s="5" t="str">
        <f>IF($F9&lt;&gt;"",$H9,"")</f>
        <v/>
      </c>
      <c r="AE9" s="4"/>
      <c r="AF9" s="6" t="str">
        <f>IF($F9&lt;&gt;"",$B$2,"")</f>
        <v/>
      </c>
    </row>
    <row r="10" spans="1:36" x14ac:dyDescent="0.2">
      <c r="A10" s="42"/>
      <c r="B10" s="44"/>
      <c r="C10" s="41"/>
      <c r="D10" s="41"/>
      <c r="E10" s="41"/>
      <c r="F10" s="11"/>
      <c r="G10" s="11"/>
      <c r="H10" s="43"/>
      <c r="J10" s="31"/>
      <c r="K10" s="34"/>
      <c r="M10" s="31"/>
      <c r="N10" s="31"/>
      <c r="O10" s="33"/>
      <c r="P10" s="3"/>
      <c r="Q10" s="6" t="str">
        <f>IF($F10&lt;&gt;"",RIGHT(Tabela1[[#This Row],[Ref.]],2),"")</f>
        <v/>
      </c>
      <c r="R10" s="6" t="str">
        <f t="shared" ref="R10:R73" si="0">IF($F10&lt;&gt;"",1,"")</f>
        <v/>
      </c>
      <c r="S10" s="4" t="str">
        <f>IF($F10&lt;&gt;"",_xlfn.XLOOKUP(F10,Naturezas!B:B,Naturezas!E:E,"",0,1),"")</f>
        <v/>
      </c>
      <c r="T10" s="4" t="str">
        <f>IF($F10&lt;&gt;"",_xlfn.XLOOKUP($F10,Naturezas!B:B,Naturezas!D:D,"",0,1),"")</f>
        <v/>
      </c>
      <c r="U10" s="5" t="str">
        <f>IF(F10&lt;&gt;"",IF(OR(F10=Naturezas!$B$3,F10=Naturezas!$B$4,F10=Naturezas!$B$5,F10=Naturezas!$B$17,F10=Naturezas!$B$18,F10=Naturezas!$B$19),H10,-H10),"")</f>
        <v/>
      </c>
      <c r="V10" s="4" t="str">
        <f t="shared" ref="V10:V73" si="1">IF(F10&lt;&gt;"",F10,"")</f>
        <v/>
      </c>
      <c r="W10" s="4"/>
      <c r="X10" s="4" t="str">
        <f t="shared" ref="X10:X73" si="2">IF(F10&lt;&gt;"",G10,"")</f>
        <v/>
      </c>
      <c r="Y10" s="6" t="str">
        <f>IF(F10&lt;&gt;"",Tabela1[[#This Row],[Iniciais]],"")</f>
        <v/>
      </c>
      <c r="AA10" s="6" t="str">
        <f>IF($F10&lt;&gt;"",RIGHT(Tabela1[[#This Row],[Ref.]],2),"")</f>
        <v/>
      </c>
      <c r="AB10" s="46" t="str">
        <f>IF($F10&lt;&gt;"",DATE(LEFT(Tabela1[[#This Row],[Ref.]],4),RIGHT(Tabela1[[#This Row],[Ref.]],2),1),"")</f>
        <v/>
      </c>
      <c r="AC10" s="4" t="str">
        <f t="shared" ref="AC10:AC73" si="3">IF($F10&lt;&gt;"",$G10,"")</f>
        <v/>
      </c>
      <c r="AD10" s="5" t="str">
        <f t="shared" ref="AD10:AD73" si="4">IF($F10&lt;&gt;"",$H10,"")</f>
        <v/>
      </c>
      <c r="AE10" s="4"/>
      <c r="AF10" s="6" t="str">
        <f t="shared" ref="AF10:AF73" si="5">IF($F10&lt;&gt;"",$B$2,"")</f>
        <v/>
      </c>
    </row>
    <row r="11" spans="1:36" x14ac:dyDescent="0.2">
      <c r="A11" s="42"/>
      <c r="B11" s="44"/>
      <c r="C11" s="41"/>
      <c r="D11" s="41"/>
      <c r="E11" s="41"/>
      <c r="F11" s="11"/>
      <c r="G11" s="11"/>
      <c r="H11" s="43"/>
      <c r="J11" s="31"/>
      <c r="K11" s="34"/>
      <c r="M11" s="31"/>
      <c r="N11" s="31"/>
      <c r="O11" s="33"/>
      <c r="P11" s="3"/>
      <c r="Q11" s="6" t="str">
        <f>IF($F11&lt;&gt;"",RIGHT(Tabela1[[#This Row],[Ref.]],2),"")</f>
        <v/>
      </c>
      <c r="R11" s="6" t="str">
        <f t="shared" si="0"/>
        <v/>
      </c>
      <c r="S11" s="4" t="str">
        <f>IF($F11&lt;&gt;"",_xlfn.XLOOKUP(F11,Naturezas!B:B,Naturezas!E:E,"",0,1),"")</f>
        <v/>
      </c>
      <c r="T11" s="4" t="str">
        <f>IF($F11&lt;&gt;"",_xlfn.XLOOKUP($F11,Naturezas!B:B,Naturezas!D:D,"",0,1),"")</f>
        <v/>
      </c>
      <c r="U11" s="5" t="str">
        <f>IF(F11&lt;&gt;"",IF(OR(F11=Naturezas!$B$3,F11=Naturezas!$B$4,F11=Naturezas!$B$5,F11=Naturezas!$B$17,F11=Naturezas!$B$18,F11=Naturezas!$B$19),H11,-H11),"")</f>
        <v/>
      </c>
      <c r="V11" s="4" t="str">
        <f t="shared" si="1"/>
        <v/>
      </c>
      <c r="W11" s="4"/>
      <c r="X11" s="4" t="str">
        <f t="shared" si="2"/>
        <v/>
      </c>
      <c r="Y11" s="6" t="str">
        <f>IF(F11&lt;&gt;"",Tabela1[[#This Row],[Iniciais]],"")</f>
        <v/>
      </c>
      <c r="AA11" s="6" t="str">
        <f>IF($F11&lt;&gt;"",RIGHT(Tabela1[[#This Row],[Ref.]],2),"")</f>
        <v/>
      </c>
      <c r="AB11" s="46" t="str">
        <f>IF($F11&lt;&gt;"",DATE(LEFT(Tabela1[[#This Row],[Ref.]],4),RIGHT(Tabela1[[#This Row],[Ref.]],2),1),"")</f>
        <v/>
      </c>
      <c r="AC11" s="4" t="str">
        <f t="shared" si="3"/>
        <v/>
      </c>
      <c r="AD11" s="5" t="str">
        <f t="shared" si="4"/>
        <v/>
      </c>
      <c r="AE11" s="4"/>
      <c r="AF11" s="6" t="str">
        <f t="shared" si="5"/>
        <v/>
      </c>
    </row>
    <row r="12" spans="1:36" x14ac:dyDescent="0.2">
      <c r="A12" s="42"/>
      <c r="B12" s="44"/>
      <c r="C12" s="41"/>
      <c r="D12" s="41"/>
      <c r="E12" s="41"/>
      <c r="F12" s="11"/>
      <c r="G12" s="11"/>
      <c r="H12" s="43"/>
      <c r="I12" s="2"/>
      <c r="J12" s="31"/>
      <c r="K12" s="34"/>
      <c r="M12" s="31"/>
      <c r="N12" s="31"/>
      <c r="O12" s="33"/>
      <c r="P12" s="3"/>
      <c r="Q12" s="6" t="str">
        <f>IF($F12&lt;&gt;"",RIGHT(Tabela1[[#This Row],[Ref.]],2),"")</f>
        <v/>
      </c>
      <c r="R12" s="6" t="str">
        <f t="shared" si="0"/>
        <v/>
      </c>
      <c r="S12" s="4" t="str">
        <f>IF($F12&lt;&gt;"",_xlfn.XLOOKUP(F12,Naturezas!B:B,Naturezas!E:E,"",0,1),"")</f>
        <v/>
      </c>
      <c r="T12" s="4" t="str">
        <f>IF($F12&lt;&gt;"",_xlfn.XLOOKUP($F12,Naturezas!B:B,Naturezas!D:D,"",0,1),"")</f>
        <v/>
      </c>
      <c r="U12" s="5" t="str">
        <f>IF(F12&lt;&gt;"",IF(OR(F12=Naturezas!$B$3,F12=Naturezas!$B$4,F12=Naturezas!$B$5,F12=Naturezas!$B$17,F12=Naturezas!$B$18,F12=Naturezas!$B$19),H12,-H12),"")</f>
        <v/>
      </c>
      <c r="V12" s="4" t="str">
        <f t="shared" si="1"/>
        <v/>
      </c>
      <c r="W12" s="4"/>
      <c r="X12" s="4" t="str">
        <f t="shared" si="2"/>
        <v/>
      </c>
      <c r="Y12" s="6" t="str">
        <f>IF(F12&lt;&gt;"",Tabela1[[#This Row],[Iniciais]],"")</f>
        <v/>
      </c>
      <c r="AA12" s="6" t="str">
        <f>IF($F12&lt;&gt;"",RIGHT(Tabela1[[#This Row],[Ref.]],2),"")</f>
        <v/>
      </c>
      <c r="AB12" s="46" t="str">
        <f>IF($F12&lt;&gt;"",DATE(LEFT(Tabela1[[#This Row],[Ref.]],4),RIGHT(Tabela1[[#This Row],[Ref.]],2),1),"")</f>
        <v/>
      </c>
      <c r="AC12" s="4" t="str">
        <f t="shared" si="3"/>
        <v/>
      </c>
      <c r="AD12" s="5" t="str">
        <f t="shared" si="4"/>
        <v/>
      </c>
      <c r="AE12" s="4"/>
      <c r="AF12" s="6" t="str">
        <f t="shared" si="5"/>
        <v/>
      </c>
    </row>
    <row r="13" spans="1:36" x14ac:dyDescent="0.2">
      <c r="A13" s="42"/>
      <c r="B13" s="44"/>
      <c r="C13" s="41"/>
      <c r="D13" s="41"/>
      <c r="E13" s="41"/>
      <c r="F13" s="11"/>
      <c r="G13" s="11"/>
      <c r="H13" s="43"/>
      <c r="I13" s="2"/>
      <c r="J13" s="31"/>
      <c r="K13" s="34"/>
      <c r="M13" s="31"/>
      <c r="N13" s="31"/>
      <c r="O13" s="33"/>
      <c r="P13" s="3"/>
      <c r="Q13" s="6" t="str">
        <f>IF($F13&lt;&gt;"",RIGHT(Tabela1[[#This Row],[Ref.]],2),"")</f>
        <v/>
      </c>
      <c r="R13" s="6" t="str">
        <f t="shared" si="0"/>
        <v/>
      </c>
      <c r="S13" s="4" t="str">
        <f>IF($F13&lt;&gt;"",_xlfn.XLOOKUP(F13,Naturezas!B:B,Naturezas!E:E,"",0,1),"")</f>
        <v/>
      </c>
      <c r="T13" s="4" t="str">
        <f>IF($F13&lt;&gt;"",_xlfn.XLOOKUP($F13,Naturezas!B:B,Naturezas!D:D,"",0,1),"")</f>
        <v/>
      </c>
      <c r="U13" s="5" t="str">
        <f>IF(F13&lt;&gt;"",IF(OR(F13=Naturezas!$B$3,F13=Naturezas!$B$4,F13=Naturezas!$B$5,F13=Naturezas!$B$17,F13=Naturezas!$B$18,F13=Naturezas!$B$19),H13,-H13),"")</f>
        <v/>
      </c>
      <c r="V13" s="4" t="str">
        <f t="shared" si="1"/>
        <v/>
      </c>
      <c r="W13" s="4"/>
      <c r="X13" s="4" t="str">
        <f t="shared" si="2"/>
        <v/>
      </c>
      <c r="Y13" s="6" t="str">
        <f>IF(F13&lt;&gt;"",Tabela1[[#This Row],[Iniciais]],"")</f>
        <v/>
      </c>
      <c r="AA13" s="6" t="str">
        <f>IF($F13&lt;&gt;"",RIGHT(Tabela1[[#This Row],[Ref.]],2),"")</f>
        <v/>
      </c>
      <c r="AB13" s="46" t="str">
        <f>IF($F13&lt;&gt;"",DATE(LEFT(Tabela1[[#This Row],[Ref.]],4),RIGHT(Tabela1[[#This Row],[Ref.]],2),1),"")</f>
        <v/>
      </c>
      <c r="AC13" s="4" t="str">
        <f t="shared" si="3"/>
        <v/>
      </c>
      <c r="AD13" s="5" t="str">
        <f t="shared" si="4"/>
        <v/>
      </c>
      <c r="AE13" s="4"/>
      <c r="AF13" s="6" t="str">
        <f t="shared" si="5"/>
        <v/>
      </c>
    </row>
    <row r="14" spans="1:36" x14ac:dyDescent="0.2">
      <c r="A14" s="42"/>
      <c r="B14" s="44"/>
      <c r="C14" s="41"/>
      <c r="D14" s="41"/>
      <c r="E14" s="41"/>
      <c r="F14" s="11"/>
      <c r="G14" s="11"/>
      <c r="H14" s="43"/>
      <c r="I14" s="2"/>
      <c r="J14" s="31"/>
      <c r="K14" s="34"/>
      <c r="M14" s="31"/>
      <c r="N14" s="31"/>
      <c r="O14" s="33"/>
      <c r="P14" s="3"/>
      <c r="Q14" s="6" t="str">
        <f>IF($F14&lt;&gt;"",RIGHT(Tabela1[[#This Row],[Ref.]],2),"")</f>
        <v/>
      </c>
      <c r="R14" s="6" t="str">
        <f t="shared" si="0"/>
        <v/>
      </c>
      <c r="S14" s="4" t="str">
        <f>IF($F14&lt;&gt;"",_xlfn.XLOOKUP(F14,Naturezas!B:B,Naturezas!E:E,"",0,1),"")</f>
        <v/>
      </c>
      <c r="T14" s="4" t="str">
        <f>IF($F14&lt;&gt;"",_xlfn.XLOOKUP($F14,Naturezas!B:B,Naturezas!D:D,"",0,1),"")</f>
        <v/>
      </c>
      <c r="U14" s="5" t="str">
        <f>IF(F14&lt;&gt;"",IF(OR(F14=Naturezas!$B$3,F14=Naturezas!$B$4,F14=Naturezas!$B$5,F14=Naturezas!$B$17,F14=Naturezas!$B$18,F14=Naturezas!$B$19),H14,-H14),"")</f>
        <v/>
      </c>
      <c r="V14" s="4" t="str">
        <f t="shared" si="1"/>
        <v/>
      </c>
      <c r="W14" s="4"/>
      <c r="X14" s="4" t="str">
        <f t="shared" si="2"/>
        <v/>
      </c>
      <c r="Y14" s="6" t="str">
        <f>IF(F14&lt;&gt;"",Tabela1[[#This Row],[Iniciais]],"")</f>
        <v/>
      </c>
      <c r="AA14" s="6" t="str">
        <f>IF($F14&lt;&gt;"",RIGHT(Tabela1[[#This Row],[Ref.]],2),"")</f>
        <v/>
      </c>
      <c r="AB14" s="46" t="str">
        <f>IF($F14&lt;&gt;"",DATE(LEFT(Tabela1[[#This Row],[Ref.]],4),RIGHT(Tabela1[[#This Row],[Ref.]],2),1),"")</f>
        <v/>
      </c>
      <c r="AC14" s="4" t="str">
        <f t="shared" si="3"/>
        <v/>
      </c>
      <c r="AD14" s="5" t="str">
        <f t="shared" si="4"/>
        <v/>
      </c>
      <c r="AE14" s="4"/>
      <c r="AF14" s="6" t="str">
        <f t="shared" si="5"/>
        <v/>
      </c>
    </row>
    <row r="15" spans="1:36" x14ac:dyDescent="0.2">
      <c r="A15" s="42"/>
      <c r="B15" s="44"/>
      <c r="C15" s="41"/>
      <c r="D15" s="41"/>
      <c r="E15" s="41"/>
      <c r="F15" s="11"/>
      <c r="G15" s="11"/>
      <c r="H15" s="43"/>
      <c r="I15" s="2"/>
      <c r="J15" s="31"/>
      <c r="K15" s="34"/>
      <c r="M15" s="31"/>
      <c r="N15" s="31"/>
      <c r="O15" s="33"/>
      <c r="P15" s="3"/>
      <c r="Q15" s="6" t="str">
        <f>IF($F15&lt;&gt;"",RIGHT(Tabela1[[#This Row],[Ref.]],2),"")</f>
        <v/>
      </c>
      <c r="R15" s="6" t="str">
        <f t="shared" si="0"/>
        <v/>
      </c>
      <c r="S15" s="4" t="str">
        <f>IF($F15&lt;&gt;"",_xlfn.XLOOKUP(F15,Naturezas!B:B,Naturezas!E:E,"",0,1),"")</f>
        <v/>
      </c>
      <c r="T15" s="4" t="str">
        <f>IF($F15&lt;&gt;"",_xlfn.XLOOKUP($F15,Naturezas!B:B,Naturezas!D:D,"",0,1),"")</f>
        <v/>
      </c>
      <c r="U15" s="5" t="str">
        <f>IF(F15&lt;&gt;"",IF(OR(F15=Naturezas!$B$3,F15=Naturezas!$B$4,F15=Naturezas!$B$5,F15=Naturezas!$B$17,F15=Naturezas!$B$18,F15=Naturezas!$B$19),H15,-H15),"")</f>
        <v/>
      </c>
      <c r="V15" s="4" t="str">
        <f t="shared" si="1"/>
        <v/>
      </c>
      <c r="W15" s="4"/>
      <c r="X15" s="4" t="str">
        <f t="shared" si="2"/>
        <v/>
      </c>
      <c r="Y15" s="6" t="str">
        <f>IF(F15&lt;&gt;"",Tabela1[[#This Row],[Iniciais]],"")</f>
        <v/>
      </c>
      <c r="AA15" s="6" t="str">
        <f>IF($F15&lt;&gt;"",RIGHT(Tabela1[[#This Row],[Ref.]],2),"")</f>
        <v/>
      </c>
      <c r="AB15" s="46" t="str">
        <f>IF($F15&lt;&gt;"",DATE(LEFT(Tabela1[[#This Row],[Ref.]],4),RIGHT(Tabela1[[#This Row],[Ref.]],2),1),"")</f>
        <v/>
      </c>
      <c r="AC15" s="4" t="str">
        <f t="shared" si="3"/>
        <v/>
      </c>
      <c r="AD15" s="5" t="str">
        <f t="shared" si="4"/>
        <v/>
      </c>
      <c r="AE15" s="4"/>
      <c r="AF15" s="6" t="str">
        <f t="shared" si="5"/>
        <v/>
      </c>
    </row>
    <row r="16" spans="1:36" x14ac:dyDescent="0.2">
      <c r="A16" s="42"/>
      <c r="B16" s="44"/>
      <c r="C16" s="41"/>
      <c r="D16" s="41"/>
      <c r="E16" s="41"/>
      <c r="F16" s="11"/>
      <c r="G16" s="11"/>
      <c r="H16" s="43"/>
      <c r="I16" s="2"/>
      <c r="J16" s="31"/>
      <c r="K16" s="34"/>
      <c r="L16" s="3"/>
      <c r="M16" s="31"/>
      <c r="N16" s="31"/>
      <c r="O16" s="34"/>
      <c r="P16" s="3"/>
      <c r="Q16" s="6" t="str">
        <f>IF($F16&lt;&gt;"",RIGHT(Tabela1[[#This Row],[Ref.]],2),"")</f>
        <v/>
      </c>
      <c r="R16" s="6" t="str">
        <f t="shared" si="0"/>
        <v/>
      </c>
      <c r="S16" s="4" t="str">
        <f>IF($F16&lt;&gt;"",_xlfn.XLOOKUP(F16,Naturezas!B:B,Naturezas!E:E,"",0,1),"")</f>
        <v/>
      </c>
      <c r="T16" s="4" t="str">
        <f>IF($F16&lt;&gt;"",_xlfn.XLOOKUP($F16,Naturezas!B:B,Naturezas!D:D,"",0,1),"")</f>
        <v/>
      </c>
      <c r="U16" s="5" t="str">
        <f>IF(F16&lt;&gt;"",IF(OR(F16=Naturezas!$B$3,F16=Naturezas!$B$4,F16=Naturezas!$B$5,F16=Naturezas!$B$17,F16=Naturezas!$B$18,F16=Naturezas!$B$19),H16,-H16),"")</f>
        <v/>
      </c>
      <c r="V16" s="4" t="str">
        <f t="shared" si="1"/>
        <v/>
      </c>
      <c r="W16" s="4"/>
      <c r="X16" s="4" t="str">
        <f t="shared" si="2"/>
        <v/>
      </c>
      <c r="Y16" s="6" t="str">
        <f>IF(F16&lt;&gt;"",Tabela1[[#This Row],[Iniciais]],"")</f>
        <v/>
      </c>
      <c r="AA16" s="6" t="str">
        <f>IF($F16&lt;&gt;"",RIGHT(Tabela1[[#This Row],[Ref.]],2),"")</f>
        <v/>
      </c>
      <c r="AB16" s="46" t="str">
        <f>IF($F16&lt;&gt;"",DATE(LEFT(Tabela1[[#This Row],[Ref.]],4),RIGHT(Tabela1[[#This Row],[Ref.]],2),1),"")</f>
        <v/>
      </c>
      <c r="AC16" s="4" t="str">
        <f t="shared" si="3"/>
        <v/>
      </c>
      <c r="AD16" s="5" t="str">
        <f t="shared" si="4"/>
        <v/>
      </c>
      <c r="AE16" s="4"/>
      <c r="AF16" s="6" t="str">
        <f t="shared" si="5"/>
        <v/>
      </c>
    </row>
    <row r="17" spans="1:34" x14ac:dyDescent="0.2">
      <c r="A17" s="42"/>
      <c r="B17" s="44"/>
      <c r="C17" s="41"/>
      <c r="D17" s="41"/>
      <c r="E17" s="41"/>
      <c r="F17" s="11"/>
      <c r="G17" s="11"/>
      <c r="H17" s="43"/>
      <c r="I17" s="2"/>
      <c r="J17" s="31"/>
      <c r="K17" s="34"/>
      <c r="L17" s="9"/>
      <c r="M17" s="31"/>
      <c r="N17" s="31"/>
      <c r="O17" s="34"/>
      <c r="P17" s="3"/>
      <c r="Q17" s="6" t="str">
        <f>IF($F17&lt;&gt;"",RIGHT(Tabela1[[#This Row],[Ref.]],2),"")</f>
        <v/>
      </c>
      <c r="R17" s="6" t="str">
        <f t="shared" si="0"/>
        <v/>
      </c>
      <c r="S17" s="4" t="str">
        <f>IF($F17&lt;&gt;"",_xlfn.XLOOKUP(F17,Naturezas!B:B,Naturezas!E:E,"",0,1),"")</f>
        <v/>
      </c>
      <c r="T17" s="4" t="str">
        <f>IF($F17&lt;&gt;"",_xlfn.XLOOKUP($F17,Naturezas!B:B,Naturezas!D:D,"",0,1),"")</f>
        <v/>
      </c>
      <c r="U17" s="5" t="str">
        <f>IF(F17&lt;&gt;"",IF(OR(F17=Naturezas!$B$3,F17=Naturezas!$B$4,F17=Naturezas!$B$5,F17=Naturezas!$B$17,F17=Naturezas!$B$18,F17=Naturezas!$B$19),H17,-H17),"")</f>
        <v/>
      </c>
      <c r="V17" s="4" t="str">
        <f t="shared" si="1"/>
        <v/>
      </c>
      <c r="W17" s="4"/>
      <c r="X17" s="4" t="str">
        <f t="shared" si="2"/>
        <v/>
      </c>
      <c r="Y17" s="6" t="str">
        <f>IF(F17&lt;&gt;"",Tabela1[[#This Row],[Iniciais]],"")</f>
        <v/>
      </c>
      <c r="AA17" s="6" t="str">
        <f>IF($F17&lt;&gt;"",RIGHT(Tabela1[[#This Row],[Ref.]],2),"")</f>
        <v/>
      </c>
      <c r="AB17" s="46" t="str">
        <f>IF($F17&lt;&gt;"",DATE(LEFT(Tabela1[[#This Row],[Ref.]],4),RIGHT(Tabela1[[#This Row],[Ref.]],2),1),"")</f>
        <v/>
      </c>
      <c r="AC17" s="4" t="str">
        <f t="shared" si="3"/>
        <v/>
      </c>
      <c r="AD17" s="5" t="str">
        <f t="shared" si="4"/>
        <v/>
      </c>
      <c r="AE17" s="4"/>
      <c r="AF17" s="6" t="str">
        <f t="shared" si="5"/>
        <v/>
      </c>
      <c r="AG17" s="1"/>
      <c r="AH17" s="1"/>
    </row>
    <row r="18" spans="1:34" x14ac:dyDescent="0.2">
      <c r="A18" s="42"/>
      <c r="B18" s="44"/>
      <c r="C18" s="41"/>
      <c r="D18" s="41"/>
      <c r="E18" s="41"/>
      <c r="F18" s="11"/>
      <c r="G18" s="11"/>
      <c r="H18" s="43"/>
      <c r="I18" s="2"/>
      <c r="J18" s="31"/>
      <c r="K18" s="34"/>
      <c r="L18" s="9"/>
      <c r="M18" s="31"/>
      <c r="N18" s="31"/>
      <c r="O18" s="34"/>
      <c r="P18" s="3"/>
      <c r="Q18" s="6" t="str">
        <f>IF($F18&lt;&gt;"",RIGHT(Tabela1[[#This Row],[Ref.]],2),"")</f>
        <v/>
      </c>
      <c r="R18" s="6" t="str">
        <f t="shared" si="0"/>
        <v/>
      </c>
      <c r="S18" s="4" t="str">
        <f>IF($F18&lt;&gt;"",_xlfn.XLOOKUP(F18,Naturezas!B:B,Naturezas!E:E,"",0,1),"")</f>
        <v/>
      </c>
      <c r="T18" s="4" t="str">
        <f>IF($F18&lt;&gt;"",_xlfn.XLOOKUP($F18,Naturezas!B:B,Naturezas!D:D,"",0,1),"")</f>
        <v/>
      </c>
      <c r="U18" s="5" t="str">
        <f>IF(F18&lt;&gt;"",IF(OR(F18=Naturezas!$B$3,F18=Naturezas!$B$4,F18=Naturezas!$B$5,F18=Naturezas!$B$17,F18=Naturezas!$B$18,F18=Naturezas!$B$19),H18,-H18),"")</f>
        <v/>
      </c>
      <c r="V18" s="4" t="str">
        <f t="shared" si="1"/>
        <v/>
      </c>
      <c r="W18" s="4"/>
      <c r="X18" s="4" t="str">
        <f t="shared" si="2"/>
        <v/>
      </c>
      <c r="Y18" s="6" t="str">
        <f>IF(F18&lt;&gt;"",Tabela1[[#This Row],[Iniciais]],"")</f>
        <v/>
      </c>
      <c r="AA18" s="6" t="str">
        <f>IF($F18&lt;&gt;"",RIGHT(Tabela1[[#This Row],[Ref.]],2),"")</f>
        <v/>
      </c>
      <c r="AB18" s="46" t="str">
        <f>IF($F18&lt;&gt;"",DATE(LEFT(Tabela1[[#This Row],[Ref.]],4),RIGHT(Tabela1[[#This Row],[Ref.]],2),1),"")</f>
        <v/>
      </c>
      <c r="AC18" s="4" t="str">
        <f t="shared" si="3"/>
        <v/>
      </c>
      <c r="AD18" s="5" t="str">
        <f t="shared" si="4"/>
        <v/>
      </c>
      <c r="AE18" s="4"/>
      <c r="AF18" s="6" t="str">
        <f t="shared" si="5"/>
        <v/>
      </c>
    </row>
    <row r="19" spans="1:34" x14ac:dyDescent="0.2">
      <c r="A19" s="42"/>
      <c r="B19" s="44"/>
      <c r="C19" s="41"/>
      <c r="D19" s="41"/>
      <c r="E19" s="41"/>
      <c r="F19" s="11"/>
      <c r="G19" s="11"/>
      <c r="H19" s="43"/>
      <c r="I19" s="2"/>
      <c r="J19" s="31"/>
      <c r="K19" s="34"/>
      <c r="L19" s="9"/>
      <c r="M19" s="31"/>
      <c r="N19" s="31"/>
      <c r="O19" s="34"/>
      <c r="P19" s="3"/>
      <c r="Q19" s="6" t="str">
        <f>IF($F19&lt;&gt;"",RIGHT(Tabela1[[#This Row],[Ref.]],2),"")</f>
        <v/>
      </c>
      <c r="R19" s="6" t="str">
        <f t="shared" si="0"/>
        <v/>
      </c>
      <c r="S19" s="4" t="str">
        <f>IF($F19&lt;&gt;"",_xlfn.XLOOKUP(F19,Naturezas!B:B,Naturezas!E:E,"",0,1),"")</f>
        <v/>
      </c>
      <c r="T19" s="4" t="str">
        <f>IF($F19&lt;&gt;"",_xlfn.XLOOKUP($F19,Naturezas!B:B,Naturezas!D:D,"",0,1),"")</f>
        <v/>
      </c>
      <c r="U19" s="5" t="str">
        <f>IF(F19&lt;&gt;"",IF(OR(F19=Naturezas!$B$3,F19=Naturezas!$B$4,F19=Naturezas!$B$5,F19=Naturezas!$B$17,F19=Naturezas!$B$18,F19=Naturezas!$B$19),H19,-H19),"")</f>
        <v/>
      </c>
      <c r="V19" s="4" t="str">
        <f t="shared" si="1"/>
        <v/>
      </c>
      <c r="W19" s="4"/>
      <c r="X19" s="4" t="str">
        <f t="shared" si="2"/>
        <v/>
      </c>
      <c r="Y19" s="6" t="str">
        <f>IF(F19&lt;&gt;"",Tabela1[[#This Row],[Iniciais]],"")</f>
        <v/>
      </c>
      <c r="AA19" s="6" t="str">
        <f>IF($F19&lt;&gt;"",RIGHT(Tabela1[[#This Row],[Ref.]],2),"")</f>
        <v/>
      </c>
      <c r="AB19" s="46" t="str">
        <f>IF($F19&lt;&gt;"",DATE(LEFT(Tabela1[[#This Row],[Ref.]],4),RIGHT(Tabela1[[#This Row],[Ref.]],2),1),"")</f>
        <v/>
      </c>
      <c r="AC19" s="4" t="str">
        <f t="shared" si="3"/>
        <v/>
      </c>
      <c r="AD19" s="5" t="str">
        <f t="shared" si="4"/>
        <v/>
      </c>
      <c r="AE19" s="4"/>
      <c r="AF19" s="6" t="str">
        <f t="shared" si="5"/>
        <v/>
      </c>
    </row>
    <row r="20" spans="1:34" x14ac:dyDescent="0.2">
      <c r="A20" s="42"/>
      <c r="B20" s="44"/>
      <c r="C20" s="41"/>
      <c r="D20" s="41"/>
      <c r="E20" s="41"/>
      <c r="F20" s="11"/>
      <c r="G20" s="11"/>
      <c r="H20" s="43"/>
      <c r="I20" s="2"/>
      <c r="J20" s="31"/>
      <c r="K20" s="34"/>
      <c r="L20" s="9"/>
      <c r="M20" s="31"/>
      <c r="N20" s="31"/>
      <c r="O20" s="34"/>
      <c r="P20" s="3"/>
      <c r="Q20" s="6" t="str">
        <f>IF($F20&lt;&gt;"",RIGHT(Tabela1[[#This Row],[Ref.]],2),"")</f>
        <v/>
      </c>
      <c r="R20" s="6" t="str">
        <f t="shared" si="0"/>
        <v/>
      </c>
      <c r="S20" s="4" t="str">
        <f>IF($F20&lt;&gt;"",_xlfn.XLOOKUP(F20,Naturezas!B:B,Naturezas!E:E,"",0,1),"")</f>
        <v/>
      </c>
      <c r="T20" s="4" t="str">
        <f>IF($F20&lt;&gt;"",_xlfn.XLOOKUP($F20,Naturezas!B:B,Naturezas!D:D,"",0,1),"")</f>
        <v/>
      </c>
      <c r="U20" s="5" t="str">
        <f>IF(F20&lt;&gt;"",IF(OR(F20=Naturezas!$B$3,F20=Naturezas!$B$4,F20=Naturezas!$B$5,F20=Naturezas!$B$17,F20=Naturezas!$B$18,F20=Naturezas!$B$19),H20,-H20),"")</f>
        <v/>
      </c>
      <c r="V20" s="4" t="str">
        <f t="shared" si="1"/>
        <v/>
      </c>
      <c r="W20" s="4"/>
      <c r="X20" s="4" t="str">
        <f t="shared" si="2"/>
        <v/>
      </c>
      <c r="Y20" s="6" t="str">
        <f>IF(F20&lt;&gt;"",Tabela1[[#This Row],[Iniciais]],"")</f>
        <v/>
      </c>
      <c r="AA20" s="6" t="str">
        <f>IF($F20&lt;&gt;"",RIGHT(Tabela1[[#This Row],[Ref.]],2),"")</f>
        <v/>
      </c>
      <c r="AB20" s="46" t="str">
        <f>IF($F20&lt;&gt;"",DATE(LEFT(Tabela1[[#This Row],[Ref.]],4),RIGHT(Tabela1[[#This Row],[Ref.]],2),1),"")</f>
        <v/>
      </c>
      <c r="AC20" s="4" t="str">
        <f t="shared" si="3"/>
        <v/>
      </c>
      <c r="AD20" s="5" t="str">
        <f t="shared" si="4"/>
        <v/>
      </c>
      <c r="AE20" s="4"/>
      <c r="AF20" s="6" t="str">
        <f t="shared" si="5"/>
        <v/>
      </c>
    </row>
    <row r="21" spans="1:34" x14ac:dyDescent="0.2">
      <c r="A21" s="42"/>
      <c r="B21" s="44"/>
      <c r="C21" s="41"/>
      <c r="D21" s="41"/>
      <c r="E21" s="41"/>
      <c r="F21" s="11"/>
      <c r="G21" s="11"/>
      <c r="H21" s="43"/>
      <c r="I21" s="2"/>
      <c r="J21" s="31"/>
      <c r="K21" s="34"/>
      <c r="L21" s="9"/>
      <c r="M21" s="31"/>
      <c r="N21" s="31"/>
      <c r="O21" s="34"/>
      <c r="P21" s="3"/>
      <c r="Q21" s="6" t="str">
        <f>IF($F21&lt;&gt;"",RIGHT(Tabela1[[#This Row],[Ref.]],2),"")</f>
        <v/>
      </c>
      <c r="R21" s="6" t="str">
        <f t="shared" si="0"/>
        <v/>
      </c>
      <c r="S21" s="4" t="str">
        <f>IF($F21&lt;&gt;"",_xlfn.XLOOKUP(F21,Naturezas!B:B,Naturezas!E:E,"",0,1),"")</f>
        <v/>
      </c>
      <c r="T21" s="4" t="str">
        <f>IF($F21&lt;&gt;"",_xlfn.XLOOKUP($F21,Naturezas!B:B,Naturezas!D:D,"",0,1),"")</f>
        <v/>
      </c>
      <c r="U21" s="5" t="str">
        <f>IF(F21&lt;&gt;"",IF(OR(F21=Naturezas!$B$3,F21=Naturezas!$B$4,F21=Naturezas!$B$5,F21=Naturezas!$B$17,F21=Naturezas!$B$18,F21=Naturezas!$B$19),H21,-H21),"")</f>
        <v/>
      </c>
      <c r="V21" s="4" t="str">
        <f t="shared" si="1"/>
        <v/>
      </c>
      <c r="W21" s="4"/>
      <c r="X21" s="4" t="str">
        <f t="shared" si="2"/>
        <v/>
      </c>
      <c r="Y21" s="6" t="str">
        <f>IF(F21&lt;&gt;"",Tabela1[[#This Row],[Iniciais]],"")</f>
        <v/>
      </c>
      <c r="AA21" s="6" t="str">
        <f>IF($F21&lt;&gt;"",RIGHT(Tabela1[[#This Row],[Ref.]],2),"")</f>
        <v/>
      </c>
      <c r="AB21" s="46" t="str">
        <f>IF($F21&lt;&gt;"",DATE(LEFT(Tabela1[[#This Row],[Ref.]],4),RIGHT(Tabela1[[#This Row],[Ref.]],2),1),"")</f>
        <v/>
      </c>
      <c r="AC21" s="4" t="str">
        <f t="shared" si="3"/>
        <v/>
      </c>
      <c r="AD21" s="5" t="str">
        <f t="shared" si="4"/>
        <v/>
      </c>
      <c r="AE21" s="4"/>
      <c r="AF21" s="6" t="str">
        <f t="shared" si="5"/>
        <v/>
      </c>
    </row>
    <row r="22" spans="1:34" x14ac:dyDescent="0.2">
      <c r="A22" s="42"/>
      <c r="B22" s="44"/>
      <c r="C22" s="41"/>
      <c r="D22" s="41"/>
      <c r="E22" s="41"/>
      <c r="F22" s="11"/>
      <c r="G22" s="11"/>
      <c r="H22" s="43"/>
      <c r="I22" s="2"/>
      <c r="J22" s="31"/>
      <c r="K22" s="34"/>
      <c r="L22" s="9"/>
      <c r="M22" s="31"/>
      <c r="N22" s="31"/>
      <c r="O22" s="34"/>
      <c r="P22" s="3"/>
      <c r="Q22" s="6" t="str">
        <f>IF($F22&lt;&gt;"",RIGHT(Tabela1[[#This Row],[Ref.]],2),"")</f>
        <v/>
      </c>
      <c r="R22" s="6" t="str">
        <f t="shared" si="0"/>
        <v/>
      </c>
      <c r="S22" s="4" t="str">
        <f>IF($F22&lt;&gt;"",_xlfn.XLOOKUP(F22,Naturezas!B:B,Naturezas!E:E,"",0,1),"")</f>
        <v/>
      </c>
      <c r="T22" s="4" t="str">
        <f>IF($F22&lt;&gt;"",_xlfn.XLOOKUP($F22,Naturezas!B:B,Naturezas!D:D,"",0,1),"")</f>
        <v/>
      </c>
      <c r="U22" s="5" t="str">
        <f>IF(F22&lt;&gt;"",IF(OR(F22=Naturezas!$B$3,F22=Naturezas!$B$4,F22=Naturezas!$B$5,F22=Naturezas!$B$17,F22=Naturezas!$B$18,F22=Naturezas!$B$19),H22,-H22),"")</f>
        <v/>
      </c>
      <c r="V22" s="4" t="str">
        <f t="shared" si="1"/>
        <v/>
      </c>
      <c r="W22" s="4"/>
      <c r="X22" s="4" t="str">
        <f t="shared" si="2"/>
        <v/>
      </c>
      <c r="Y22" s="6" t="str">
        <f>IF(F22&lt;&gt;"",Tabela1[[#This Row],[Iniciais]],"")</f>
        <v/>
      </c>
      <c r="AA22" s="6" t="str">
        <f>IF($F22&lt;&gt;"",RIGHT(Tabela1[[#This Row],[Ref.]],2),"")</f>
        <v/>
      </c>
      <c r="AB22" s="46" t="str">
        <f>IF($F22&lt;&gt;"",DATE(LEFT(Tabela1[[#This Row],[Ref.]],4),RIGHT(Tabela1[[#This Row],[Ref.]],2),1),"")</f>
        <v/>
      </c>
      <c r="AC22" s="4" t="str">
        <f t="shared" si="3"/>
        <v/>
      </c>
      <c r="AD22" s="5" t="str">
        <f t="shared" si="4"/>
        <v/>
      </c>
      <c r="AE22" s="4"/>
      <c r="AF22" s="6" t="str">
        <f t="shared" si="5"/>
        <v/>
      </c>
    </row>
    <row r="23" spans="1:34" x14ac:dyDescent="0.2">
      <c r="A23" s="42"/>
      <c r="B23" s="44"/>
      <c r="C23" s="41"/>
      <c r="D23" s="41"/>
      <c r="E23" s="41"/>
      <c r="F23" s="11"/>
      <c r="G23" s="11"/>
      <c r="H23" s="43"/>
      <c r="I23" s="2"/>
      <c r="J23" s="31"/>
      <c r="K23" s="36"/>
      <c r="L23" s="9"/>
      <c r="M23" s="31"/>
      <c r="N23" s="31"/>
      <c r="O23" s="34"/>
      <c r="P23" s="3"/>
      <c r="Q23" s="6" t="str">
        <f>IF($F23&lt;&gt;"",RIGHT(Tabela1[[#This Row],[Ref.]],2),"")</f>
        <v/>
      </c>
      <c r="R23" s="6" t="str">
        <f t="shared" si="0"/>
        <v/>
      </c>
      <c r="S23" s="4" t="str">
        <f>IF($F23&lt;&gt;"",_xlfn.XLOOKUP(F23,Naturezas!B:B,Naturezas!E:E,"",0,1),"")</f>
        <v/>
      </c>
      <c r="T23" s="4" t="str">
        <f>IF($F23&lt;&gt;"",_xlfn.XLOOKUP($F23,Naturezas!B:B,Naturezas!D:D,"",0,1),"")</f>
        <v/>
      </c>
      <c r="U23" s="5" t="str">
        <f>IF(F23&lt;&gt;"",IF(OR(F23=Naturezas!$B$3,F23=Naturezas!$B$4,F23=Naturezas!$B$5,F23=Naturezas!$B$17,F23=Naturezas!$B$18,F23=Naturezas!$B$19),H23,-H23),"")</f>
        <v/>
      </c>
      <c r="V23" s="4" t="str">
        <f t="shared" si="1"/>
        <v/>
      </c>
      <c r="W23" s="4"/>
      <c r="X23" s="4" t="str">
        <f t="shared" si="2"/>
        <v/>
      </c>
      <c r="Y23" s="6" t="str">
        <f>IF(F23&lt;&gt;"",Tabela1[[#This Row],[Iniciais]],"")</f>
        <v/>
      </c>
      <c r="AA23" s="6" t="str">
        <f>IF($F23&lt;&gt;"",RIGHT(Tabela1[[#This Row],[Ref.]],2),"")</f>
        <v/>
      </c>
      <c r="AB23" s="46" t="str">
        <f>IF($F23&lt;&gt;"",DATE(LEFT(Tabela1[[#This Row],[Ref.]],4),RIGHT(Tabela1[[#This Row],[Ref.]],2),1),"")</f>
        <v/>
      </c>
      <c r="AC23" s="4" t="str">
        <f t="shared" si="3"/>
        <v/>
      </c>
      <c r="AD23" s="5" t="str">
        <f t="shared" si="4"/>
        <v/>
      </c>
      <c r="AE23" s="4"/>
      <c r="AF23" s="6" t="str">
        <f t="shared" si="5"/>
        <v/>
      </c>
    </row>
    <row r="24" spans="1:34" x14ac:dyDescent="0.2">
      <c r="A24" s="42"/>
      <c r="B24" s="44"/>
      <c r="C24" s="41"/>
      <c r="D24" s="41"/>
      <c r="E24" s="41"/>
      <c r="F24" s="11"/>
      <c r="G24" s="11"/>
      <c r="H24" s="43"/>
      <c r="I24" s="2"/>
      <c r="J24" s="31"/>
      <c r="K24" s="36"/>
      <c r="L24" s="9"/>
      <c r="M24" s="31"/>
      <c r="N24" s="31"/>
      <c r="O24" s="34"/>
      <c r="P24" s="3"/>
      <c r="Q24" s="6" t="str">
        <f>IF($F24&lt;&gt;"",RIGHT(Tabela1[[#This Row],[Ref.]],2),"")</f>
        <v/>
      </c>
      <c r="R24" s="6" t="str">
        <f t="shared" si="0"/>
        <v/>
      </c>
      <c r="S24" s="4" t="str">
        <f>IF($F24&lt;&gt;"",_xlfn.XLOOKUP(F24,Naturezas!B:B,Naturezas!E:E,"",0,1),"")</f>
        <v/>
      </c>
      <c r="T24" s="4" t="str">
        <f>IF($F24&lt;&gt;"",_xlfn.XLOOKUP($F24,Naturezas!B:B,Naturezas!D:D,"",0,1),"")</f>
        <v/>
      </c>
      <c r="U24" s="5" t="str">
        <f>IF(F24&lt;&gt;"",IF(OR(F24=Naturezas!$B$3,F24=Naturezas!$B$4,F24=Naturezas!$B$5,F24=Naturezas!$B$17,F24=Naturezas!$B$18,F24=Naturezas!$B$19),H24,-H24),"")</f>
        <v/>
      </c>
      <c r="V24" s="4" t="str">
        <f t="shared" si="1"/>
        <v/>
      </c>
      <c r="W24" s="4"/>
      <c r="X24" s="4" t="str">
        <f t="shared" si="2"/>
        <v/>
      </c>
      <c r="Y24" s="6" t="str">
        <f>IF(F24&lt;&gt;"",Tabela1[[#This Row],[Iniciais]],"")</f>
        <v/>
      </c>
      <c r="AA24" s="6" t="str">
        <f>IF($F24&lt;&gt;"",RIGHT(Tabela1[[#This Row],[Ref.]],2),"")</f>
        <v/>
      </c>
      <c r="AB24" s="46" t="str">
        <f>IF($F24&lt;&gt;"",DATE(LEFT(Tabela1[[#This Row],[Ref.]],4),RIGHT(Tabela1[[#This Row],[Ref.]],2),1),"")</f>
        <v/>
      </c>
      <c r="AC24" s="4" t="str">
        <f t="shared" si="3"/>
        <v/>
      </c>
      <c r="AD24" s="5" t="str">
        <f t="shared" si="4"/>
        <v/>
      </c>
      <c r="AE24" s="4"/>
      <c r="AF24" s="6" t="str">
        <f t="shared" si="5"/>
        <v/>
      </c>
    </row>
    <row r="25" spans="1:34" ht="15.75" customHeight="1" x14ac:dyDescent="0.2">
      <c r="A25" s="42"/>
      <c r="B25" s="44"/>
      <c r="C25" s="41"/>
      <c r="D25" s="41"/>
      <c r="E25" s="41"/>
      <c r="F25" s="11"/>
      <c r="G25" s="11"/>
      <c r="H25" s="43"/>
      <c r="I25" s="2"/>
      <c r="J25" s="31"/>
      <c r="K25" s="36"/>
      <c r="L25" s="9"/>
      <c r="M25" s="31"/>
      <c r="N25" s="31"/>
      <c r="O25" s="34"/>
      <c r="P25" s="3"/>
      <c r="Q25" s="6" t="str">
        <f>IF($F25&lt;&gt;"",RIGHT(Tabela1[[#This Row],[Ref.]],2),"")</f>
        <v/>
      </c>
      <c r="R25" s="6" t="str">
        <f t="shared" si="0"/>
        <v/>
      </c>
      <c r="S25" s="4" t="str">
        <f>IF($F25&lt;&gt;"",_xlfn.XLOOKUP(F25,Naturezas!B:B,Naturezas!E:E,"",0,1),"")</f>
        <v/>
      </c>
      <c r="T25" s="4" t="str">
        <f>IF($F25&lt;&gt;"",_xlfn.XLOOKUP($F25,Naturezas!B:B,Naturezas!D:D,"",0,1),"")</f>
        <v/>
      </c>
      <c r="U25" s="5" t="str">
        <f>IF(F25&lt;&gt;"",IF(OR(F25=Naturezas!$B$3,F25=Naturezas!$B$4,F25=Naturezas!$B$5,F25=Naturezas!$B$17,F25=Naturezas!$B$18,F25=Naturezas!$B$19),H25,-H25),"")</f>
        <v/>
      </c>
      <c r="V25" s="4" t="str">
        <f t="shared" si="1"/>
        <v/>
      </c>
      <c r="W25" s="4"/>
      <c r="X25" s="4" t="str">
        <f t="shared" si="2"/>
        <v/>
      </c>
      <c r="Y25" s="6" t="str">
        <f>IF(F25&lt;&gt;"",Tabela1[[#This Row],[Iniciais]],"")</f>
        <v/>
      </c>
      <c r="AA25" s="6" t="str">
        <f>IF($F25&lt;&gt;"",RIGHT(Tabela1[[#This Row],[Ref.]],2),"")</f>
        <v/>
      </c>
      <c r="AB25" s="46" t="str">
        <f>IF($F25&lt;&gt;"",DATE(LEFT(Tabela1[[#This Row],[Ref.]],4),RIGHT(Tabela1[[#This Row],[Ref.]],2),1),"")</f>
        <v/>
      </c>
      <c r="AC25" s="4" t="str">
        <f t="shared" si="3"/>
        <v/>
      </c>
      <c r="AD25" s="5" t="str">
        <f t="shared" si="4"/>
        <v/>
      </c>
      <c r="AE25" s="4"/>
      <c r="AF25" s="6" t="str">
        <f t="shared" si="5"/>
        <v/>
      </c>
      <c r="AG25" s="1"/>
      <c r="AH25" s="1"/>
    </row>
    <row r="26" spans="1:34" ht="15.75" customHeight="1" x14ac:dyDescent="0.2">
      <c r="A26" s="42"/>
      <c r="B26" s="44"/>
      <c r="C26" s="41"/>
      <c r="D26" s="41"/>
      <c r="E26" s="41"/>
      <c r="F26" s="11"/>
      <c r="G26" s="11"/>
      <c r="H26" s="43"/>
      <c r="I26" s="2"/>
      <c r="J26" s="31"/>
      <c r="K26" s="36"/>
      <c r="L26" s="9"/>
      <c r="M26" s="31"/>
      <c r="N26" s="31"/>
      <c r="O26" s="34"/>
      <c r="P26" s="3"/>
      <c r="Q26" s="6" t="str">
        <f>IF($F26&lt;&gt;"",RIGHT(Tabela1[[#This Row],[Ref.]],2),"")</f>
        <v/>
      </c>
      <c r="R26" s="6" t="str">
        <f t="shared" si="0"/>
        <v/>
      </c>
      <c r="S26" s="4" t="str">
        <f>IF($F26&lt;&gt;"",_xlfn.XLOOKUP(F26,Naturezas!B:B,Naturezas!E:E,"",0,1),"")</f>
        <v/>
      </c>
      <c r="T26" s="4" t="str">
        <f>IF($F26&lt;&gt;"",_xlfn.XLOOKUP($F26,Naturezas!B:B,Naturezas!D:D,"",0,1),"")</f>
        <v/>
      </c>
      <c r="U26" s="5" t="str">
        <f>IF(F26&lt;&gt;"",IF(OR(F26=Naturezas!$B$3,F26=Naturezas!$B$4,F26=Naturezas!$B$5,F26=Naturezas!$B$17,F26=Naturezas!$B$18,F26=Naturezas!$B$19),H26,-H26),"")</f>
        <v/>
      </c>
      <c r="V26" s="4" t="str">
        <f t="shared" si="1"/>
        <v/>
      </c>
      <c r="W26" s="4"/>
      <c r="X26" s="4" t="str">
        <f t="shared" si="2"/>
        <v/>
      </c>
      <c r="Y26" s="6" t="str">
        <f>IF(F26&lt;&gt;"",Tabela1[[#This Row],[Iniciais]],"")</f>
        <v/>
      </c>
      <c r="AA26" s="6" t="str">
        <f>IF($F26&lt;&gt;"",RIGHT(Tabela1[[#This Row],[Ref.]],2),"")</f>
        <v/>
      </c>
      <c r="AB26" s="46" t="str">
        <f>IF($F26&lt;&gt;"",DATE(LEFT(Tabela1[[#This Row],[Ref.]],4),RIGHT(Tabela1[[#This Row],[Ref.]],2),1),"")</f>
        <v/>
      </c>
      <c r="AC26" s="4" t="str">
        <f t="shared" si="3"/>
        <v/>
      </c>
      <c r="AD26" s="5" t="str">
        <f t="shared" si="4"/>
        <v/>
      </c>
      <c r="AE26" s="4"/>
      <c r="AF26" s="6" t="str">
        <f t="shared" si="5"/>
        <v/>
      </c>
      <c r="AG26" s="1"/>
      <c r="AH26" s="1"/>
    </row>
    <row r="27" spans="1:34" ht="15.75" customHeight="1" x14ac:dyDescent="0.2">
      <c r="A27" s="42"/>
      <c r="B27" s="44"/>
      <c r="C27" s="41"/>
      <c r="D27" s="41"/>
      <c r="E27" s="41"/>
      <c r="F27" s="11"/>
      <c r="G27" s="11"/>
      <c r="H27" s="43"/>
      <c r="I27" s="2"/>
      <c r="J27" s="31"/>
      <c r="K27" s="36"/>
      <c r="L27" s="9"/>
      <c r="M27" s="31"/>
      <c r="N27" s="31"/>
      <c r="O27" s="34"/>
      <c r="P27" s="3"/>
      <c r="Q27" s="6" t="str">
        <f>IF($F27&lt;&gt;"",RIGHT(Tabela1[[#This Row],[Ref.]],2),"")</f>
        <v/>
      </c>
      <c r="R27" s="6" t="str">
        <f t="shared" si="0"/>
        <v/>
      </c>
      <c r="S27" s="4" t="str">
        <f>IF($F27&lt;&gt;"",_xlfn.XLOOKUP(F27,Naturezas!B:B,Naturezas!E:E,"",0,1),"")</f>
        <v/>
      </c>
      <c r="T27" s="4" t="str">
        <f>IF($F27&lt;&gt;"",_xlfn.XLOOKUP($F27,Naturezas!B:B,Naturezas!D:D,"",0,1),"")</f>
        <v/>
      </c>
      <c r="U27" s="5" t="str">
        <f>IF(F27&lt;&gt;"",IF(OR(F27=Naturezas!$B$3,F27=Naturezas!$B$4,F27=Naturezas!$B$5,F27=Naturezas!$B$17,F27=Naturezas!$B$18,F27=Naturezas!$B$19),H27,-H27),"")</f>
        <v/>
      </c>
      <c r="V27" s="4" t="str">
        <f t="shared" si="1"/>
        <v/>
      </c>
      <c r="W27" s="4"/>
      <c r="X27" s="4" t="str">
        <f t="shared" si="2"/>
        <v/>
      </c>
      <c r="Y27" s="6" t="str">
        <f>IF(F27&lt;&gt;"",Tabela1[[#This Row],[Iniciais]],"")</f>
        <v/>
      </c>
      <c r="AA27" s="6" t="str">
        <f>IF($F27&lt;&gt;"",RIGHT(Tabela1[[#This Row],[Ref.]],2),"")</f>
        <v/>
      </c>
      <c r="AB27" s="46" t="str">
        <f>IF($F27&lt;&gt;"",DATE(LEFT(Tabela1[[#This Row],[Ref.]],4),RIGHT(Tabela1[[#This Row],[Ref.]],2),1),"")</f>
        <v/>
      </c>
      <c r="AC27" s="4" t="str">
        <f t="shared" si="3"/>
        <v/>
      </c>
      <c r="AD27" s="5" t="str">
        <f t="shared" si="4"/>
        <v/>
      </c>
      <c r="AE27" s="4"/>
      <c r="AF27" s="6" t="str">
        <f t="shared" si="5"/>
        <v/>
      </c>
      <c r="AG27" s="1"/>
      <c r="AH27" s="1"/>
    </row>
    <row r="28" spans="1:34" ht="15.75" customHeight="1" x14ac:dyDescent="0.2">
      <c r="A28" s="42"/>
      <c r="B28" s="44"/>
      <c r="C28" s="41"/>
      <c r="D28" s="41"/>
      <c r="E28" s="41"/>
      <c r="F28" s="11"/>
      <c r="G28" s="11"/>
      <c r="H28" s="43"/>
      <c r="I28" s="2"/>
      <c r="J28" s="31"/>
      <c r="K28" s="36"/>
      <c r="L28" s="9"/>
      <c r="M28" s="31"/>
      <c r="N28" s="31"/>
      <c r="O28" s="34"/>
      <c r="P28" s="3"/>
      <c r="Q28" s="6" t="str">
        <f>IF($F28&lt;&gt;"",RIGHT(Tabela1[[#This Row],[Ref.]],2),"")</f>
        <v/>
      </c>
      <c r="R28" s="6" t="str">
        <f t="shared" si="0"/>
        <v/>
      </c>
      <c r="S28" s="4" t="str">
        <f>IF($F28&lt;&gt;"",_xlfn.XLOOKUP(F28,Naturezas!B:B,Naturezas!E:E,"",0,1),"")</f>
        <v/>
      </c>
      <c r="T28" s="4" t="str">
        <f>IF($F28&lt;&gt;"",_xlfn.XLOOKUP($F28,Naturezas!B:B,Naturezas!D:D,"",0,1),"")</f>
        <v/>
      </c>
      <c r="U28" s="5" t="str">
        <f>IF(F28&lt;&gt;"",IF(OR(F28=Naturezas!$B$3,F28=Naturezas!$B$4,F28=Naturezas!$B$5,F28=Naturezas!$B$17,F28=Naturezas!$B$18,F28=Naturezas!$B$19),H28,-H28),"")</f>
        <v/>
      </c>
      <c r="V28" s="4" t="str">
        <f t="shared" si="1"/>
        <v/>
      </c>
      <c r="W28" s="4"/>
      <c r="X28" s="4" t="str">
        <f t="shared" si="2"/>
        <v/>
      </c>
      <c r="Y28" s="6" t="str">
        <f>IF(F28&lt;&gt;"",Tabela1[[#This Row],[Iniciais]],"")</f>
        <v/>
      </c>
      <c r="AA28" s="6" t="str">
        <f>IF($F28&lt;&gt;"",RIGHT(Tabela1[[#This Row],[Ref.]],2),"")</f>
        <v/>
      </c>
      <c r="AB28" s="46" t="str">
        <f>IF($F28&lt;&gt;"",DATE(LEFT(Tabela1[[#This Row],[Ref.]],4),RIGHT(Tabela1[[#This Row],[Ref.]],2),1),"")</f>
        <v/>
      </c>
      <c r="AC28" s="4" t="str">
        <f t="shared" si="3"/>
        <v/>
      </c>
      <c r="AD28" s="5" t="str">
        <f t="shared" si="4"/>
        <v/>
      </c>
      <c r="AE28" s="4"/>
      <c r="AF28" s="6" t="str">
        <f t="shared" si="5"/>
        <v/>
      </c>
    </row>
    <row r="29" spans="1:34" ht="15.75" customHeight="1" x14ac:dyDescent="0.2">
      <c r="A29" s="42"/>
      <c r="B29" s="44"/>
      <c r="C29" s="41"/>
      <c r="D29" s="41"/>
      <c r="E29" s="41"/>
      <c r="F29" s="11"/>
      <c r="G29" s="11"/>
      <c r="H29" s="43"/>
      <c r="I29" s="2"/>
      <c r="J29" s="31"/>
      <c r="K29" s="36"/>
      <c r="L29" s="9"/>
      <c r="M29" s="31"/>
      <c r="N29" s="31"/>
      <c r="O29" s="34"/>
      <c r="P29" s="3"/>
      <c r="Q29" s="6" t="str">
        <f>IF($F29&lt;&gt;"",RIGHT(Tabela1[[#This Row],[Ref.]],2),"")</f>
        <v/>
      </c>
      <c r="R29" s="6" t="str">
        <f t="shared" si="0"/>
        <v/>
      </c>
      <c r="S29" s="4" t="str">
        <f>IF($F29&lt;&gt;"",_xlfn.XLOOKUP(F29,Naturezas!B:B,Naturezas!E:E,"",0,1),"")</f>
        <v/>
      </c>
      <c r="T29" s="4" t="str">
        <f>IF($F29&lt;&gt;"",_xlfn.XLOOKUP($F29,Naturezas!B:B,Naturezas!D:D,"",0,1),"")</f>
        <v/>
      </c>
      <c r="U29" s="5" t="str">
        <f>IF(F29&lt;&gt;"",IF(OR(F29=Naturezas!$B$3,F29=Naturezas!$B$4,F29=Naturezas!$B$5,F29=Naturezas!$B$17,F29=Naturezas!$B$18,F29=Naturezas!$B$19),H29,-H29),"")</f>
        <v/>
      </c>
      <c r="V29" s="4" t="str">
        <f t="shared" si="1"/>
        <v/>
      </c>
      <c r="W29" s="4"/>
      <c r="X29" s="4" t="str">
        <f t="shared" si="2"/>
        <v/>
      </c>
      <c r="Y29" s="6" t="str">
        <f>IF(F29&lt;&gt;"",Tabela1[[#This Row],[Iniciais]],"")</f>
        <v/>
      </c>
      <c r="AA29" s="6" t="str">
        <f>IF($F29&lt;&gt;"",RIGHT(Tabela1[[#This Row],[Ref.]],2),"")</f>
        <v/>
      </c>
      <c r="AB29" s="46" t="str">
        <f>IF($F29&lt;&gt;"",DATE(LEFT(Tabela1[[#This Row],[Ref.]],4),RIGHT(Tabela1[[#This Row],[Ref.]],2),1),"")</f>
        <v/>
      </c>
      <c r="AC29" s="4" t="str">
        <f t="shared" si="3"/>
        <v/>
      </c>
      <c r="AD29" s="5" t="str">
        <f t="shared" si="4"/>
        <v/>
      </c>
      <c r="AE29" s="4"/>
      <c r="AF29" s="6" t="str">
        <f t="shared" si="5"/>
        <v/>
      </c>
    </row>
    <row r="30" spans="1:34" ht="15.75" customHeight="1" x14ac:dyDescent="0.2">
      <c r="A30" s="42"/>
      <c r="B30" s="44"/>
      <c r="C30" s="41"/>
      <c r="D30" s="41"/>
      <c r="E30" s="41"/>
      <c r="F30" s="11"/>
      <c r="G30" s="11"/>
      <c r="H30" s="43"/>
      <c r="I30" s="2"/>
      <c r="J30" s="31"/>
      <c r="K30" s="36"/>
      <c r="L30" s="9"/>
      <c r="M30" s="31"/>
      <c r="N30" s="31"/>
      <c r="O30" s="34"/>
      <c r="P30" s="3"/>
      <c r="Q30" s="6" t="str">
        <f>IF($F30&lt;&gt;"",RIGHT(Tabela1[[#This Row],[Ref.]],2),"")</f>
        <v/>
      </c>
      <c r="R30" s="6" t="str">
        <f t="shared" si="0"/>
        <v/>
      </c>
      <c r="S30" s="4" t="str">
        <f>IF($F30&lt;&gt;"",_xlfn.XLOOKUP(F30,Naturezas!B:B,Naturezas!E:E,"",0,1),"")</f>
        <v/>
      </c>
      <c r="T30" s="4" t="str">
        <f>IF($F30&lt;&gt;"",_xlfn.XLOOKUP($F30,Naturezas!B:B,Naturezas!D:D,"",0,1),"")</f>
        <v/>
      </c>
      <c r="U30" s="5" t="str">
        <f>IF(F30&lt;&gt;"",IF(OR(F30=Naturezas!$B$3,F30=Naturezas!$B$4,F30=Naturezas!$B$5,F30=Naturezas!$B$17,F30=Naturezas!$B$18,F30=Naturezas!$B$19),H30,-H30),"")</f>
        <v/>
      </c>
      <c r="V30" s="4" t="str">
        <f t="shared" si="1"/>
        <v/>
      </c>
      <c r="W30" s="4"/>
      <c r="X30" s="4" t="str">
        <f t="shared" si="2"/>
        <v/>
      </c>
      <c r="Y30" s="6" t="str">
        <f>IF(F30&lt;&gt;"",Tabela1[[#This Row],[Iniciais]],"")</f>
        <v/>
      </c>
      <c r="AA30" s="6" t="str">
        <f>IF($F30&lt;&gt;"",RIGHT(Tabela1[[#This Row],[Ref.]],2),"")</f>
        <v/>
      </c>
      <c r="AB30" s="46" t="str">
        <f>IF($F30&lt;&gt;"",DATE(LEFT(Tabela1[[#This Row],[Ref.]],4),RIGHT(Tabela1[[#This Row],[Ref.]],2),1),"")</f>
        <v/>
      </c>
      <c r="AC30" s="4" t="str">
        <f t="shared" si="3"/>
        <v/>
      </c>
      <c r="AD30" s="5" t="str">
        <f t="shared" si="4"/>
        <v/>
      </c>
      <c r="AE30" s="4"/>
      <c r="AF30" s="6" t="str">
        <f t="shared" si="5"/>
        <v/>
      </c>
    </row>
    <row r="31" spans="1:34" ht="15.75" customHeight="1" x14ac:dyDescent="0.2">
      <c r="A31" s="42"/>
      <c r="B31" s="44"/>
      <c r="C31" s="41"/>
      <c r="D31" s="41"/>
      <c r="E31" s="41"/>
      <c r="F31" s="11"/>
      <c r="G31" s="11"/>
      <c r="H31" s="43"/>
      <c r="I31" s="2"/>
      <c r="J31" s="31"/>
      <c r="K31" s="36"/>
      <c r="L31" s="9"/>
      <c r="M31" s="31"/>
      <c r="N31" s="31"/>
      <c r="O31" s="34"/>
      <c r="P31" s="3"/>
      <c r="Q31" s="6" t="str">
        <f>IF($F31&lt;&gt;"",RIGHT(Tabela1[[#This Row],[Ref.]],2),"")</f>
        <v/>
      </c>
      <c r="R31" s="6" t="str">
        <f t="shared" si="0"/>
        <v/>
      </c>
      <c r="S31" s="4" t="str">
        <f>IF($F31&lt;&gt;"",_xlfn.XLOOKUP(F31,Naturezas!B:B,Naturezas!E:E,"",0,1),"")</f>
        <v/>
      </c>
      <c r="T31" s="4" t="str">
        <f>IF($F31&lt;&gt;"",_xlfn.XLOOKUP($F31,Naturezas!B:B,Naturezas!D:D,"",0,1),"")</f>
        <v/>
      </c>
      <c r="U31" s="5" t="str">
        <f>IF(F31&lt;&gt;"",IF(OR(F31=Naturezas!$B$3,F31=Naturezas!$B$4,F31=Naturezas!$B$5,F31=Naturezas!$B$17,F31=Naturezas!$B$18,F31=Naturezas!$B$19),H31,-H31),"")</f>
        <v/>
      </c>
      <c r="V31" s="4" t="str">
        <f t="shared" si="1"/>
        <v/>
      </c>
      <c r="W31" s="4"/>
      <c r="X31" s="4" t="str">
        <f t="shared" si="2"/>
        <v/>
      </c>
      <c r="Y31" s="6" t="str">
        <f>IF(F31&lt;&gt;"",Tabela1[[#This Row],[Iniciais]],"")</f>
        <v/>
      </c>
      <c r="AA31" s="6" t="str">
        <f>IF($F31&lt;&gt;"",RIGHT(Tabela1[[#This Row],[Ref.]],2),"")</f>
        <v/>
      </c>
      <c r="AB31" s="46" t="str">
        <f>IF($F31&lt;&gt;"",DATE(LEFT(Tabela1[[#This Row],[Ref.]],4),RIGHT(Tabela1[[#This Row],[Ref.]],2),1),"")</f>
        <v/>
      </c>
      <c r="AC31" s="4" t="str">
        <f t="shared" si="3"/>
        <v/>
      </c>
      <c r="AD31" s="5" t="str">
        <f t="shared" si="4"/>
        <v/>
      </c>
      <c r="AE31" s="4"/>
      <c r="AF31" s="6" t="str">
        <f t="shared" si="5"/>
        <v/>
      </c>
    </row>
    <row r="32" spans="1:34" ht="15.75" customHeight="1" x14ac:dyDescent="0.2">
      <c r="A32" s="42"/>
      <c r="B32" s="44"/>
      <c r="C32" s="41"/>
      <c r="D32" s="41"/>
      <c r="E32" s="41"/>
      <c r="F32" s="11"/>
      <c r="G32" s="11"/>
      <c r="H32" s="43"/>
      <c r="I32" s="2"/>
      <c r="J32" s="31"/>
      <c r="K32" s="36"/>
      <c r="L32" s="9"/>
      <c r="M32" s="31"/>
      <c r="N32" s="31"/>
      <c r="O32" s="34"/>
      <c r="P32" s="3"/>
      <c r="Q32" s="6" t="str">
        <f>IF($F32&lt;&gt;"",RIGHT(Tabela1[[#This Row],[Ref.]],2),"")</f>
        <v/>
      </c>
      <c r="R32" s="6" t="str">
        <f t="shared" si="0"/>
        <v/>
      </c>
      <c r="S32" s="4" t="str">
        <f>IF($F32&lt;&gt;"",_xlfn.XLOOKUP(F32,Naturezas!B:B,Naturezas!E:E,"",0,1),"")</f>
        <v/>
      </c>
      <c r="T32" s="4" t="str">
        <f>IF($F32&lt;&gt;"",_xlfn.XLOOKUP($F32,Naturezas!B:B,Naturezas!D:D,"",0,1),"")</f>
        <v/>
      </c>
      <c r="U32" s="5" t="str">
        <f>IF(F32&lt;&gt;"",IF(OR(F32=Naturezas!$B$3,F32=Naturezas!$B$4,F32=Naturezas!$B$5,F32=Naturezas!$B$17,F32=Naturezas!$B$18,F32=Naturezas!$B$19),H32,-H32),"")</f>
        <v/>
      </c>
      <c r="V32" s="4" t="str">
        <f t="shared" si="1"/>
        <v/>
      </c>
      <c r="W32" s="4"/>
      <c r="X32" s="4" t="str">
        <f t="shared" si="2"/>
        <v/>
      </c>
      <c r="Y32" s="6" t="str">
        <f>IF(F32&lt;&gt;"",Tabela1[[#This Row],[Iniciais]],"")</f>
        <v/>
      </c>
      <c r="AA32" s="6" t="str">
        <f>IF($F32&lt;&gt;"",RIGHT(Tabela1[[#This Row],[Ref.]],2),"")</f>
        <v/>
      </c>
      <c r="AB32" s="46" t="str">
        <f>IF($F32&lt;&gt;"",DATE(LEFT(Tabela1[[#This Row],[Ref.]],4),RIGHT(Tabela1[[#This Row],[Ref.]],2),1),"")</f>
        <v/>
      </c>
      <c r="AC32" s="4" t="str">
        <f t="shared" si="3"/>
        <v/>
      </c>
      <c r="AD32" s="5" t="str">
        <f t="shared" si="4"/>
        <v/>
      </c>
      <c r="AE32" s="4"/>
      <c r="AF32" s="6" t="str">
        <f t="shared" si="5"/>
        <v/>
      </c>
    </row>
    <row r="33" spans="1:34" ht="15.75" customHeight="1" x14ac:dyDescent="0.2">
      <c r="A33" s="42"/>
      <c r="B33" s="44"/>
      <c r="C33" s="41"/>
      <c r="D33" s="41"/>
      <c r="E33" s="41"/>
      <c r="F33" s="11"/>
      <c r="G33" s="11"/>
      <c r="H33" s="43"/>
      <c r="I33" s="2"/>
      <c r="J33" s="31"/>
      <c r="K33" s="36"/>
      <c r="L33" s="9"/>
      <c r="M33" s="31"/>
      <c r="N33" s="31"/>
      <c r="O33" s="34"/>
      <c r="P33" s="3"/>
      <c r="Q33" s="6" t="str">
        <f>IF($F33&lt;&gt;"",RIGHT(Tabela1[[#This Row],[Ref.]],2),"")</f>
        <v/>
      </c>
      <c r="R33" s="6" t="str">
        <f t="shared" si="0"/>
        <v/>
      </c>
      <c r="S33" s="4" t="str">
        <f>IF($F33&lt;&gt;"",_xlfn.XLOOKUP(F33,Naturezas!B:B,Naturezas!E:E,"",0,1),"")</f>
        <v/>
      </c>
      <c r="T33" s="4" t="str">
        <f>IF($F33&lt;&gt;"",_xlfn.XLOOKUP($F33,Naturezas!B:B,Naturezas!D:D,"",0,1),"")</f>
        <v/>
      </c>
      <c r="U33" s="5" t="str">
        <f>IF(F33&lt;&gt;"",IF(OR(F33=Naturezas!$B$3,F33=Naturezas!$B$4,F33=Naturezas!$B$5,F33=Naturezas!$B$17,F33=Naturezas!$B$18,F33=Naturezas!$B$19),H33,-H33),"")</f>
        <v/>
      </c>
      <c r="V33" s="4" t="str">
        <f t="shared" si="1"/>
        <v/>
      </c>
      <c r="W33" s="4"/>
      <c r="X33" s="4" t="str">
        <f t="shared" si="2"/>
        <v/>
      </c>
      <c r="Y33" s="6" t="str">
        <f>IF(F33&lt;&gt;"",Tabela1[[#This Row],[Iniciais]],"")</f>
        <v/>
      </c>
      <c r="AA33" s="6" t="str">
        <f>IF($F33&lt;&gt;"",RIGHT(Tabela1[[#This Row],[Ref.]],2),"")</f>
        <v/>
      </c>
      <c r="AB33" s="46" t="str">
        <f>IF($F33&lt;&gt;"",DATE(LEFT(Tabela1[[#This Row],[Ref.]],4),RIGHT(Tabela1[[#This Row],[Ref.]],2),1),"")</f>
        <v/>
      </c>
      <c r="AC33" s="4" t="str">
        <f t="shared" si="3"/>
        <v/>
      </c>
      <c r="AD33" s="5" t="str">
        <f t="shared" si="4"/>
        <v/>
      </c>
      <c r="AE33" s="4"/>
      <c r="AF33" s="6" t="str">
        <f t="shared" si="5"/>
        <v/>
      </c>
    </row>
    <row r="34" spans="1:34" ht="15.75" customHeight="1" x14ac:dyDescent="0.2">
      <c r="A34" s="42"/>
      <c r="B34" s="44"/>
      <c r="C34" s="41"/>
      <c r="D34" s="41"/>
      <c r="E34" s="41"/>
      <c r="F34" s="11"/>
      <c r="G34" s="11"/>
      <c r="H34" s="43"/>
      <c r="I34" s="2"/>
      <c r="J34" s="31"/>
      <c r="K34" s="36"/>
      <c r="L34" s="9"/>
      <c r="M34" s="31"/>
      <c r="N34" s="31"/>
      <c r="O34" s="34"/>
      <c r="P34" s="3"/>
      <c r="Q34" s="6" t="str">
        <f>IF($F34&lt;&gt;"",RIGHT(Tabela1[[#This Row],[Ref.]],2),"")</f>
        <v/>
      </c>
      <c r="R34" s="6" t="str">
        <f t="shared" si="0"/>
        <v/>
      </c>
      <c r="S34" s="4" t="str">
        <f>IF($F34&lt;&gt;"",_xlfn.XLOOKUP(F34,Naturezas!B:B,Naturezas!E:E,"",0,1),"")</f>
        <v/>
      </c>
      <c r="T34" s="4" t="str">
        <f>IF($F34&lt;&gt;"",_xlfn.XLOOKUP($F34,Naturezas!B:B,Naturezas!D:D,"",0,1),"")</f>
        <v/>
      </c>
      <c r="U34" s="5" t="str">
        <f>IF(F34&lt;&gt;"",IF(OR(F34=Naturezas!$B$3,F34=Naturezas!$B$4,F34=Naturezas!$B$5,F34=Naturezas!$B$17,F34=Naturezas!$B$18,F34=Naturezas!$B$19),H34,-H34),"")</f>
        <v/>
      </c>
      <c r="V34" s="4" t="str">
        <f t="shared" si="1"/>
        <v/>
      </c>
      <c r="W34" s="4"/>
      <c r="X34" s="4" t="str">
        <f t="shared" si="2"/>
        <v/>
      </c>
      <c r="Y34" s="6" t="str">
        <f>IF(F34&lt;&gt;"",Tabela1[[#This Row],[Iniciais]],"")</f>
        <v/>
      </c>
      <c r="AA34" s="6" t="str">
        <f>IF($F34&lt;&gt;"",RIGHT(Tabela1[[#This Row],[Ref.]],2),"")</f>
        <v/>
      </c>
      <c r="AB34" s="46" t="str">
        <f>IF($F34&lt;&gt;"",DATE(LEFT(Tabela1[[#This Row],[Ref.]],4),RIGHT(Tabela1[[#This Row],[Ref.]],2),1),"")</f>
        <v/>
      </c>
      <c r="AC34" s="4" t="str">
        <f t="shared" si="3"/>
        <v/>
      </c>
      <c r="AD34" s="5" t="str">
        <f t="shared" si="4"/>
        <v/>
      </c>
      <c r="AE34" s="4"/>
      <c r="AF34" s="6" t="str">
        <f t="shared" si="5"/>
        <v/>
      </c>
    </row>
    <row r="35" spans="1:34" ht="15.75" customHeight="1" x14ac:dyDescent="0.2">
      <c r="A35" s="42"/>
      <c r="B35" s="44"/>
      <c r="C35" s="41"/>
      <c r="D35" s="41"/>
      <c r="E35" s="41"/>
      <c r="F35" s="11"/>
      <c r="G35" s="11"/>
      <c r="H35" s="43"/>
      <c r="I35" s="2"/>
      <c r="J35" s="31"/>
      <c r="K35" s="36"/>
      <c r="L35" s="9"/>
      <c r="M35" s="31"/>
      <c r="N35" s="31"/>
      <c r="O35" s="34"/>
      <c r="P35" s="3"/>
      <c r="Q35" s="6" t="str">
        <f>IF($F35&lt;&gt;"",RIGHT(Tabela1[[#This Row],[Ref.]],2),"")</f>
        <v/>
      </c>
      <c r="R35" s="6" t="str">
        <f t="shared" si="0"/>
        <v/>
      </c>
      <c r="S35" s="4" t="str">
        <f>IF($F35&lt;&gt;"",_xlfn.XLOOKUP(F35,Naturezas!B:B,Naturezas!E:E,"",0,1),"")</f>
        <v/>
      </c>
      <c r="T35" s="4" t="str">
        <f>IF($F35&lt;&gt;"",_xlfn.XLOOKUP($F35,Naturezas!B:B,Naturezas!D:D,"",0,1),"")</f>
        <v/>
      </c>
      <c r="U35" s="5" t="str">
        <f>IF(F35&lt;&gt;"",IF(OR(F35=Naturezas!$B$3,F35=Naturezas!$B$4,F35=Naturezas!$B$5,F35=Naturezas!$B$17,F35=Naturezas!$B$18,F35=Naturezas!$B$19),H35,-H35),"")</f>
        <v/>
      </c>
      <c r="V35" s="4" t="str">
        <f t="shared" si="1"/>
        <v/>
      </c>
      <c r="W35" s="4"/>
      <c r="X35" s="4" t="str">
        <f t="shared" si="2"/>
        <v/>
      </c>
      <c r="Y35" s="6" t="str">
        <f>IF(F35&lt;&gt;"",Tabela1[[#This Row],[Iniciais]],"")</f>
        <v/>
      </c>
      <c r="AA35" s="6" t="str">
        <f>IF($F35&lt;&gt;"",RIGHT(Tabela1[[#This Row],[Ref.]],2),"")</f>
        <v/>
      </c>
      <c r="AB35" s="46" t="str">
        <f>IF($F35&lt;&gt;"",DATE(LEFT(Tabela1[[#This Row],[Ref.]],4),RIGHT(Tabela1[[#This Row],[Ref.]],2),1),"")</f>
        <v/>
      </c>
      <c r="AC35" s="4" t="str">
        <f t="shared" si="3"/>
        <v/>
      </c>
      <c r="AD35" s="5" t="str">
        <f t="shared" si="4"/>
        <v/>
      </c>
      <c r="AE35" s="4"/>
      <c r="AF35" s="6" t="str">
        <f t="shared" si="5"/>
        <v/>
      </c>
    </row>
    <row r="36" spans="1:34" ht="15.75" customHeight="1" x14ac:dyDescent="0.2">
      <c r="A36" s="42"/>
      <c r="B36" s="44"/>
      <c r="C36" s="41"/>
      <c r="D36" s="41"/>
      <c r="E36" s="41"/>
      <c r="F36" s="11"/>
      <c r="G36" s="11"/>
      <c r="H36" s="43"/>
      <c r="I36" s="2"/>
      <c r="J36" s="31"/>
      <c r="K36" s="36"/>
      <c r="L36" s="9"/>
      <c r="M36" s="31"/>
      <c r="N36" s="31"/>
      <c r="O36" s="34"/>
      <c r="P36" s="3"/>
      <c r="Q36" s="6" t="str">
        <f>IF($F36&lt;&gt;"",RIGHT(Tabela1[[#This Row],[Ref.]],2),"")</f>
        <v/>
      </c>
      <c r="R36" s="6" t="str">
        <f t="shared" si="0"/>
        <v/>
      </c>
      <c r="S36" s="4" t="str">
        <f>IF($F36&lt;&gt;"",_xlfn.XLOOKUP(F36,Naturezas!B:B,Naturezas!E:E,"",0,1),"")</f>
        <v/>
      </c>
      <c r="T36" s="4" t="str">
        <f>IF($F36&lt;&gt;"",_xlfn.XLOOKUP($F36,Naturezas!B:B,Naturezas!D:D,"",0,1),"")</f>
        <v/>
      </c>
      <c r="U36" s="5" t="str">
        <f>IF(F36&lt;&gt;"",IF(OR(F36=Naturezas!$B$3,F36=Naturezas!$B$4,F36=Naturezas!$B$5,F36=Naturezas!$B$17,F36=Naturezas!$B$18,F36=Naturezas!$B$19),H36,-H36),"")</f>
        <v/>
      </c>
      <c r="V36" s="4" t="str">
        <f t="shared" si="1"/>
        <v/>
      </c>
      <c r="W36" s="4"/>
      <c r="X36" s="4" t="str">
        <f t="shared" si="2"/>
        <v/>
      </c>
      <c r="Y36" s="6" t="str">
        <f>IF(F36&lt;&gt;"",Tabela1[[#This Row],[Iniciais]],"")</f>
        <v/>
      </c>
      <c r="AA36" s="6" t="str">
        <f>IF($F36&lt;&gt;"",RIGHT(Tabela1[[#This Row],[Ref.]],2),"")</f>
        <v/>
      </c>
      <c r="AB36" s="46" t="str">
        <f>IF($F36&lt;&gt;"",DATE(LEFT(Tabela1[[#This Row],[Ref.]],4),RIGHT(Tabela1[[#This Row],[Ref.]],2),1),"")</f>
        <v/>
      </c>
      <c r="AC36" s="4" t="str">
        <f t="shared" si="3"/>
        <v/>
      </c>
      <c r="AD36" s="5" t="str">
        <f t="shared" si="4"/>
        <v/>
      </c>
      <c r="AE36" s="4"/>
      <c r="AF36" s="6" t="str">
        <f t="shared" si="5"/>
        <v/>
      </c>
    </row>
    <row r="37" spans="1:34" ht="15.75" customHeight="1" x14ac:dyDescent="0.2">
      <c r="A37" s="42"/>
      <c r="B37" s="44"/>
      <c r="C37" s="41"/>
      <c r="D37" s="41"/>
      <c r="E37" s="41"/>
      <c r="F37" s="11"/>
      <c r="G37" s="11"/>
      <c r="H37" s="43"/>
      <c r="I37" s="2"/>
      <c r="J37" s="31"/>
      <c r="K37" s="36"/>
      <c r="L37" s="9"/>
      <c r="M37" s="31"/>
      <c r="N37" s="31"/>
      <c r="O37" s="34"/>
      <c r="P37" s="3"/>
      <c r="Q37" s="6" t="str">
        <f>IF($F37&lt;&gt;"",RIGHT(Tabela1[[#This Row],[Ref.]],2),"")</f>
        <v/>
      </c>
      <c r="R37" s="6" t="str">
        <f t="shared" si="0"/>
        <v/>
      </c>
      <c r="S37" s="4" t="str">
        <f>IF($F37&lt;&gt;"",_xlfn.XLOOKUP(F37,Naturezas!B:B,Naturezas!E:E,"",0,1),"")</f>
        <v/>
      </c>
      <c r="T37" s="4" t="str">
        <f>IF($F37&lt;&gt;"",_xlfn.XLOOKUP($F37,Naturezas!B:B,Naturezas!D:D,"",0,1),"")</f>
        <v/>
      </c>
      <c r="U37" s="5" t="str">
        <f>IF(F37&lt;&gt;"",IF(OR(F37=Naturezas!$B$3,F37=Naturezas!$B$4,F37=Naturezas!$B$5,F37=Naturezas!$B$17,F37=Naturezas!$B$18,F37=Naturezas!$B$19),H37,-H37),"")</f>
        <v/>
      </c>
      <c r="V37" s="4" t="str">
        <f t="shared" si="1"/>
        <v/>
      </c>
      <c r="W37" s="4"/>
      <c r="X37" s="4" t="str">
        <f t="shared" si="2"/>
        <v/>
      </c>
      <c r="Y37" s="6" t="str">
        <f>IF(F37&lt;&gt;"",Tabela1[[#This Row],[Iniciais]],"")</f>
        <v/>
      </c>
      <c r="AA37" s="6" t="str">
        <f>IF($F37&lt;&gt;"",RIGHT(Tabela1[[#This Row],[Ref.]],2),"")</f>
        <v/>
      </c>
      <c r="AB37" s="46" t="str">
        <f>IF($F37&lt;&gt;"",DATE(LEFT(Tabela1[[#This Row],[Ref.]],4),RIGHT(Tabela1[[#This Row],[Ref.]],2),1),"")</f>
        <v/>
      </c>
      <c r="AC37" s="4" t="str">
        <f t="shared" si="3"/>
        <v/>
      </c>
      <c r="AD37" s="5" t="str">
        <f t="shared" si="4"/>
        <v/>
      </c>
      <c r="AE37" s="4"/>
      <c r="AF37" s="6" t="str">
        <f t="shared" si="5"/>
        <v/>
      </c>
    </row>
    <row r="38" spans="1:34" ht="15.75" customHeight="1" x14ac:dyDescent="0.2">
      <c r="A38" s="42"/>
      <c r="B38" s="44"/>
      <c r="C38" s="41"/>
      <c r="D38" s="41"/>
      <c r="E38" s="41"/>
      <c r="F38" s="11"/>
      <c r="G38" s="11"/>
      <c r="H38" s="43"/>
      <c r="I38" s="2"/>
      <c r="J38" s="29"/>
      <c r="K38" s="36"/>
      <c r="L38" s="9"/>
      <c r="M38" s="31"/>
      <c r="N38" s="31"/>
      <c r="O38" s="34"/>
      <c r="P38" s="3"/>
      <c r="Q38" s="6" t="str">
        <f>IF($F38&lt;&gt;"",RIGHT(Tabela1[[#This Row],[Ref.]],2),"")</f>
        <v/>
      </c>
      <c r="R38" s="6" t="str">
        <f t="shared" si="0"/>
        <v/>
      </c>
      <c r="S38" s="4" t="str">
        <f>IF($F38&lt;&gt;"",_xlfn.XLOOKUP(F38,Naturezas!B:B,Naturezas!E:E,"",0,1),"")</f>
        <v/>
      </c>
      <c r="T38" s="4" t="str">
        <f>IF($F38&lt;&gt;"",_xlfn.XLOOKUP($F38,Naturezas!B:B,Naturezas!D:D,"",0,1),"")</f>
        <v/>
      </c>
      <c r="U38" s="5" t="str">
        <f>IF(F38&lt;&gt;"",IF(OR(F38=Naturezas!$B$3,F38=Naturezas!$B$4,F38=Naturezas!$B$5,F38=Naturezas!$B$17,F38=Naturezas!$B$18,F38=Naturezas!$B$19),H38,-H38),"")</f>
        <v/>
      </c>
      <c r="V38" s="4" t="str">
        <f t="shared" si="1"/>
        <v/>
      </c>
      <c r="W38" s="4"/>
      <c r="X38" s="4" t="str">
        <f t="shared" si="2"/>
        <v/>
      </c>
      <c r="Y38" s="6" t="str">
        <f>IF(F38&lt;&gt;"",Tabela1[[#This Row],[Iniciais]],"")</f>
        <v/>
      </c>
      <c r="AA38" s="6" t="str">
        <f>IF($F38&lt;&gt;"",RIGHT(Tabela1[[#This Row],[Ref.]],2),"")</f>
        <v/>
      </c>
      <c r="AB38" s="46" t="str">
        <f>IF($F38&lt;&gt;"",DATE(LEFT(Tabela1[[#This Row],[Ref.]],4),RIGHT(Tabela1[[#This Row],[Ref.]],2),1),"")</f>
        <v/>
      </c>
      <c r="AC38" s="4" t="str">
        <f t="shared" si="3"/>
        <v/>
      </c>
      <c r="AD38" s="5" t="str">
        <f t="shared" si="4"/>
        <v/>
      </c>
      <c r="AE38" s="4"/>
      <c r="AF38" s="6" t="str">
        <f t="shared" si="5"/>
        <v/>
      </c>
    </row>
    <row r="39" spans="1:34" ht="15.75" customHeight="1" x14ac:dyDescent="0.2">
      <c r="A39" s="42"/>
      <c r="B39" s="44"/>
      <c r="C39" s="41"/>
      <c r="D39" s="41"/>
      <c r="E39" s="41"/>
      <c r="F39" s="11"/>
      <c r="G39" s="11"/>
      <c r="H39" s="43"/>
      <c r="I39" s="2"/>
      <c r="J39" s="2"/>
      <c r="K39" s="26"/>
      <c r="L39" s="9"/>
      <c r="M39" s="31"/>
      <c r="N39" s="31"/>
      <c r="O39" s="34"/>
      <c r="P39" s="3"/>
      <c r="Q39" s="6" t="str">
        <f>IF($F39&lt;&gt;"",RIGHT(Tabela1[[#This Row],[Ref.]],2),"")</f>
        <v/>
      </c>
      <c r="R39" s="6" t="str">
        <f t="shared" si="0"/>
        <v/>
      </c>
      <c r="S39" s="4" t="str">
        <f>IF($F39&lt;&gt;"",_xlfn.XLOOKUP(F39,Naturezas!B:B,Naturezas!E:E,"",0,1),"")</f>
        <v/>
      </c>
      <c r="T39" s="4" t="str">
        <f>IF($F39&lt;&gt;"",_xlfn.XLOOKUP($F39,Naturezas!B:B,Naturezas!D:D,"",0,1),"")</f>
        <v/>
      </c>
      <c r="U39" s="5" t="str">
        <f>IF(F39&lt;&gt;"",IF(OR(F39=Naturezas!$B$3,F39=Naturezas!$B$4,F39=Naturezas!$B$5,F39=Naturezas!$B$17,F39=Naturezas!$B$18,F39=Naturezas!$B$19),H39,-H39),"")</f>
        <v/>
      </c>
      <c r="V39" s="4" t="str">
        <f t="shared" si="1"/>
        <v/>
      </c>
      <c r="W39" s="4"/>
      <c r="X39" s="4" t="str">
        <f t="shared" si="2"/>
        <v/>
      </c>
      <c r="Y39" s="6" t="str">
        <f>IF(F39&lt;&gt;"",Tabela1[[#This Row],[Iniciais]],"")</f>
        <v/>
      </c>
      <c r="Z39" s="3"/>
      <c r="AA39" s="6" t="str">
        <f>IF($F39&lt;&gt;"",RIGHT(Tabela1[[#This Row],[Ref.]],2),"")</f>
        <v/>
      </c>
      <c r="AB39" s="46" t="str">
        <f>IF($F39&lt;&gt;"",DATE(LEFT(Tabela1[[#This Row],[Ref.]],4),RIGHT(Tabela1[[#This Row],[Ref.]],2),1),"")</f>
        <v/>
      </c>
      <c r="AC39" s="4" t="str">
        <f t="shared" si="3"/>
        <v/>
      </c>
      <c r="AD39" s="5" t="str">
        <f t="shared" si="4"/>
        <v/>
      </c>
      <c r="AE39" s="4"/>
      <c r="AF39" s="6" t="str">
        <f t="shared" si="5"/>
        <v/>
      </c>
    </row>
    <row r="40" spans="1:34" ht="15.75" customHeight="1" x14ac:dyDescent="0.2">
      <c r="A40" s="42"/>
      <c r="B40" s="44"/>
      <c r="C40" s="41"/>
      <c r="D40" s="41"/>
      <c r="E40" s="41"/>
      <c r="F40" s="11"/>
      <c r="G40" s="11"/>
      <c r="H40" s="43"/>
      <c r="I40" s="2"/>
      <c r="J40" s="2"/>
      <c r="K40" s="26"/>
      <c r="L40" s="9"/>
      <c r="M40" s="31"/>
      <c r="N40" s="31"/>
      <c r="O40" s="34"/>
      <c r="P40" s="3"/>
      <c r="Q40" s="6" t="str">
        <f>IF($F40&lt;&gt;"",RIGHT(Tabela1[[#This Row],[Ref.]],2),"")</f>
        <v/>
      </c>
      <c r="R40" s="6" t="str">
        <f t="shared" si="0"/>
        <v/>
      </c>
      <c r="S40" s="4" t="str">
        <f>IF($F40&lt;&gt;"",_xlfn.XLOOKUP(F40,Naturezas!B:B,Naturezas!E:E,"",0,1),"")</f>
        <v/>
      </c>
      <c r="T40" s="4" t="str">
        <f>IF($F40&lt;&gt;"",_xlfn.XLOOKUP($F40,Naturezas!B:B,Naturezas!D:D,"",0,1),"")</f>
        <v/>
      </c>
      <c r="U40" s="5" t="str">
        <f>IF(F40&lt;&gt;"",IF(OR(F40=Naturezas!$B$3,F40=Naturezas!$B$4,F40=Naturezas!$B$5,F40=Naturezas!$B$17,F40=Naturezas!$B$18,F40=Naturezas!$B$19),H40,-H40),"")</f>
        <v/>
      </c>
      <c r="V40" s="4" t="str">
        <f t="shared" si="1"/>
        <v/>
      </c>
      <c r="W40" s="4"/>
      <c r="X40" s="4" t="str">
        <f t="shared" si="2"/>
        <v/>
      </c>
      <c r="Y40" s="6" t="str">
        <f>IF(F40&lt;&gt;"",Tabela1[[#This Row],[Iniciais]],"")</f>
        <v/>
      </c>
      <c r="Z40" s="3"/>
      <c r="AA40" s="6" t="str">
        <f>IF($F40&lt;&gt;"",RIGHT(Tabela1[[#This Row],[Ref.]],2),"")</f>
        <v/>
      </c>
      <c r="AB40" s="46" t="str">
        <f>IF($F40&lt;&gt;"",DATE(LEFT(Tabela1[[#This Row],[Ref.]],4),RIGHT(Tabela1[[#This Row],[Ref.]],2),1),"")</f>
        <v/>
      </c>
      <c r="AC40" s="4" t="str">
        <f t="shared" si="3"/>
        <v/>
      </c>
      <c r="AD40" s="5" t="str">
        <f t="shared" si="4"/>
        <v/>
      </c>
      <c r="AE40" s="4"/>
      <c r="AF40" s="6" t="str">
        <f t="shared" si="5"/>
        <v/>
      </c>
    </row>
    <row r="41" spans="1:34" ht="15.75" customHeight="1" x14ac:dyDescent="0.2">
      <c r="A41" s="42"/>
      <c r="B41" s="44"/>
      <c r="C41" s="41"/>
      <c r="D41" s="41"/>
      <c r="E41" s="41"/>
      <c r="F41" s="11"/>
      <c r="G41" s="11"/>
      <c r="H41" s="43"/>
      <c r="I41" s="2"/>
      <c r="J41" s="2"/>
      <c r="K41" s="26"/>
      <c r="L41" s="9"/>
      <c r="M41" s="31"/>
      <c r="N41" s="31"/>
      <c r="O41" s="34"/>
      <c r="P41" s="3"/>
      <c r="Q41" s="6" t="str">
        <f>IF($F41&lt;&gt;"",RIGHT(Tabela1[[#This Row],[Ref.]],2),"")</f>
        <v/>
      </c>
      <c r="R41" s="6" t="str">
        <f t="shared" si="0"/>
        <v/>
      </c>
      <c r="S41" s="4" t="str">
        <f>IF($F41&lt;&gt;"",_xlfn.XLOOKUP(F41,Naturezas!B:B,Naturezas!E:E,"",0,1),"")</f>
        <v/>
      </c>
      <c r="T41" s="4" t="str">
        <f>IF($F41&lt;&gt;"",_xlfn.XLOOKUP($F41,Naturezas!B:B,Naturezas!D:D,"",0,1),"")</f>
        <v/>
      </c>
      <c r="U41" s="5" t="str">
        <f>IF(F41&lt;&gt;"",IF(OR(F41=Naturezas!$B$3,F41=Naturezas!$B$4,F41=Naturezas!$B$5,F41=Naturezas!$B$17,F41=Naturezas!$B$18,F41=Naturezas!$B$19),H41,-H41),"")</f>
        <v/>
      </c>
      <c r="V41" s="4" t="str">
        <f t="shared" si="1"/>
        <v/>
      </c>
      <c r="W41" s="4"/>
      <c r="X41" s="4" t="str">
        <f t="shared" si="2"/>
        <v/>
      </c>
      <c r="Y41" s="6" t="str">
        <f>IF(F41&lt;&gt;"",Tabela1[[#This Row],[Iniciais]],"")</f>
        <v/>
      </c>
      <c r="Z41" s="3"/>
      <c r="AA41" s="6" t="str">
        <f>IF($F41&lt;&gt;"",RIGHT(Tabela1[[#This Row],[Ref.]],2),"")</f>
        <v/>
      </c>
      <c r="AB41" s="46" t="str">
        <f>IF($F41&lt;&gt;"",DATE(LEFT(Tabela1[[#This Row],[Ref.]],4),RIGHT(Tabela1[[#This Row],[Ref.]],2),1),"")</f>
        <v/>
      </c>
      <c r="AC41" s="4" t="str">
        <f t="shared" si="3"/>
        <v/>
      </c>
      <c r="AD41" s="5" t="str">
        <f t="shared" si="4"/>
        <v/>
      </c>
      <c r="AE41" s="4"/>
      <c r="AF41" s="6" t="str">
        <f t="shared" si="5"/>
        <v/>
      </c>
    </row>
    <row r="42" spans="1:34" ht="15.75" customHeight="1" x14ac:dyDescent="0.2">
      <c r="A42" s="42"/>
      <c r="B42" s="44"/>
      <c r="C42" s="41"/>
      <c r="D42" s="41"/>
      <c r="E42" s="41"/>
      <c r="F42" s="11"/>
      <c r="G42" s="11"/>
      <c r="H42" s="43"/>
      <c r="I42" s="2"/>
      <c r="J42" s="2"/>
      <c r="K42" s="26"/>
      <c r="L42" s="9"/>
      <c r="M42" s="31"/>
      <c r="N42" s="31"/>
      <c r="O42" s="34"/>
      <c r="P42" s="3"/>
      <c r="Q42" s="6" t="str">
        <f>IF($F42&lt;&gt;"",RIGHT(Tabela1[[#This Row],[Ref.]],2),"")</f>
        <v/>
      </c>
      <c r="R42" s="6" t="str">
        <f t="shared" si="0"/>
        <v/>
      </c>
      <c r="S42" s="4" t="str">
        <f>IF($F42&lt;&gt;"",_xlfn.XLOOKUP(F42,Naturezas!B:B,Naturezas!E:E,"",0,1),"")</f>
        <v/>
      </c>
      <c r="T42" s="4" t="str">
        <f>IF($F42&lt;&gt;"",_xlfn.XLOOKUP($F42,Naturezas!B:B,Naturezas!D:D,"",0,1),"")</f>
        <v/>
      </c>
      <c r="U42" s="5" t="str">
        <f>IF(F42&lt;&gt;"",IF(OR(F42=Naturezas!$B$3,F42=Naturezas!$B$4,F42=Naturezas!$B$5,F42=Naturezas!$B$17,F42=Naturezas!$B$18,F42=Naturezas!$B$19),H42,-H42),"")</f>
        <v/>
      </c>
      <c r="V42" s="4" t="str">
        <f t="shared" si="1"/>
        <v/>
      </c>
      <c r="W42" s="4"/>
      <c r="X42" s="4" t="str">
        <f t="shared" si="2"/>
        <v/>
      </c>
      <c r="Y42" s="6" t="str">
        <f>IF(F42&lt;&gt;"",Tabela1[[#This Row],[Iniciais]],"")</f>
        <v/>
      </c>
      <c r="Z42" s="3"/>
      <c r="AA42" s="6" t="str">
        <f>IF($F42&lt;&gt;"",RIGHT(Tabela1[[#This Row],[Ref.]],2),"")</f>
        <v/>
      </c>
      <c r="AB42" s="46" t="str">
        <f>IF($F42&lt;&gt;"",DATE(LEFT(Tabela1[[#This Row],[Ref.]],4),RIGHT(Tabela1[[#This Row],[Ref.]],2),1),"")</f>
        <v/>
      </c>
      <c r="AC42" s="4" t="str">
        <f t="shared" si="3"/>
        <v/>
      </c>
      <c r="AD42" s="5" t="str">
        <f t="shared" si="4"/>
        <v/>
      </c>
      <c r="AE42" s="4"/>
      <c r="AF42" s="6" t="str">
        <f t="shared" si="5"/>
        <v/>
      </c>
    </row>
    <row r="43" spans="1:34" ht="15.75" customHeight="1" x14ac:dyDescent="0.2">
      <c r="A43" s="42"/>
      <c r="B43" s="44"/>
      <c r="C43" s="41"/>
      <c r="D43" s="41"/>
      <c r="E43" s="41"/>
      <c r="F43" s="11"/>
      <c r="G43" s="11"/>
      <c r="H43" s="43"/>
      <c r="I43" s="2"/>
      <c r="J43" s="2"/>
      <c r="K43" s="26"/>
      <c r="L43" s="9"/>
      <c r="M43" s="31"/>
      <c r="N43" s="31"/>
      <c r="O43" s="34"/>
      <c r="P43" s="3"/>
      <c r="Q43" s="6" t="str">
        <f>IF($F43&lt;&gt;"",RIGHT(Tabela1[[#This Row],[Ref.]],2),"")</f>
        <v/>
      </c>
      <c r="R43" s="6" t="str">
        <f t="shared" si="0"/>
        <v/>
      </c>
      <c r="S43" s="4" t="str">
        <f>IF($F43&lt;&gt;"",_xlfn.XLOOKUP(F43,Naturezas!B:B,Naturezas!E:E,"",0,1),"")</f>
        <v/>
      </c>
      <c r="T43" s="4" t="str">
        <f>IF($F43&lt;&gt;"",_xlfn.XLOOKUP($F43,Naturezas!B:B,Naturezas!D:D,"",0,1),"")</f>
        <v/>
      </c>
      <c r="U43" s="5" t="str">
        <f>IF(F43&lt;&gt;"",IF(OR(F43=Naturezas!$B$3,F43=Naturezas!$B$4,F43=Naturezas!$B$5,F43=Naturezas!$B$17,F43=Naturezas!$B$18,F43=Naturezas!$B$19),H43,-H43),"")</f>
        <v/>
      </c>
      <c r="V43" s="4" t="str">
        <f t="shared" si="1"/>
        <v/>
      </c>
      <c r="W43" s="4"/>
      <c r="X43" s="4" t="str">
        <f t="shared" si="2"/>
        <v/>
      </c>
      <c r="Y43" s="6" t="str">
        <f>IF(F43&lt;&gt;"",Tabela1[[#This Row],[Iniciais]],"")</f>
        <v/>
      </c>
      <c r="Z43" s="3"/>
      <c r="AA43" s="6" t="str">
        <f>IF($F43&lt;&gt;"",RIGHT(Tabela1[[#This Row],[Ref.]],2),"")</f>
        <v/>
      </c>
      <c r="AB43" s="46" t="str">
        <f>IF($F43&lt;&gt;"",DATE(LEFT(Tabela1[[#This Row],[Ref.]],4),RIGHT(Tabela1[[#This Row],[Ref.]],2),1),"")</f>
        <v/>
      </c>
      <c r="AC43" s="4" t="str">
        <f t="shared" si="3"/>
        <v/>
      </c>
      <c r="AD43" s="5" t="str">
        <f t="shared" si="4"/>
        <v/>
      </c>
      <c r="AE43" s="4"/>
      <c r="AF43" s="6" t="str">
        <f t="shared" si="5"/>
        <v/>
      </c>
    </row>
    <row r="44" spans="1:34" ht="15.75" customHeight="1" x14ac:dyDescent="0.2">
      <c r="A44" s="42"/>
      <c r="B44" s="44"/>
      <c r="C44" s="41"/>
      <c r="D44" s="41"/>
      <c r="E44" s="41"/>
      <c r="F44" s="11"/>
      <c r="G44" s="11"/>
      <c r="H44" s="43"/>
      <c r="I44" s="2"/>
      <c r="J44" s="2"/>
      <c r="K44" s="26"/>
      <c r="L44" s="9"/>
      <c r="M44" s="31"/>
      <c r="N44" s="31"/>
      <c r="O44" s="34"/>
      <c r="P44" s="3"/>
      <c r="Q44" s="6" t="str">
        <f>IF($F44&lt;&gt;"",RIGHT(Tabela1[[#This Row],[Ref.]],2),"")</f>
        <v/>
      </c>
      <c r="R44" s="6" t="str">
        <f t="shared" si="0"/>
        <v/>
      </c>
      <c r="S44" s="4" t="str">
        <f>IF($F44&lt;&gt;"",_xlfn.XLOOKUP(F44,Naturezas!B:B,Naturezas!E:E,"",0,1),"")</f>
        <v/>
      </c>
      <c r="T44" s="4" t="str">
        <f>IF($F44&lt;&gt;"",_xlfn.XLOOKUP($F44,Naturezas!B:B,Naturezas!D:D,"",0,1),"")</f>
        <v/>
      </c>
      <c r="U44" s="5" t="str">
        <f>IF(F44&lt;&gt;"",IF(OR(F44=Naturezas!$B$3,F44=Naturezas!$B$4,F44=Naturezas!$B$5,F44=Naturezas!$B$17,F44=Naturezas!$B$18,F44=Naturezas!$B$19),H44,-H44),"")</f>
        <v/>
      </c>
      <c r="V44" s="4" t="str">
        <f t="shared" si="1"/>
        <v/>
      </c>
      <c r="W44" s="4"/>
      <c r="X44" s="4" t="str">
        <f t="shared" si="2"/>
        <v/>
      </c>
      <c r="Y44" s="6" t="str">
        <f>IF(F44&lt;&gt;"",Tabela1[[#This Row],[Iniciais]],"")</f>
        <v/>
      </c>
      <c r="Z44" s="3"/>
      <c r="AA44" s="6" t="str">
        <f>IF($F44&lt;&gt;"",RIGHT(Tabela1[[#This Row],[Ref.]],2),"")</f>
        <v/>
      </c>
      <c r="AB44" s="46" t="str">
        <f>IF($F44&lt;&gt;"",DATE(LEFT(Tabela1[[#This Row],[Ref.]],4),RIGHT(Tabela1[[#This Row],[Ref.]],2),1),"")</f>
        <v/>
      </c>
      <c r="AC44" s="4" t="str">
        <f t="shared" si="3"/>
        <v/>
      </c>
      <c r="AD44" s="5" t="str">
        <f t="shared" si="4"/>
        <v/>
      </c>
      <c r="AE44" s="4"/>
      <c r="AF44" s="6" t="str">
        <f t="shared" si="5"/>
        <v/>
      </c>
    </row>
    <row r="45" spans="1:34" ht="15.75" customHeight="1" x14ac:dyDescent="0.2">
      <c r="A45" s="42"/>
      <c r="B45" s="44"/>
      <c r="C45" s="41"/>
      <c r="D45" s="41"/>
      <c r="E45" s="41"/>
      <c r="F45" s="11"/>
      <c r="G45" s="11"/>
      <c r="H45" s="43"/>
      <c r="I45" s="2"/>
      <c r="J45" s="2"/>
      <c r="K45" s="26"/>
      <c r="L45" s="9"/>
      <c r="M45" s="31"/>
      <c r="N45" s="31"/>
      <c r="O45" s="34"/>
      <c r="P45" s="3"/>
      <c r="Q45" s="6" t="str">
        <f>IF($F45&lt;&gt;"",RIGHT(Tabela1[[#This Row],[Ref.]],2),"")</f>
        <v/>
      </c>
      <c r="R45" s="6" t="str">
        <f t="shared" si="0"/>
        <v/>
      </c>
      <c r="S45" s="4" t="str">
        <f>IF($F45&lt;&gt;"",_xlfn.XLOOKUP(F45,Naturezas!B:B,Naturezas!E:E,"",0,1),"")</f>
        <v/>
      </c>
      <c r="T45" s="4" t="str">
        <f>IF($F45&lt;&gt;"",_xlfn.XLOOKUP($F45,Naturezas!B:B,Naturezas!D:D,"",0,1),"")</f>
        <v/>
      </c>
      <c r="U45" s="5" t="str">
        <f>IF(F45&lt;&gt;"",IF(OR(F45=Naturezas!$B$3,F45=Naturezas!$B$4,F45=Naturezas!$B$5,F45=Naturezas!$B$17,F45=Naturezas!$B$18,F45=Naturezas!$B$19),H45,-H45),"")</f>
        <v/>
      </c>
      <c r="V45" s="4" t="str">
        <f t="shared" si="1"/>
        <v/>
      </c>
      <c r="W45" s="4"/>
      <c r="X45" s="4" t="str">
        <f t="shared" si="2"/>
        <v/>
      </c>
      <c r="Y45" s="6" t="str">
        <f>IF(F45&lt;&gt;"",Tabela1[[#This Row],[Iniciais]],"")</f>
        <v/>
      </c>
      <c r="Z45" s="3"/>
      <c r="AA45" s="6" t="str">
        <f>IF($F45&lt;&gt;"",RIGHT(Tabela1[[#This Row],[Ref.]],2),"")</f>
        <v/>
      </c>
      <c r="AB45" s="46" t="str">
        <f>IF($F45&lt;&gt;"",DATE(LEFT(Tabela1[[#This Row],[Ref.]],4),RIGHT(Tabela1[[#This Row],[Ref.]],2),1),"")</f>
        <v/>
      </c>
      <c r="AC45" s="4" t="str">
        <f t="shared" si="3"/>
        <v/>
      </c>
      <c r="AD45" s="5" t="str">
        <f t="shared" si="4"/>
        <v/>
      </c>
      <c r="AE45" s="4"/>
      <c r="AF45" s="6" t="str">
        <f t="shared" si="5"/>
        <v/>
      </c>
    </row>
    <row r="46" spans="1:34" ht="15.75" customHeight="1" x14ac:dyDescent="0.2">
      <c r="A46" s="42"/>
      <c r="B46" s="44"/>
      <c r="C46" s="41"/>
      <c r="D46" s="41"/>
      <c r="E46" s="41"/>
      <c r="F46" s="11"/>
      <c r="G46" s="11"/>
      <c r="H46" s="43"/>
      <c r="I46" s="2"/>
      <c r="J46" s="2"/>
      <c r="K46" s="26"/>
      <c r="L46" s="9"/>
      <c r="M46" s="31"/>
      <c r="N46" s="31"/>
      <c r="O46" s="34"/>
      <c r="P46" s="3"/>
      <c r="Q46" s="6" t="str">
        <f>IF($F46&lt;&gt;"",RIGHT(Tabela1[[#This Row],[Ref.]],2),"")</f>
        <v/>
      </c>
      <c r="R46" s="6" t="str">
        <f t="shared" si="0"/>
        <v/>
      </c>
      <c r="S46" s="4" t="str">
        <f>IF($F46&lt;&gt;"",_xlfn.XLOOKUP(F46,Naturezas!B:B,Naturezas!E:E,"",0,1),"")</f>
        <v/>
      </c>
      <c r="T46" s="4" t="str">
        <f>IF($F46&lt;&gt;"",_xlfn.XLOOKUP($F46,Naturezas!B:B,Naturezas!D:D,"",0,1),"")</f>
        <v/>
      </c>
      <c r="U46" s="5" t="str">
        <f>IF(F46&lt;&gt;"",IF(OR(F46=Naturezas!$B$3,F46=Naturezas!$B$4,F46=Naturezas!$B$5,F46=Naturezas!$B$17,F46=Naturezas!$B$18,F46=Naturezas!$B$19),H46,-H46),"")</f>
        <v/>
      </c>
      <c r="V46" s="4" t="str">
        <f t="shared" si="1"/>
        <v/>
      </c>
      <c r="W46" s="4"/>
      <c r="X46" s="4" t="str">
        <f t="shared" si="2"/>
        <v/>
      </c>
      <c r="Y46" s="6" t="str">
        <f>IF(F46&lt;&gt;"",Tabela1[[#This Row],[Iniciais]],"")</f>
        <v/>
      </c>
      <c r="Z46" s="3"/>
      <c r="AA46" s="6" t="str">
        <f>IF($F46&lt;&gt;"",RIGHT(Tabela1[[#This Row],[Ref.]],2),"")</f>
        <v/>
      </c>
      <c r="AB46" s="46" t="str">
        <f>IF($F46&lt;&gt;"",DATE(LEFT(Tabela1[[#This Row],[Ref.]],4),RIGHT(Tabela1[[#This Row],[Ref.]],2),1),"")</f>
        <v/>
      </c>
      <c r="AC46" s="4" t="str">
        <f t="shared" si="3"/>
        <v/>
      </c>
      <c r="AD46" s="5" t="str">
        <f t="shared" si="4"/>
        <v/>
      </c>
      <c r="AE46" s="4"/>
      <c r="AF46" s="6" t="str">
        <f t="shared" si="5"/>
        <v/>
      </c>
    </row>
    <row r="47" spans="1:34" ht="15.75" customHeight="1" x14ac:dyDescent="0.2">
      <c r="A47" s="42"/>
      <c r="B47" s="44"/>
      <c r="C47" s="41"/>
      <c r="D47" s="41"/>
      <c r="E47" s="41"/>
      <c r="F47" s="11"/>
      <c r="G47" s="11"/>
      <c r="H47" s="43"/>
      <c r="K47" s="25"/>
      <c r="L47" s="9"/>
      <c r="M47" s="31"/>
      <c r="N47" s="31"/>
      <c r="O47" s="34"/>
      <c r="P47" s="3"/>
      <c r="Q47" s="6" t="str">
        <f>IF($F47&lt;&gt;"",RIGHT(Tabela1[[#This Row],[Ref.]],2),"")</f>
        <v/>
      </c>
      <c r="R47" s="6" t="str">
        <f t="shared" si="0"/>
        <v/>
      </c>
      <c r="S47" s="4" t="str">
        <f>IF($F47&lt;&gt;"",_xlfn.XLOOKUP(F47,Naturezas!B:B,Naturezas!E:E,"",0,1),"")</f>
        <v/>
      </c>
      <c r="T47" s="4" t="str">
        <f>IF($F47&lt;&gt;"",_xlfn.XLOOKUP($F47,Naturezas!B:B,Naturezas!D:D,"",0,1),"")</f>
        <v/>
      </c>
      <c r="U47" s="5" t="str">
        <f>IF(F47&lt;&gt;"",IF(OR(F47=Naturezas!$B$3,F47=Naturezas!$B$4,F47=Naturezas!$B$5,F47=Naturezas!$B$17,F47=Naturezas!$B$18,F47=Naturezas!$B$19),H47,-H47),"")</f>
        <v/>
      </c>
      <c r="V47" s="4" t="str">
        <f t="shared" si="1"/>
        <v/>
      </c>
      <c r="W47" s="4"/>
      <c r="X47" s="4" t="str">
        <f t="shared" si="2"/>
        <v/>
      </c>
      <c r="Y47" s="6" t="str">
        <f>IF(F47&lt;&gt;"",Tabela1[[#This Row],[Iniciais]],"")</f>
        <v/>
      </c>
      <c r="Z47" s="3"/>
      <c r="AA47" s="6" t="str">
        <f>IF($F47&lt;&gt;"",RIGHT(Tabela1[[#This Row],[Ref.]],2),"")</f>
        <v/>
      </c>
      <c r="AB47" s="46" t="str">
        <f>IF($F47&lt;&gt;"",DATE(LEFT(Tabela1[[#This Row],[Ref.]],4),RIGHT(Tabela1[[#This Row],[Ref.]],2),1),"")</f>
        <v/>
      </c>
      <c r="AC47" s="4" t="str">
        <f t="shared" si="3"/>
        <v/>
      </c>
      <c r="AD47" s="5" t="str">
        <f t="shared" si="4"/>
        <v/>
      </c>
      <c r="AE47" s="4"/>
      <c r="AF47" s="6" t="str">
        <f t="shared" si="5"/>
        <v/>
      </c>
    </row>
    <row r="48" spans="1:34" ht="15.75" customHeight="1" x14ac:dyDescent="0.2">
      <c r="A48" s="42"/>
      <c r="B48" s="44"/>
      <c r="C48" s="41"/>
      <c r="D48" s="41"/>
      <c r="E48" s="41"/>
      <c r="F48" s="11"/>
      <c r="G48" s="11"/>
      <c r="H48" s="43"/>
      <c r="I48" s="1"/>
      <c r="J48" s="1"/>
      <c r="K48" s="26"/>
      <c r="L48" s="9"/>
      <c r="M48" s="31"/>
      <c r="N48" s="31"/>
      <c r="O48" s="34"/>
      <c r="P48" s="3"/>
      <c r="Q48" s="6" t="str">
        <f>IF($F48&lt;&gt;"",RIGHT(Tabela1[[#This Row],[Ref.]],2),"")</f>
        <v/>
      </c>
      <c r="R48" s="6" t="str">
        <f t="shared" si="0"/>
        <v/>
      </c>
      <c r="S48" s="4" t="str">
        <f>IF($F48&lt;&gt;"",_xlfn.XLOOKUP(F48,Naturezas!B:B,Naturezas!E:E,"",0,1),"")</f>
        <v/>
      </c>
      <c r="T48" s="4" t="str">
        <f>IF($F48&lt;&gt;"",_xlfn.XLOOKUP($F48,Naturezas!B:B,Naturezas!D:D,"",0,1),"")</f>
        <v/>
      </c>
      <c r="U48" s="5" t="str">
        <f>IF(F48&lt;&gt;"",IF(OR(F48=Naturezas!$B$3,F48=Naturezas!$B$4,F48=Naturezas!$B$5,F48=Naturezas!$B$17,F48=Naturezas!$B$18,F48=Naturezas!$B$19),H48,-H48),"")</f>
        <v/>
      </c>
      <c r="V48" s="4" t="str">
        <f t="shared" si="1"/>
        <v/>
      </c>
      <c r="W48" s="4"/>
      <c r="X48" s="4" t="str">
        <f t="shared" si="2"/>
        <v/>
      </c>
      <c r="Y48" s="6" t="str">
        <f>IF(F48&lt;&gt;"",Tabela1[[#This Row],[Iniciais]],"")</f>
        <v/>
      </c>
      <c r="Z48" s="3"/>
      <c r="AA48" s="6" t="str">
        <f>IF($F48&lt;&gt;"",RIGHT(Tabela1[[#This Row],[Ref.]],2),"")</f>
        <v/>
      </c>
      <c r="AB48" s="46" t="str">
        <f>IF($F48&lt;&gt;"",DATE(LEFT(Tabela1[[#This Row],[Ref.]],4),RIGHT(Tabela1[[#This Row],[Ref.]],2),1),"")</f>
        <v/>
      </c>
      <c r="AC48" s="4" t="str">
        <f t="shared" si="3"/>
        <v/>
      </c>
      <c r="AD48" s="5" t="str">
        <f t="shared" si="4"/>
        <v/>
      </c>
      <c r="AE48" s="4"/>
      <c r="AF48" s="6" t="str">
        <f t="shared" si="5"/>
        <v/>
      </c>
      <c r="AG48" s="1"/>
      <c r="AH48" s="1"/>
    </row>
    <row r="49" spans="1:37" ht="15.75" customHeight="1" x14ac:dyDescent="0.2">
      <c r="A49" s="42"/>
      <c r="B49" s="44"/>
      <c r="C49" s="41"/>
      <c r="D49" s="41"/>
      <c r="E49" s="41"/>
      <c r="F49" s="11"/>
      <c r="G49" s="11"/>
      <c r="H49" s="43"/>
      <c r="K49" s="25"/>
      <c r="L49" s="3"/>
      <c r="M49" s="31"/>
      <c r="N49" s="31"/>
      <c r="O49" s="34"/>
      <c r="P49" s="3"/>
      <c r="Q49" s="6" t="str">
        <f>IF($F49&lt;&gt;"",RIGHT(Tabela1[[#This Row],[Ref.]],2),"")</f>
        <v/>
      </c>
      <c r="R49" s="6" t="str">
        <f t="shared" si="0"/>
        <v/>
      </c>
      <c r="S49" s="4" t="str">
        <f>IF($F49&lt;&gt;"",_xlfn.XLOOKUP(F49,Naturezas!B:B,Naturezas!E:E,"",0,1),"")</f>
        <v/>
      </c>
      <c r="T49" s="4" t="str">
        <f>IF($F49&lt;&gt;"",_xlfn.XLOOKUP($F49,Naturezas!B:B,Naturezas!D:D,"",0,1),"")</f>
        <v/>
      </c>
      <c r="U49" s="5" t="str">
        <f>IF(F49&lt;&gt;"",IF(OR(F49=Naturezas!$B$3,F49=Naturezas!$B$4,F49=Naturezas!$B$5,F49=Naturezas!$B$17,F49=Naturezas!$B$18,F49=Naturezas!$B$19),H49,-H49),"")</f>
        <v/>
      </c>
      <c r="V49" s="4" t="str">
        <f t="shared" si="1"/>
        <v/>
      </c>
      <c r="W49" s="4"/>
      <c r="X49" s="4" t="str">
        <f t="shared" si="2"/>
        <v/>
      </c>
      <c r="Y49" s="6" t="str">
        <f>IF(F49&lt;&gt;"",Tabela1[[#This Row],[Iniciais]],"")</f>
        <v/>
      </c>
      <c r="Z49" s="3"/>
      <c r="AA49" s="6" t="str">
        <f>IF($F49&lt;&gt;"",RIGHT(Tabela1[[#This Row],[Ref.]],2),"")</f>
        <v/>
      </c>
      <c r="AB49" s="46" t="str">
        <f>IF($F49&lt;&gt;"",DATE(LEFT(Tabela1[[#This Row],[Ref.]],4),RIGHT(Tabela1[[#This Row],[Ref.]],2),1),"")</f>
        <v/>
      </c>
      <c r="AC49" s="4" t="str">
        <f t="shared" si="3"/>
        <v/>
      </c>
      <c r="AD49" s="5" t="str">
        <f t="shared" si="4"/>
        <v/>
      </c>
      <c r="AE49" s="4"/>
      <c r="AF49" s="6" t="str">
        <f t="shared" si="5"/>
        <v/>
      </c>
    </row>
    <row r="50" spans="1:37" ht="15.75" customHeight="1" x14ac:dyDescent="0.2">
      <c r="A50" s="42"/>
      <c r="B50" s="44"/>
      <c r="C50" s="41"/>
      <c r="D50" s="41"/>
      <c r="E50" s="41"/>
      <c r="F50" s="11"/>
      <c r="G50" s="11"/>
      <c r="H50" s="43"/>
      <c r="K50" s="25"/>
      <c r="L50" s="3"/>
      <c r="M50" s="31"/>
      <c r="N50" s="31"/>
      <c r="O50" s="34"/>
      <c r="P50" s="3"/>
      <c r="Q50" s="6" t="str">
        <f>IF($F50&lt;&gt;"",RIGHT(Tabela1[[#This Row],[Ref.]],2),"")</f>
        <v/>
      </c>
      <c r="R50" s="6" t="str">
        <f t="shared" si="0"/>
        <v/>
      </c>
      <c r="S50" s="4" t="str">
        <f>IF($F50&lt;&gt;"",_xlfn.XLOOKUP(F50,Naturezas!B:B,Naturezas!E:E,"",0,1),"")</f>
        <v/>
      </c>
      <c r="T50" s="4" t="str">
        <f>IF($F50&lt;&gt;"",_xlfn.XLOOKUP($F50,Naturezas!B:B,Naturezas!D:D,"",0,1),"")</f>
        <v/>
      </c>
      <c r="U50" s="5" t="str">
        <f>IF(F50&lt;&gt;"",IF(OR(F50=Naturezas!$B$3,F50=Naturezas!$B$4,F50=Naturezas!$B$5,F50=Naturezas!$B$17,F50=Naturezas!$B$18,F50=Naturezas!$B$19),H50,-H50),"")</f>
        <v/>
      </c>
      <c r="V50" s="4" t="str">
        <f t="shared" si="1"/>
        <v/>
      </c>
      <c r="W50" s="4"/>
      <c r="X50" s="4" t="str">
        <f t="shared" si="2"/>
        <v/>
      </c>
      <c r="Y50" s="6" t="str">
        <f>IF(F50&lt;&gt;"",Tabela1[[#This Row],[Iniciais]],"")</f>
        <v/>
      </c>
      <c r="Z50" s="3"/>
      <c r="AA50" s="6" t="str">
        <f>IF($F50&lt;&gt;"",RIGHT(Tabela1[[#This Row],[Ref.]],2),"")</f>
        <v/>
      </c>
      <c r="AB50" s="46" t="str">
        <f>IF($F50&lt;&gt;"",DATE(LEFT(Tabela1[[#This Row],[Ref.]],4),RIGHT(Tabela1[[#This Row],[Ref.]],2),1),"")</f>
        <v/>
      </c>
      <c r="AC50" s="4" t="str">
        <f t="shared" si="3"/>
        <v/>
      </c>
      <c r="AD50" s="5" t="str">
        <f t="shared" si="4"/>
        <v/>
      </c>
      <c r="AE50" s="4"/>
      <c r="AF50" s="6" t="str">
        <f t="shared" si="5"/>
        <v/>
      </c>
    </row>
    <row r="51" spans="1:37" ht="15.75" customHeight="1" x14ac:dyDescent="0.2">
      <c r="A51" s="42"/>
      <c r="B51" s="44"/>
      <c r="C51" s="41"/>
      <c r="D51" s="41"/>
      <c r="E51" s="41"/>
      <c r="F51" s="11"/>
      <c r="G51" s="11"/>
      <c r="H51" s="43"/>
      <c r="K51" s="25"/>
      <c r="L51" s="3"/>
      <c r="M51" s="31"/>
      <c r="N51" s="31"/>
      <c r="O51" s="34"/>
      <c r="P51" s="3"/>
      <c r="Q51" s="6" t="str">
        <f>IF($F51&lt;&gt;"",RIGHT(Tabela1[[#This Row],[Ref.]],2),"")</f>
        <v/>
      </c>
      <c r="R51" s="6" t="str">
        <f t="shared" si="0"/>
        <v/>
      </c>
      <c r="S51" s="4" t="str">
        <f>IF($F51&lt;&gt;"",_xlfn.XLOOKUP(F51,Naturezas!B:B,Naturezas!E:E,"",0,1),"")</f>
        <v/>
      </c>
      <c r="T51" s="4" t="str">
        <f>IF($F51&lt;&gt;"",_xlfn.XLOOKUP($F51,Naturezas!B:B,Naturezas!D:D,"",0,1),"")</f>
        <v/>
      </c>
      <c r="U51" s="5" t="str">
        <f>IF(F51&lt;&gt;"",IF(OR(F51=Naturezas!$B$3,F51=Naturezas!$B$4,F51=Naturezas!$B$5,F51=Naturezas!$B$17,F51=Naturezas!$B$18,F51=Naturezas!$B$19),H51,-H51),"")</f>
        <v/>
      </c>
      <c r="V51" s="4" t="str">
        <f t="shared" si="1"/>
        <v/>
      </c>
      <c r="W51" s="4"/>
      <c r="X51" s="4" t="str">
        <f t="shared" si="2"/>
        <v/>
      </c>
      <c r="Y51" s="6" t="str">
        <f>IF(F51&lt;&gt;"",Tabela1[[#This Row],[Iniciais]],"")</f>
        <v/>
      </c>
      <c r="Z51" s="3"/>
      <c r="AA51" s="6" t="str">
        <f>IF($F51&lt;&gt;"",RIGHT(Tabela1[[#This Row],[Ref.]],2),"")</f>
        <v/>
      </c>
      <c r="AB51" s="46" t="str">
        <f>IF($F51&lt;&gt;"",DATE(LEFT(Tabela1[[#This Row],[Ref.]],4),RIGHT(Tabela1[[#This Row],[Ref.]],2),1),"")</f>
        <v/>
      </c>
      <c r="AC51" s="4" t="str">
        <f t="shared" si="3"/>
        <v/>
      </c>
      <c r="AD51" s="5" t="str">
        <f t="shared" si="4"/>
        <v/>
      </c>
      <c r="AE51" s="4"/>
      <c r="AF51" s="6" t="str">
        <f t="shared" si="5"/>
        <v/>
      </c>
    </row>
    <row r="52" spans="1:37" ht="15.75" customHeight="1" x14ac:dyDescent="0.2">
      <c r="A52" s="42"/>
      <c r="B52" s="44"/>
      <c r="C52" s="41"/>
      <c r="D52" s="41"/>
      <c r="E52" s="41"/>
      <c r="F52" s="11"/>
      <c r="G52" s="11"/>
      <c r="H52" s="43"/>
      <c r="K52" s="25"/>
      <c r="L52" s="3"/>
      <c r="M52" s="31"/>
      <c r="N52" s="31"/>
      <c r="O52" s="34"/>
      <c r="P52" s="3"/>
      <c r="Q52" s="6" t="str">
        <f>IF($F52&lt;&gt;"",RIGHT(Tabela1[[#This Row],[Ref.]],2),"")</f>
        <v/>
      </c>
      <c r="R52" s="6" t="str">
        <f t="shared" si="0"/>
        <v/>
      </c>
      <c r="S52" s="4" t="str">
        <f>IF($F52&lt;&gt;"",_xlfn.XLOOKUP(F52,Naturezas!B:B,Naturezas!E:E,"",0,1),"")</f>
        <v/>
      </c>
      <c r="T52" s="4" t="str">
        <f>IF($F52&lt;&gt;"",_xlfn.XLOOKUP($F52,Naturezas!B:B,Naturezas!D:D,"",0,1),"")</f>
        <v/>
      </c>
      <c r="U52" s="5" t="str">
        <f>IF(F52&lt;&gt;"",IF(OR(F52=Naturezas!$B$3,F52=Naturezas!$B$4,F52=Naturezas!$B$5,F52=Naturezas!$B$17,F52=Naturezas!$B$18,F52=Naturezas!$B$19),H52,-H52),"")</f>
        <v/>
      </c>
      <c r="V52" s="4" t="str">
        <f t="shared" si="1"/>
        <v/>
      </c>
      <c r="W52" s="4"/>
      <c r="X52" s="4" t="str">
        <f t="shared" si="2"/>
        <v/>
      </c>
      <c r="Y52" s="6" t="str">
        <f>IF(F52&lt;&gt;"",Tabela1[[#This Row],[Iniciais]],"")</f>
        <v/>
      </c>
      <c r="Z52" s="3"/>
      <c r="AA52" s="6" t="str">
        <f>IF($F52&lt;&gt;"",RIGHT(Tabela1[[#This Row],[Ref.]],2),"")</f>
        <v/>
      </c>
      <c r="AB52" s="46" t="str">
        <f>IF($F52&lt;&gt;"",DATE(LEFT(Tabela1[[#This Row],[Ref.]],4),RIGHT(Tabela1[[#This Row],[Ref.]],2),1),"")</f>
        <v/>
      </c>
      <c r="AC52" s="4" t="str">
        <f t="shared" si="3"/>
        <v/>
      </c>
      <c r="AD52" s="5" t="str">
        <f t="shared" si="4"/>
        <v/>
      </c>
      <c r="AE52" s="4"/>
      <c r="AF52" s="6" t="str">
        <f t="shared" si="5"/>
        <v/>
      </c>
    </row>
    <row r="53" spans="1:37" ht="15.75" customHeight="1" x14ac:dyDescent="0.2">
      <c r="A53" s="42"/>
      <c r="B53" s="44"/>
      <c r="C53" s="41"/>
      <c r="D53" s="41"/>
      <c r="E53" s="41"/>
      <c r="F53" s="11"/>
      <c r="G53" s="11"/>
      <c r="H53" s="43"/>
      <c r="K53" s="25"/>
      <c r="L53" s="3"/>
      <c r="M53" s="31"/>
      <c r="N53" s="31"/>
      <c r="O53" s="34"/>
      <c r="P53" s="3"/>
      <c r="Q53" s="6" t="str">
        <f>IF($F53&lt;&gt;"",RIGHT(Tabela1[[#This Row],[Ref.]],2),"")</f>
        <v/>
      </c>
      <c r="R53" s="6" t="str">
        <f t="shared" si="0"/>
        <v/>
      </c>
      <c r="S53" s="4" t="str">
        <f>IF($F53&lt;&gt;"",_xlfn.XLOOKUP(F53,Naturezas!B:B,Naturezas!E:E,"",0,1),"")</f>
        <v/>
      </c>
      <c r="T53" s="4" t="str">
        <f>IF($F53&lt;&gt;"",_xlfn.XLOOKUP($F53,Naturezas!B:B,Naturezas!D:D,"",0,1),"")</f>
        <v/>
      </c>
      <c r="U53" s="5" t="str">
        <f>IF(F53&lt;&gt;"",IF(OR(F53=Naturezas!$B$3,F53=Naturezas!$B$4,F53=Naturezas!$B$5,F53=Naturezas!$B$17,F53=Naturezas!$B$18,F53=Naturezas!$B$19),H53,-H53),"")</f>
        <v/>
      </c>
      <c r="V53" s="4" t="str">
        <f t="shared" si="1"/>
        <v/>
      </c>
      <c r="W53" s="4"/>
      <c r="X53" s="4" t="str">
        <f t="shared" si="2"/>
        <v/>
      </c>
      <c r="Y53" s="6" t="str">
        <f>IF(F53&lt;&gt;"",Tabela1[[#This Row],[Iniciais]],"")</f>
        <v/>
      </c>
      <c r="Z53" s="3"/>
      <c r="AA53" s="6" t="str">
        <f>IF($F53&lt;&gt;"",RIGHT(Tabela1[[#This Row],[Ref.]],2),"")</f>
        <v/>
      </c>
      <c r="AB53" s="46" t="str">
        <f>IF($F53&lt;&gt;"",DATE(LEFT(Tabela1[[#This Row],[Ref.]],4),RIGHT(Tabela1[[#This Row],[Ref.]],2),1),"")</f>
        <v/>
      </c>
      <c r="AC53" s="4" t="str">
        <f t="shared" si="3"/>
        <v/>
      </c>
      <c r="AD53" s="5" t="str">
        <f t="shared" si="4"/>
        <v/>
      </c>
      <c r="AE53" s="4"/>
      <c r="AF53" s="6" t="str">
        <f t="shared" si="5"/>
        <v/>
      </c>
    </row>
    <row r="54" spans="1:37" ht="15.75" customHeight="1" x14ac:dyDescent="0.2">
      <c r="A54" s="42"/>
      <c r="B54" s="44"/>
      <c r="C54" s="41"/>
      <c r="D54" s="41"/>
      <c r="E54" s="41"/>
      <c r="F54" s="11"/>
      <c r="G54" s="11"/>
      <c r="H54" s="43"/>
      <c r="K54" s="25"/>
      <c r="L54" s="3"/>
      <c r="M54" s="31"/>
      <c r="N54" s="31"/>
      <c r="O54" s="34"/>
      <c r="P54" s="3"/>
      <c r="Q54" s="6" t="str">
        <f>IF($F54&lt;&gt;"",RIGHT(Tabela1[[#This Row],[Ref.]],2),"")</f>
        <v/>
      </c>
      <c r="R54" s="6" t="str">
        <f t="shared" si="0"/>
        <v/>
      </c>
      <c r="S54" s="4" t="str">
        <f>IF($F54&lt;&gt;"",_xlfn.XLOOKUP(F54,Naturezas!B:B,Naturezas!E:E,"",0,1),"")</f>
        <v/>
      </c>
      <c r="T54" s="4" t="str">
        <f>IF($F54&lt;&gt;"",_xlfn.XLOOKUP($F54,Naturezas!B:B,Naturezas!D:D,"",0,1),"")</f>
        <v/>
      </c>
      <c r="U54" s="5" t="str">
        <f>IF(F54&lt;&gt;"",IF(OR(F54=Naturezas!$B$3,F54=Naturezas!$B$4,F54=Naturezas!$B$5,F54=Naturezas!$B$17,F54=Naturezas!$B$18,F54=Naturezas!$B$19),H54,-H54),"")</f>
        <v/>
      </c>
      <c r="V54" s="4" t="str">
        <f t="shared" si="1"/>
        <v/>
      </c>
      <c r="W54" s="4"/>
      <c r="X54" s="4" t="str">
        <f t="shared" si="2"/>
        <v/>
      </c>
      <c r="Y54" s="6" t="str">
        <f>IF(F54&lt;&gt;"",Tabela1[[#This Row],[Iniciais]],"")</f>
        <v/>
      </c>
      <c r="Z54" s="3"/>
      <c r="AA54" s="6" t="str">
        <f>IF($F54&lt;&gt;"",RIGHT(Tabela1[[#This Row],[Ref.]],2),"")</f>
        <v/>
      </c>
      <c r="AB54" s="46" t="str">
        <f>IF($F54&lt;&gt;"",DATE(LEFT(Tabela1[[#This Row],[Ref.]],4),RIGHT(Tabela1[[#This Row],[Ref.]],2),1),"")</f>
        <v/>
      </c>
      <c r="AC54" s="4" t="str">
        <f t="shared" si="3"/>
        <v/>
      </c>
      <c r="AD54" s="5" t="str">
        <f t="shared" si="4"/>
        <v/>
      </c>
      <c r="AE54" s="4"/>
      <c r="AF54" s="6" t="str">
        <f t="shared" si="5"/>
        <v/>
      </c>
    </row>
    <row r="55" spans="1:37" ht="15.75" customHeight="1" x14ac:dyDescent="0.2">
      <c r="A55" s="42"/>
      <c r="B55" s="44"/>
      <c r="C55" s="41"/>
      <c r="D55" s="41"/>
      <c r="E55" s="41"/>
      <c r="F55" s="11"/>
      <c r="G55" s="11"/>
      <c r="H55" s="43"/>
      <c r="K55" s="25"/>
      <c r="M55" s="31"/>
      <c r="N55" s="31"/>
      <c r="O55" s="33"/>
      <c r="P55" s="3"/>
      <c r="Q55" s="6" t="str">
        <f>IF($F55&lt;&gt;"",RIGHT(Tabela1[[#This Row],[Ref.]],2),"")</f>
        <v/>
      </c>
      <c r="R55" s="6" t="str">
        <f t="shared" si="0"/>
        <v/>
      </c>
      <c r="S55" s="4" t="str">
        <f>IF($F55&lt;&gt;"",_xlfn.XLOOKUP(F55,Naturezas!B:B,Naturezas!E:E,"",0,1),"")</f>
        <v/>
      </c>
      <c r="T55" s="4" t="str">
        <f>IF($F55&lt;&gt;"",_xlfn.XLOOKUP($F55,Naturezas!B:B,Naturezas!D:D,"",0,1),"")</f>
        <v/>
      </c>
      <c r="U55" s="5" t="str">
        <f>IF(F55&lt;&gt;"",IF(OR(F55=Naturezas!$B$3,F55=Naturezas!$B$4,F55=Naturezas!$B$5,F55=Naturezas!$B$17,F55=Naturezas!$B$18,F55=Naturezas!$B$19),H55,-H55),"")</f>
        <v/>
      </c>
      <c r="V55" s="4" t="str">
        <f t="shared" si="1"/>
        <v/>
      </c>
      <c r="W55" s="4"/>
      <c r="X55" s="4" t="str">
        <f t="shared" si="2"/>
        <v/>
      </c>
      <c r="Y55" s="6" t="str">
        <f>IF(F55&lt;&gt;"",Tabela1[[#This Row],[Iniciais]],"")</f>
        <v/>
      </c>
      <c r="AA55" s="6" t="str">
        <f>IF($F55&lt;&gt;"",RIGHT(Tabela1[[#This Row],[Ref.]],2),"")</f>
        <v/>
      </c>
      <c r="AB55" s="46" t="str">
        <f>IF($F55&lt;&gt;"",DATE(LEFT(Tabela1[[#This Row],[Ref.]],4),RIGHT(Tabela1[[#This Row],[Ref.]],2),1),"")</f>
        <v/>
      </c>
      <c r="AC55" s="4" t="str">
        <f t="shared" si="3"/>
        <v/>
      </c>
      <c r="AD55" s="5" t="str">
        <f t="shared" si="4"/>
        <v/>
      </c>
      <c r="AE55" s="4"/>
      <c r="AF55" s="6" t="str">
        <f t="shared" si="5"/>
        <v/>
      </c>
    </row>
    <row r="56" spans="1:37" ht="15.75" customHeight="1" x14ac:dyDescent="0.2">
      <c r="A56" s="42"/>
      <c r="B56" s="44"/>
      <c r="C56" s="41"/>
      <c r="D56" s="41"/>
      <c r="E56" s="41"/>
      <c r="F56" s="11"/>
      <c r="G56" s="11"/>
      <c r="H56" s="43"/>
      <c r="K56" s="25"/>
      <c r="M56" s="31"/>
      <c r="N56" s="31"/>
      <c r="O56" s="33"/>
      <c r="P56" s="3"/>
      <c r="Q56" s="6" t="str">
        <f>IF($F56&lt;&gt;"",RIGHT(Tabela1[[#This Row],[Ref.]],2),"")</f>
        <v/>
      </c>
      <c r="R56" s="6" t="str">
        <f t="shared" si="0"/>
        <v/>
      </c>
      <c r="S56" s="4" t="str">
        <f>IF($F56&lt;&gt;"",_xlfn.XLOOKUP(F56,Naturezas!B:B,Naturezas!E:E,"",0,1),"")</f>
        <v/>
      </c>
      <c r="T56" s="4" t="str">
        <f>IF($F56&lt;&gt;"",_xlfn.XLOOKUP($F56,Naturezas!B:B,Naturezas!D:D,"",0,1),"")</f>
        <v/>
      </c>
      <c r="U56" s="5" t="str">
        <f>IF(F56&lt;&gt;"",IF(OR(F56=Naturezas!$B$3,F56=Naturezas!$B$4,F56=Naturezas!$B$5,F56=Naturezas!$B$17,F56=Naturezas!$B$18,F56=Naturezas!$B$19),H56,-H56),"")</f>
        <v/>
      </c>
      <c r="V56" s="4" t="str">
        <f t="shared" si="1"/>
        <v/>
      </c>
      <c r="W56" s="4"/>
      <c r="X56" s="4" t="str">
        <f t="shared" si="2"/>
        <v/>
      </c>
      <c r="Y56" s="6" t="str">
        <f>IF(F56&lt;&gt;"",Tabela1[[#This Row],[Iniciais]],"")</f>
        <v/>
      </c>
      <c r="AA56" s="6" t="str">
        <f>IF($F56&lt;&gt;"",RIGHT(Tabela1[[#This Row],[Ref.]],2),"")</f>
        <v/>
      </c>
      <c r="AB56" s="46" t="str">
        <f>IF($F56&lt;&gt;"",DATE(LEFT(Tabela1[[#This Row],[Ref.]],4),RIGHT(Tabela1[[#This Row],[Ref.]],2),1),"")</f>
        <v/>
      </c>
      <c r="AC56" s="4" t="str">
        <f t="shared" si="3"/>
        <v/>
      </c>
      <c r="AD56" s="5" t="str">
        <f t="shared" si="4"/>
        <v/>
      </c>
      <c r="AE56" s="4"/>
      <c r="AF56" s="6" t="str">
        <f t="shared" si="5"/>
        <v/>
      </c>
    </row>
    <row r="57" spans="1:37" ht="15.75" customHeight="1" x14ac:dyDescent="0.2">
      <c r="A57" s="42"/>
      <c r="B57" s="44"/>
      <c r="C57" s="41"/>
      <c r="D57" s="41"/>
      <c r="E57" s="41"/>
      <c r="F57" s="11"/>
      <c r="G57" s="11"/>
      <c r="H57" s="43"/>
      <c r="K57" s="25"/>
      <c r="M57" s="31"/>
      <c r="N57" s="31"/>
      <c r="O57" s="33"/>
      <c r="P57" s="3"/>
      <c r="Q57" s="6" t="str">
        <f>IF($F57&lt;&gt;"",RIGHT(Tabela1[[#This Row],[Ref.]],2),"")</f>
        <v/>
      </c>
      <c r="R57" s="6" t="str">
        <f t="shared" si="0"/>
        <v/>
      </c>
      <c r="S57" s="4" t="str">
        <f>IF($F57&lt;&gt;"",_xlfn.XLOOKUP(F57,Naturezas!B:B,Naturezas!E:E,"",0,1),"")</f>
        <v/>
      </c>
      <c r="T57" s="4" t="str">
        <f>IF($F57&lt;&gt;"",_xlfn.XLOOKUP($F57,Naturezas!B:B,Naturezas!D:D,"",0,1),"")</f>
        <v/>
      </c>
      <c r="U57" s="5" t="str">
        <f>IF(F57&lt;&gt;"",IF(OR(F57=Naturezas!$B$3,F57=Naturezas!$B$4,F57=Naturezas!$B$5,F57=Naturezas!$B$17,F57=Naturezas!$B$18,F57=Naturezas!$B$19),H57,-H57),"")</f>
        <v/>
      </c>
      <c r="V57" s="4" t="str">
        <f t="shared" si="1"/>
        <v/>
      </c>
      <c r="W57" s="4"/>
      <c r="X57" s="4" t="str">
        <f t="shared" si="2"/>
        <v/>
      </c>
      <c r="Y57" s="6" t="str">
        <f>IF(F57&lt;&gt;"",Tabela1[[#This Row],[Iniciais]],"")</f>
        <v/>
      </c>
      <c r="AA57" s="6" t="str">
        <f>IF($F57&lt;&gt;"",RIGHT(Tabela1[[#This Row],[Ref.]],2),"")</f>
        <v/>
      </c>
      <c r="AB57" s="46" t="str">
        <f>IF($F57&lt;&gt;"",DATE(LEFT(Tabela1[[#This Row],[Ref.]],4),RIGHT(Tabela1[[#This Row],[Ref.]],2),1),"")</f>
        <v/>
      </c>
      <c r="AC57" s="4" t="str">
        <f t="shared" si="3"/>
        <v/>
      </c>
      <c r="AD57" s="5" t="str">
        <f t="shared" si="4"/>
        <v/>
      </c>
      <c r="AE57" s="4"/>
      <c r="AF57" s="6" t="str">
        <f t="shared" si="5"/>
        <v/>
      </c>
    </row>
    <row r="58" spans="1:37" ht="15.75" customHeight="1" x14ac:dyDescent="0.2">
      <c r="A58" s="42"/>
      <c r="B58" s="44"/>
      <c r="C58" s="41"/>
      <c r="D58" s="41"/>
      <c r="E58" s="41"/>
      <c r="F58" s="11"/>
      <c r="G58" s="11"/>
      <c r="H58" s="43"/>
      <c r="K58" s="25"/>
      <c r="M58" s="31"/>
      <c r="N58" s="31"/>
      <c r="O58" s="33"/>
      <c r="P58" s="3"/>
      <c r="Q58" s="6" t="str">
        <f>IF($F58&lt;&gt;"",RIGHT(Tabela1[[#This Row],[Ref.]],2),"")</f>
        <v/>
      </c>
      <c r="R58" s="6" t="str">
        <f t="shared" si="0"/>
        <v/>
      </c>
      <c r="S58" s="4" t="str">
        <f>IF($F58&lt;&gt;"",_xlfn.XLOOKUP(F58,Naturezas!B:B,Naturezas!E:E,"",0,1),"")</f>
        <v/>
      </c>
      <c r="T58" s="4" t="str">
        <f>IF($F58&lt;&gt;"",_xlfn.XLOOKUP($F58,Naturezas!B:B,Naturezas!D:D,"",0,1),"")</f>
        <v/>
      </c>
      <c r="U58" s="5" t="str">
        <f>IF(F58&lt;&gt;"",IF(OR(F58=Naturezas!$B$3,F58=Naturezas!$B$4,F58=Naturezas!$B$5,F58=Naturezas!$B$17,F58=Naturezas!$B$18,F58=Naturezas!$B$19),H58,-H58),"")</f>
        <v/>
      </c>
      <c r="V58" s="4" t="str">
        <f t="shared" si="1"/>
        <v/>
      </c>
      <c r="W58" s="4"/>
      <c r="X58" s="4" t="str">
        <f t="shared" si="2"/>
        <v/>
      </c>
      <c r="Y58" s="6" t="str">
        <f>IF(F58&lt;&gt;"",Tabela1[[#This Row],[Iniciais]],"")</f>
        <v/>
      </c>
      <c r="AA58" s="6" t="str">
        <f>IF($F58&lt;&gt;"",RIGHT(Tabela1[[#This Row],[Ref.]],2),"")</f>
        <v/>
      </c>
      <c r="AB58" s="46" t="str">
        <f>IF($F58&lt;&gt;"",DATE(LEFT(Tabela1[[#This Row],[Ref.]],4),RIGHT(Tabela1[[#This Row],[Ref.]],2),1),"")</f>
        <v/>
      </c>
      <c r="AC58" s="4" t="str">
        <f t="shared" si="3"/>
        <v/>
      </c>
      <c r="AD58" s="5" t="str">
        <f t="shared" si="4"/>
        <v/>
      </c>
      <c r="AE58" s="4"/>
      <c r="AF58" s="6" t="str">
        <f t="shared" si="5"/>
        <v/>
      </c>
    </row>
    <row r="59" spans="1:37" ht="15.75" customHeight="1" x14ac:dyDescent="0.2">
      <c r="A59" s="42"/>
      <c r="B59" s="44"/>
      <c r="C59" s="41"/>
      <c r="D59" s="41"/>
      <c r="E59" s="41"/>
      <c r="F59" s="11"/>
      <c r="G59" s="11"/>
      <c r="H59" s="43"/>
      <c r="K59" s="25"/>
      <c r="M59" s="31"/>
      <c r="N59" s="31"/>
      <c r="O59" s="33"/>
      <c r="P59" s="3"/>
      <c r="Q59" s="6" t="str">
        <f>IF($F59&lt;&gt;"",RIGHT(Tabela1[[#This Row],[Ref.]],2),"")</f>
        <v/>
      </c>
      <c r="R59" s="6" t="str">
        <f t="shared" si="0"/>
        <v/>
      </c>
      <c r="S59" s="4" t="str">
        <f>IF($F59&lt;&gt;"",_xlfn.XLOOKUP(F59,Naturezas!B:B,Naturezas!E:E,"",0,1),"")</f>
        <v/>
      </c>
      <c r="T59" s="4" t="str">
        <f>IF($F59&lt;&gt;"",_xlfn.XLOOKUP($F59,Naturezas!B:B,Naturezas!D:D,"",0,1),"")</f>
        <v/>
      </c>
      <c r="U59" s="5" t="str">
        <f>IF(F59&lt;&gt;"",IF(OR(F59=Naturezas!$B$3,F59=Naturezas!$B$4,F59=Naturezas!$B$5,F59=Naturezas!$B$17,F59=Naturezas!$B$18,F59=Naturezas!$B$19),H59,-H59),"")</f>
        <v/>
      </c>
      <c r="V59" s="4" t="str">
        <f t="shared" si="1"/>
        <v/>
      </c>
      <c r="W59" s="4"/>
      <c r="X59" s="4" t="str">
        <f t="shared" si="2"/>
        <v/>
      </c>
      <c r="Y59" s="6" t="str">
        <f>IF(F59&lt;&gt;"",Tabela1[[#This Row],[Iniciais]],"")</f>
        <v/>
      </c>
      <c r="AA59" s="6" t="str">
        <f>IF($F59&lt;&gt;"",RIGHT(Tabela1[[#This Row],[Ref.]],2),"")</f>
        <v/>
      </c>
      <c r="AB59" s="46" t="str">
        <f>IF($F59&lt;&gt;"",DATE(LEFT(Tabela1[[#This Row],[Ref.]],4),RIGHT(Tabela1[[#This Row],[Ref.]],2),1),"")</f>
        <v/>
      </c>
      <c r="AC59" s="4" t="str">
        <f t="shared" si="3"/>
        <v/>
      </c>
      <c r="AD59" s="5" t="str">
        <f t="shared" si="4"/>
        <v/>
      </c>
      <c r="AE59" s="4"/>
      <c r="AF59" s="6" t="str">
        <f t="shared" si="5"/>
        <v/>
      </c>
    </row>
    <row r="60" spans="1:37" ht="15.75" customHeight="1" x14ac:dyDescent="0.2">
      <c r="A60" s="42"/>
      <c r="B60" s="44"/>
      <c r="C60" s="41"/>
      <c r="D60" s="41"/>
      <c r="E60" s="41"/>
      <c r="F60" s="11"/>
      <c r="G60" s="11"/>
      <c r="H60" s="43"/>
      <c r="K60" s="25"/>
      <c r="M60" s="31"/>
      <c r="N60" s="31"/>
      <c r="O60" s="33"/>
      <c r="P60" s="3"/>
      <c r="Q60" s="6" t="str">
        <f>IF($F60&lt;&gt;"",RIGHT(Tabela1[[#This Row],[Ref.]],2),"")</f>
        <v/>
      </c>
      <c r="R60" s="6" t="str">
        <f t="shared" si="0"/>
        <v/>
      </c>
      <c r="S60" s="4" t="str">
        <f>IF($F60&lt;&gt;"",_xlfn.XLOOKUP(F60,Naturezas!B:B,Naturezas!E:E,"",0,1),"")</f>
        <v/>
      </c>
      <c r="T60" s="4" t="str">
        <f>IF($F60&lt;&gt;"",_xlfn.XLOOKUP($F60,Naturezas!B:B,Naturezas!D:D,"",0,1),"")</f>
        <v/>
      </c>
      <c r="U60" s="5" t="str">
        <f>IF(F60&lt;&gt;"",IF(OR(F60=Naturezas!$B$3,F60=Naturezas!$B$4,F60=Naturezas!$B$5,F60=Naturezas!$B$17,F60=Naturezas!$B$18,F60=Naturezas!$B$19),H60,-H60),"")</f>
        <v/>
      </c>
      <c r="V60" s="4" t="str">
        <f t="shared" si="1"/>
        <v/>
      </c>
      <c r="W60" s="4"/>
      <c r="X60" s="4" t="str">
        <f t="shared" si="2"/>
        <v/>
      </c>
      <c r="Y60" s="6" t="str">
        <f>IF(F60&lt;&gt;"",Tabela1[[#This Row],[Iniciais]],"")</f>
        <v/>
      </c>
      <c r="AA60" s="6" t="str">
        <f>IF($F60&lt;&gt;"",RIGHT(Tabela1[[#This Row],[Ref.]],2),"")</f>
        <v/>
      </c>
      <c r="AB60" s="46" t="str">
        <f>IF($F60&lt;&gt;"",DATE(LEFT(Tabela1[[#This Row],[Ref.]],4),RIGHT(Tabela1[[#This Row],[Ref.]],2),1),"")</f>
        <v/>
      </c>
      <c r="AC60" s="4" t="str">
        <f t="shared" si="3"/>
        <v/>
      </c>
      <c r="AD60" s="5" t="str">
        <f t="shared" si="4"/>
        <v/>
      </c>
      <c r="AE60" s="4"/>
      <c r="AF60" s="6" t="str">
        <f t="shared" si="5"/>
        <v/>
      </c>
    </row>
    <row r="61" spans="1:37" ht="15.75" customHeight="1" x14ac:dyDescent="0.2">
      <c r="A61" s="42"/>
      <c r="B61" s="44"/>
      <c r="C61" s="41"/>
      <c r="D61" s="41"/>
      <c r="E61" s="41"/>
      <c r="F61" s="11"/>
      <c r="G61" s="11"/>
      <c r="H61" s="43"/>
      <c r="K61" s="25"/>
      <c r="M61" s="31"/>
      <c r="N61" s="31"/>
      <c r="O61" s="33"/>
      <c r="P61" s="3"/>
      <c r="Q61" s="6" t="str">
        <f>IF($F61&lt;&gt;"",RIGHT(Tabela1[[#This Row],[Ref.]],2),"")</f>
        <v/>
      </c>
      <c r="R61" s="6" t="str">
        <f t="shared" si="0"/>
        <v/>
      </c>
      <c r="S61" s="4" t="str">
        <f>IF($F61&lt;&gt;"",_xlfn.XLOOKUP(F61,Naturezas!B:B,Naturezas!E:E,"",0,1),"")</f>
        <v/>
      </c>
      <c r="T61" s="4" t="str">
        <f>IF($F61&lt;&gt;"",_xlfn.XLOOKUP($F61,Naturezas!B:B,Naturezas!D:D,"",0,1),"")</f>
        <v/>
      </c>
      <c r="U61" s="5" t="str">
        <f>IF(F61&lt;&gt;"",IF(OR(F61=Naturezas!$B$3,F61=Naturezas!$B$4,F61=Naturezas!$B$5,F61=Naturezas!$B$17,F61=Naturezas!$B$18,F61=Naturezas!$B$19),H61,-H61),"")</f>
        <v/>
      </c>
      <c r="V61" s="4" t="str">
        <f t="shared" si="1"/>
        <v/>
      </c>
      <c r="W61" s="4"/>
      <c r="X61" s="4" t="str">
        <f t="shared" si="2"/>
        <v/>
      </c>
      <c r="Y61" s="6" t="str">
        <f>IF(F61&lt;&gt;"",Tabela1[[#This Row],[Iniciais]],"")</f>
        <v/>
      </c>
      <c r="AA61" s="6" t="str">
        <f>IF($F61&lt;&gt;"",RIGHT(Tabela1[[#This Row],[Ref.]],2),"")</f>
        <v/>
      </c>
      <c r="AB61" s="46" t="str">
        <f>IF($F61&lt;&gt;"",DATE(LEFT(Tabela1[[#This Row],[Ref.]],4),RIGHT(Tabela1[[#This Row],[Ref.]],2),1),"")</f>
        <v/>
      </c>
      <c r="AC61" s="4" t="str">
        <f t="shared" si="3"/>
        <v/>
      </c>
      <c r="AD61" s="5" t="str">
        <f t="shared" si="4"/>
        <v/>
      </c>
      <c r="AE61" s="4"/>
      <c r="AF61" s="6" t="str">
        <f t="shared" si="5"/>
        <v/>
      </c>
    </row>
    <row r="62" spans="1:37" ht="15.75" customHeight="1" x14ac:dyDescent="0.2">
      <c r="A62" s="42"/>
      <c r="B62" s="44"/>
      <c r="C62" s="41"/>
      <c r="D62" s="41"/>
      <c r="E62" s="41"/>
      <c r="F62" s="11"/>
      <c r="G62" s="11"/>
      <c r="H62" s="43"/>
      <c r="K62" s="25"/>
      <c r="M62" s="31"/>
      <c r="N62" s="31"/>
      <c r="O62" s="33"/>
      <c r="P62" s="3"/>
      <c r="Q62" s="6" t="str">
        <f>IF($F62&lt;&gt;"",RIGHT(Tabela1[[#This Row],[Ref.]],2),"")</f>
        <v/>
      </c>
      <c r="R62" s="6" t="str">
        <f t="shared" si="0"/>
        <v/>
      </c>
      <c r="S62" s="4" t="str">
        <f>IF($F62&lt;&gt;"",_xlfn.XLOOKUP(F62,Naturezas!B:B,Naturezas!E:E,"",0,1),"")</f>
        <v/>
      </c>
      <c r="T62" s="4" t="str">
        <f>IF($F62&lt;&gt;"",_xlfn.XLOOKUP($F62,Naturezas!B:B,Naturezas!D:D,"",0,1),"")</f>
        <v/>
      </c>
      <c r="U62" s="5" t="str">
        <f>IF(F62&lt;&gt;"",IF(OR(F62=Naturezas!$B$3,F62=Naturezas!$B$4,F62=Naturezas!$B$5,F62=Naturezas!$B$17,F62=Naturezas!$B$18,F62=Naturezas!$B$19),H62,-H62),"")</f>
        <v/>
      </c>
      <c r="V62" s="4" t="str">
        <f t="shared" si="1"/>
        <v/>
      </c>
      <c r="W62" s="4"/>
      <c r="X62" s="4" t="str">
        <f t="shared" si="2"/>
        <v/>
      </c>
      <c r="Y62" s="6" t="str">
        <f>IF(F62&lt;&gt;"",Tabela1[[#This Row],[Iniciais]],"")</f>
        <v/>
      </c>
      <c r="AA62" s="6" t="str">
        <f>IF($F62&lt;&gt;"",RIGHT(Tabela1[[#This Row],[Ref.]],2),"")</f>
        <v/>
      </c>
      <c r="AB62" s="46" t="str">
        <f>IF($F62&lt;&gt;"",DATE(LEFT(Tabela1[[#This Row],[Ref.]],4),RIGHT(Tabela1[[#This Row],[Ref.]],2),1),"")</f>
        <v/>
      </c>
      <c r="AC62" s="4" t="str">
        <f t="shared" si="3"/>
        <v/>
      </c>
      <c r="AD62" s="5" t="str">
        <f t="shared" si="4"/>
        <v/>
      </c>
      <c r="AE62" s="4"/>
      <c r="AF62" s="6" t="str">
        <f t="shared" si="5"/>
        <v/>
      </c>
    </row>
    <row r="63" spans="1:37" ht="15.75" customHeight="1" x14ac:dyDescent="0.2">
      <c r="A63" s="42"/>
      <c r="B63" s="44"/>
      <c r="C63" s="41"/>
      <c r="D63" s="41"/>
      <c r="E63" s="41"/>
      <c r="F63" s="11"/>
      <c r="G63" s="11"/>
      <c r="H63" s="43"/>
      <c r="K63" s="25"/>
      <c r="M63" s="31"/>
      <c r="N63" s="31"/>
      <c r="O63" s="33"/>
      <c r="P63" s="3"/>
      <c r="Q63" s="6" t="str">
        <f>IF($F63&lt;&gt;"",RIGHT(Tabela1[[#This Row],[Ref.]],2),"")</f>
        <v/>
      </c>
      <c r="R63" s="6" t="str">
        <f t="shared" si="0"/>
        <v/>
      </c>
      <c r="S63" s="4" t="str">
        <f>IF($F63&lt;&gt;"",_xlfn.XLOOKUP(F63,Naturezas!B:B,Naturezas!E:E,"",0,1),"")</f>
        <v/>
      </c>
      <c r="T63" s="4" t="str">
        <f>IF($F63&lt;&gt;"",_xlfn.XLOOKUP($F63,Naturezas!B:B,Naturezas!D:D,"",0,1),"")</f>
        <v/>
      </c>
      <c r="U63" s="5" t="str">
        <f>IF(F63&lt;&gt;"",IF(OR(F63=Naturezas!$B$3,F63=Naturezas!$B$4,F63=Naturezas!$B$5,F63=Naturezas!$B$17,F63=Naturezas!$B$18,F63=Naturezas!$B$19),H63,-H63),"")</f>
        <v/>
      </c>
      <c r="V63" s="4" t="str">
        <f t="shared" si="1"/>
        <v/>
      </c>
      <c r="W63" s="4"/>
      <c r="X63" s="4" t="str">
        <f t="shared" si="2"/>
        <v/>
      </c>
      <c r="Y63" s="6" t="str">
        <f>IF(F63&lt;&gt;"",Tabela1[[#This Row],[Iniciais]],"")</f>
        <v/>
      </c>
      <c r="AA63" s="6" t="str">
        <f>IF($F63&lt;&gt;"",RIGHT(Tabela1[[#This Row],[Ref.]],2),"")</f>
        <v/>
      </c>
      <c r="AB63" s="46" t="str">
        <f>IF($F63&lt;&gt;"",DATE(LEFT(Tabela1[[#This Row],[Ref.]],4),RIGHT(Tabela1[[#This Row],[Ref.]],2),1),"")</f>
        <v/>
      </c>
      <c r="AC63" s="4" t="str">
        <f t="shared" si="3"/>
        <v/>
      </c>
      <c r="AD63" s="5" t="str">
        <f t="shared" si="4"/>
        <v/>
      </c>
      <c r="AE63" s="4"/>
      <c r="AF63" s="6" t="str">
        <f t="shared" si="5"/>
        <v/>
      </c>
      <c r="AJ63" s="10" t="s">
        <v>78</v>
      </c>
      <c r="AK63" s="10" t="s">
        <v>79</v>
      </c>
    </row>
    <row r="64" spans="1:37" ht="15.75" customHeight="1" x14ac:dyDescent="0.2">
      <c r="A64" s="42"/>
      <c r="B64" s="44"/>
      <c r="C64" s="41"/>
      <c r="D64" s="41"/>
      <c r="E64" s="41"/>
      <c r="F64" s="11"/>
      <c r="G64" s="11"/>
      <c r="H64" s="43"/>
      <c r="K64" s="25"/>
      <c r="M64" s="31"/>
      <c r="N64" s="31"/>
      <c r="O64" s="33"/>
      <c r="P64" s="3"/>
      <c r="Q64" s="6" t="str">
        <f>IF($F64&lt;&gt;"",RIGHT(Tabela1[[#This Row],[Ref.]],2),"")</f>
        <v/>
      </c>
      <c r="R64" s="6" t="str">
        <f t="shared" si="0"/>
        <v/>
      </c>
      <c r="S64" s="4" t="str">
        <f>IF($F64&lt;&gt;"",_xlfn.XLOOKUP(F64,Naturezas!B:B,Naturezas!E:E,"",0,1),"")</f>
        <v/>
      </c>
      <c r="T64" s="4" t="str">
        <f>IF($F64&lt;&gt;"",_xlfn.XLOOKUP($F64,Naturezas!B:B,Naturezas!D:D,"",0,1),"")</f>
        <v/>
      </c>
      <c r="U64" s="5" t="str">
        <f>IF(F64&lt;&gt;"",IF(OR(F64=Naturezas!$B$3,F64=Naturezas!$B$4,F64=Naturezas!$B$5,F64=Naturezas!$B$17,F64=Naturezas!$B$18,F64=Naturezas!$B$19),H64,-H64),"")</f>
        <v/>
      </c>
      <c r="V64" s="4" t="str">
        <f t="shared" si="1"/>
        <v/>
      </c>
      <c r="W64" s="4"/>
      <c r="X64" s="4" t="str">
        <f t="shared" si="2"/>
        <v/>
      </c>
      <c r="Y64" s="6" t="str">
        <f>IF(F64&lt;&gt;"",Tabela1[[#This Row],[Iniciais]],"")</f>
        <v/>
      </c>
      <c r="AA64" s="6" t="str">
        <f>IF($F64&lt;&gt;"",RIGHT(Tabela1[[#This Row],[Ref.]],2),"")</f>
        <v/>
      </c>
      <c r="AB64" s="46" t="str">
        <f>IF($F64&lt;&gt;"",DATE(LEFT(Tabela1[[#This Row],[Ref.]],4),RIGHT(Tabela1[[#This Row],[Ref.]],2),1),"")</f>
        <v/>
      </c>
      <c r="AC64" s="4" t="str">
        <f t="shared" si="3"/>
        <v/>
      </c>
      <c r="AD64" s="5" t="str">
        <f t="shared" si="4"/>
        <v/>
      </c>
      <c r="AE64" s="4"/>
      <c r="AF64" s="6" t="str">
        <f t="shared" si="5"/>
        <v/>
      </c>
      <c r="AJ64" s="10">
        <v>198.48</v>
      </c>
      <c r="AK64" s="2">
        <v>279.9399999999996</v>
      </c>
    </row>
    <row r="65" spans="1:36" ht="15.75" customHeight="1" x14ac:dyDescent="0.2">
      <c r="A65" s="42"/>
      <c r="B65" s="44"/>
      <c r="C65" s="41"/>
      <c r="D65" s="41"/>
      <c r="E65" s="41"/>
      <c r="F65" s="11"/>
      <c r="G65" s="11"/>
      <c r="H65" s="43"/>
      <c r="K65" s="25"/>
      <c r="M65" s="31"/>
      <c r="N65" s="31"/>
      <c r="O65" s="33"/>
      <c r="P65" s="3"/>
      <c r="Q65" s="6" t="str">
        <f>IF($F65&lt;&gt;"",RIGHT(Tabela1[[#This Row],[Ref.]],2),"")</f>
        <v/>
      </c>
      <c r="R65" s="6" t="str">
        <f t="shared" si="0"/>
        <v/>
      </c>
      <c r="S65" s="4" t="str">
        <f>IF($F65&lt;&gt;"",_xlfn.XLOOKUP(F65,Naturezas!B:B,Naturezas!E:E,"",0,1),"")</f>
        <v/>
      </c>
      <c r="T65" s="4" t="str">
        <f>IF($F65&lt;&gt;"",_xlfn.XLOOKUP($F65,Naturezas!B:B,Naturezas!D:D,"",0,1),"")</f>
        <v/>
      </c>
      <c r="U65" s="5" t="str">
        <f>IF(F65&lt;&gt;"",IF(OR(F65=Naturezas!$B$3,F65=Naturezas!$B$4,F65=Naturezas!$B$5,F65=Naturezas!$B$17,F65=Naturezas!$B$18,F65=Naturezas!$B$19),H65,-H65),"")</f>
        <v/>
      </c>
      <c r="V65" s="4" t="str">
        <f t="shared" si="1"/>
        <v/>
      </c>
      <c r="W65" s="4"/>
      <c r="X65" s="4" t="str">
        <f t="shared" si="2"/>
        <v/>
      </c>
      <c r="Y65" s="6" t="str">
        <f>IF(F65&lt;&gt;"",Tabela1[[#This Row],[Iniciais]],"")</f>
        <v/>
      </c>
      <c r="AA65" s="6" t="str">
        <f>IF($F65&lt;&gt;"",RIGHT(Tabela1[[#This Row],[Ref.]],2),"")</f>
        <v/>
      </c>
      <c r="AB65" s="46" t="str">
        <f>IF($F65&lt;&gt;"",DATE(LEFT(Tabela1[[#This Row],[Ref.]],4),RIGHT(Tabela1[[#This Row],[Ref.]],2),1),"")</f>
        <v/>
      </c>
      <c r="AC65" s="4" t="str">
        <f t="shared" si="3"/>
        <v/>
      </c>
      <c r="AD65" s="5" t="str">
        <f t="shared" si="4"/>
        <v/>
      </c>
      <c r="AE65" s="4"/>
      <c r="AF65" s="6" t="str">
        <f t="shared" si="5"/>
        <v/>
      </c>
    </row>
    <row r="66" spans="1:36" ht="15.75" customHeight="1" x14ac:dyDescent="0.2">
      <c r="A66" s="42"/>
      <c r="B66" s="44"/>
      <c r="C66" s="41"/>
      <c r="D66" s="41"/>
      <c r="E66" s="41"/>
      <c r="F66" s="11"/>
      <c r="G66" s="11"/>
      <c r="H66" s="43"/>
      <c r="K66" s="25"/>
      <c r="M66" s="31"/>
      <c r="N66" s="31"/>
      <c r="O66" s="33"/>
      <c r="P66" s="3"/>
      <c r="Q66" s="6" t="str">
        <f>IF($F66&lt;&gt;"",RIGHT(Tabela1[[#This Row],[Ref.]],2),"")</f>
        <v/>
      </c>
      <c r="R66" s="6" t="str">
        <f t="shared" si="0"/>
        <v/>
      </c>
      <c r="S66" s="4" t="str">
        <f>IF($F66&lt;&gt;"",_xlfn.XLOOKUP(F66,Naturezas!B:B,Naturezas!E:E,"",0,1),"")</f>
        <v/>
      </c>
      <c r="T66" s="4" t="str">
        <f>IF($F66&lt;&gt;"",_xlfn.XLOOKUP($F66,Naturezas!B:B,Naturezas!D:D,"",0,1),"")</f>
        <v/>
      </c>
      <c r="U66" s="5" t="str">
        <f>IF(F66&lt;&gt;"",IF(OR(F66=Naturezas!$B$3,F66=Naturezas!$B$4,F66=Naturezas!$B$5,F66=Naturezas!$B$17,F66=Naturezas!$B$18,F66=Naturezas!$B$19),H66,-H66),"")</f>
        <v/>
      </c>
      <c r="V66" s="4" t="str">
        <f t="shared" si="1"/>
        <v/>
      </c>
      <c r="W66" s="4"/>
      <c r="X66" s="4" t="str">
        <f t="shared" si="2"/>
        <v/>
      </c>
      <c r="Y66" s="6" t="str">
        <f>IF(F66&lt;&gt;"",Tabela1[[#This Row],[Iniciais]],"")</f>
        <v/>
      </c>
      <c r="AA66" s="6" t="str">
        <f>IF($F66&lt;&gt;"",RIGHT(Tabela1[[#This Row],[Ref.]],2),"")</f>
        <v/>
      </c>
      <c r="AB66" s="46" t="str">
        <f>IF($F66&lt;&gt;"",DATE(LEFT(Tabela1[[#This Row],[Ref.]],4),RIGHT(Tabela1[[#This Row],[Ref.]],2),1),"")</f>
        <v/>
      </c>
      <c r="AC66" s="4" t="str">
        <f t="shared" si="3"/>
        <v/>
      </c>
      <c r="AD66" s="5" t="str">
        <f t="shared" si="4"/>
        <v/>
      </c>
      <c r="AE66" s="4"/>
      <c r="AF66" s="6" t="str">
        <f t="shared" si="5"/>
        <v/>
      </c>
    </row>
    <row r="67" spans="1:36" ht="15.75" customHeight="1" x14ac:dyDescent="0.2">
      <c r="A67" s="42"/>
      <c r="B67" s="44"/>
      <c r="C67" s="41"/>
      <c r="D67" s="41"/>
      <c r="E67" s="41"/>
      <c r="F67" s="11"/>
      <c r="G67" s="11"/>
      <c r="H67" s="43"/>
      <c r="K67" s="25"/>
      <c r="M67" s="31"/>
      <c r="N67" s="31"/>
      <c r="O67" s="33"/>
      <c r="P67" s="3"/>
      <c r="Q67" s="6" t="str">
        <f>IF($F67&lt;&gt;"",RIGHT(Tabela1[[#This Row],[Ref.]],2),"")</f>
        <v/>
      </c>
      <c r="R67" s="6" t="str">
        <f t="shared" si="0"/>
        <v/>
      </c>
      <c r="S67" s="4" t="str">
        <f>IF($F67&lt;&gt;"",_xlfn.XLOOKUP(F67,Naturezas!B:B,Naturezas!E:E,"",0,1),"")</f>
        <v/>
      </c>
      <c r="T67" s="4" t="str">
        <f>IF($F67&lt;&gt;"",_xlfn.XLOOKUP($F67,Naturezas!B:B,Naturezas!D:D,"",0,1),"")</f>
        <v/>
      </c>
      <c r="U67" s="5" t="str">
        <f>IF(F67&lt;&gt;"",IF(OR(F67=Naturezas!$B$3,F67=Naturezas!$B$4,F67=Naturezas!$B$5,F67=Naturezas!$B$17,F67=Naturezas!$B$18,F67=Naturezas!$B$19),H67,-H67),"")</f>
        <v/>
      </c>
      <c r="V67" s="4" t="str">
        <f t="shared" si="1"/>
        <v/>
      </c>
      <c r="W67" s="4"/>
      <c r="X67" s="4" t="str">
        <f t="shared" si="2"/>
        <v/>
      </c>
      <c r="Y67" s="6" t="str">
        <f>IF(F67&lt;&gt;"",Tabela1[[#This Row],[Iniciais]],"")</f>
        <v/>
      </c>
      <c r="AA67" s="6" t="str">
        <f>IF($F67&lt;&gt;"",RIGHT(Tabela1[[#This Row],[Ref.]],2),"")</f>
        <v/>
      </c>
      <c r="AB67" s="46" t="str">
        <f>IF($F67&lt;&gt;"",DATE(LEFT(Tabela1[[#This Row],[Ref.]],4),RIGHT(Tabela1[[#This Row],[Ref.]],2),1),"")</f>
        <v/>
      </c>
      <c r="AC67" s="4" t="str">
        <f t="shared" si="3"/>
        <v/>
      </c>
      <c r="AD67" s="5" t="str">
        <f t="shared" si="4"/>
        <v/>
      </c>
      <c r="AE67" s="4"/>
      <c r="AF67" s="6" t="str">
        <f t="shared" si="5"/>
        <v/>
      </c>
    </row>
    <row r="68" spans="1:36" ht="15.75" customHeight="1" x14ac:dyDescent="0.2">
      <c r="A68" s="42"/>
      <c r="B68" s="44"/>
      <c r="C68" s="41"/>
      <c r="D68" s="41"/>
      <c r="E68" s="41"/>
      <c r="F68" s="11"/>
      <c r="G68" s="11"/>
      <c r="H68" s="43"/>
      <c r="K68" s="25"/>
      <c r="M68" s="31"/>
      <c r="N68" s="31"/>
      <c r="O68" s="33"/>
      <c r="P68" s="3"/>
      <c r="Q68" s="6" t="str">
        <f>IF($F68&lt;&gt;"",RIGHT(Tabela1[[#This Row],[Ref.]],2),"")</f>
        <v/>
      </c>
      <c r="R68" s="6" t="str">
        <f t="shared" si="0"/>
        <v/>
      </c>
      <c r="S68" s="4" t="str">
        <f>IF($F68&lt;&gt;"",_xlfn.XLOOKUP(F68,Naturezas!B:B,Naturezas!E:E,"",0,1),"")</f>
        <v/>
      </c>
      <c r="T68" s="4" t="str">
        <f>IF($F68&lt;&gt;"",_xlfn.XLOOKUP($F68,Naturezas!B:B,Naturezas!D:D,"",0,1),"")</f>
        <v/>
      </c>
      <c r="U68" s="5" t="str">
        <f>IF(F68&lt;&gt;"",IF(OR(F68=Naturezas!$B$3,F68=Naturezas!$B$4,F68=Naturezas!$B$5,F68=Naturezas!$B$17,F68=Naturezas!$B$18,F68=Naturezas!$B$19),H68,-H68),"")</f>
        <v/>
      </c>
      <c r="V68" s="4" t="str">
        <f t="shared" si="1"/>
        <v/>
      </c>
      <c r="W68" s="4"/>
      <c r="X68" s="4" t="str">
        <f t="shared" si="2"/>
        <v/>
      </c>
      <c r="Y68" s="6" t="str">
        <f>IF(F68&lt;&gt;"",Tabela1[[#This Row],[Iniciais]],"")</f>
        <v/>
      </c>
      <c r="AA68" s="6" t="str">
        <f>IF($F68&lt;&gt;"",RIGHT(Tabela1[[#This Row],[Ref.]],2),"")</f>
        <v/>
      </c>
      <c r="AB68" s="46" t="str">
        <f>IF($F68&lt;&gt;"",DATE(LEFT(Tabela1[[#This Row],[Ref.]],4),RIGHT(Tabela1[[#This Row],[Ref.]],2),1),"")</f>
        <v/>
      </c>
      <c r="AC68" s="4" t="str">
        <f t="shared" si="3"/>
        <v/>
      </c>
      <c r="AD68" s="5" t="str">
        <f t="shared" si="4"/>
        <v/>
      </c>
      <c r="AE68" s="4"/>
      <c r="AF68" s="6" t="str">
        <f t="shared" si="5"/>
        <v/>
      </c>
    </row>
    <row r="69" spans="1:36" ht="15.75" customHeight="1" x14ac:dyDescent="0.2">
      <c r="A69" s="42"/>
      <c r="B69" s="44"/>
      <c r="C69" s="41"/>
      <c r="D69" s="41"/>
      <c r="E69" s="41"/>
      <c r="F69" s="11"/>
      <c r="G69" s="11"/>
      <c r="H69" s="43"/>
      <c r="K69" s="25"/>
      <c r="M69" s="31"/>
      <c r="N69" s="31"/>
      <c r="O69" s="33"/>
      <c r="P69" s="3"/>
      <c r="Q69" s="6" t="str">
        <f>IF($F69&lt;&gt;"",RIGHT(Tabela1[[#This Row],[Ref.]],2),"")</f>
        <v/>
      </c>
      <c r="R69" s="6" t="str">
        <f t="shared" si="0"/>
        <v/>
      </c>
      <c r="S69" s="4" t="str">
        <f>IF($F69&lt;&gt;"",_xlfn.XLOOKUP(F69,Naturezas!B:B,Naturezas!E:E,"",0,1),"")</f>
        <v/>
      </c>
      <c r="T69" s="4" t="str">
        <f>IF($F69&lt;&gt;"",_xlfn.XLOOKUP($F69,Naturezas!B:B,Naturezas!D:D,"",0,1),"")</f>
        <v/>
      </c>
      <c r="U69" s="5" t="str">
        <f>IF(F69&lt;&gt;"",IF(OR(F69=Naturezas!$B$3,F69=Naturezas!$B$4,F69=Naturezas!$B$5,F69=Naturezas!$B$17,F69=Naturezas!$B$18,F69=Naturezas!$B$19),H69,-H69),"")</f>
        <v/>
      </c>
      <c r="V69" s="4" t="str">
        <f t="shared" si="1"/>
        <v/>
      </c>
      <c r="W69" s="4"/>
      <c r="X69" s="4" t="str">
        <f t="shared" si="2"/>
        <v/>
      </c>
      <c r="Y69" s="6" t="str">
        <f>IF(F69&lt;&gt;"",Tabela1[[#This Row],[Iniciais]],"")</f>
        <v/>
      </c>
      <c r="AA69" s="6" t="str">
        <f>IF($F69&lt;&gt;"",RIGHT(Tabela1[[#This Row],[Ref.]],2),"")</f>
        <v/>
      </c>
      <c r="AB69" s="46" t="str">
        <f>IF($F69&lt;&gt;"",DATE(LEFT(Tabela1[[#This Row],[Ref.]],4),RIGHT(Tabela1[[#This Row],[Ref.]],2),1),"")</f>
        <v/>
      </c>
      <c r="AC69" s="4" t="str">
        <f t="shared" si="3"/>
        <v/>
      </c>
      <c r="AD69" s="5" t="str">
        <f t="shared" si="4"/>
        <v/>
      </c>
      <c r="AE69" s="4"/>
      <c r="AF69" s="6" t="str">
        <f t="shared" si="5"/>
        <v/>
      </c>
    </row>
    <row r="70" spans="1:36" ht="15.75" customHeight="1" x14ac:dyDescent="0.2">
      <c r="A70" s="42"/>
      <c r="B70" s="44"/>
      <c r="C70" s="41"/>
      <c r="D70" s="41"/>
      <c r="E70" s="41"/>
      <c r="F70" s="11"/>
      <c r="G70" s="11"/>
      <c r="H70" s="43"/>
      <c r="K70" s="25"/>
      <c r="M70" s="31"/>
      <c r="N70" s="31"/>
      <c r="O70" s="33"/>
      <c r="P70" s="3"/>
      <c r="Q70" s="6" t="str">
        <f>IF($F70&lt;&gt;"",RIGHT(Tabela1[[#This Row],[Ref.]],2),"")</f>
        <v/>
      </c>
      <c r="R70" s="6" t="str">
        <f t="shared" si="0"/>
        <v/>
      </c>
      <c r="S70" s="4" t="str">
        <f>IF($F70&lt;&gt;"",_xlfn.XLOOKUP(F70,Naturezas!B:B,Naturezas!E:E,"",0,1),"")</f>
        <v/>
      </c>
      <c r="T70" s="4" t="str">
        <f>IF($F70&lt;&gt;"",_xlfn.XLOOKUP($F70,Naturezas!B:B,Naturezas!D:D,"",0,1),"")</f>
        <v/>
      </c>
      <c r="U70" s="5" t="str">
        <f>IF(F70&lt;&gt;"",IF(OR(F70=Naturezas!$B$3,F70=Naturezas!$B$4,F70=Naturezas!$B$5,F70=Naturezas!$B$17,F70=Naturezas!$B$18,F70=Naturezas!$B$19),H70,-H70),"")</f>
        <v/>
      </c>
      <c r="V70" s="4" t="str">
        <f t="shared" si="1"/>
        <v/>
      </c>
      <c r="W70" s="4"/>
      <c r="X70" s="4" t="str">
        <f t="shared" si="2"/>
        <v/>
      </c>
      <c r="Y70" s="6" t="str">
        <f>IF(F70&lt;&gt;"",Tabela1[[#This Row],[Iniciais]],"")</f>
        <v/>
      </c>
      <c r="AA70" s="6" t="str">
        <f>IF($F70&lt;&gt;"",RIGHT(Tabela1[[#This Row],[Ref.]],2),"")</f>
        <v/>
      </c>
      <c r="AB70" s="46" t="str">
        <f>IF($F70&lt;&gt;"",DATE(LEFT(Tabela1[[#This Row],[Ref.]],4),RIGHT(Tabela1[[#This Row],[Ref.]],2),1),"")</f>
        <v/>
      </c>
      <c r="AC70" s="4" t="str">
        <f t="shared" si="3"/>
        <v/>
      </c>
      <c r="AD70" s="5" t="str">
        <f t="shared" si="4"/>
        <v/>
      </c>
      <c r="AE70" s="4"/>
      <c r="AF70" s="6" t="str">
        <f t="shared" si="5"/>
        <v/>
      </c>
    </row>
    <row r="71" spans="1:36" ht="15.75" customHeight="1" x14ac:dyDescent="0.2">
      <c r="A71" s="42"/>
      <c r="B71" s="44"/>
      <c r="C71" s="41"/>
      <c r="D71" s="41"/>
      <c r="E71" s="41"/>
      <c r="F71" s="11"/>
      <c r="G71" s="11"/>
      <c r="H71" s="43"/>
      <c r="K71" s="25"/>
      <c r="M71" s="31"/>
      <c r="N71" s="31"/>
      <c r="O71" s="33"/>
      <c r="P71" s="3"/>
      <c r="Q71" s="6" t="str">
        <f>IF($F71&lt;&gt;"",RIGHT(Tabela1[[#This Row],[Ref.]],2),"")</f>
        <v/>
      </c>
      <c r="R71" s="6" t="str">
        <f t="shared" si="0"/>
        <v/>
      </c>
      <c r="S71" s="4" t="str">
        <f>IF($F71&lt;&gt;"",_xlfn.XLOOKUP(F71,Naturezas!B:B,Naturezas!E:E,"",0,1),"")</f>
        <v/>
      </c>
      <c r="T71" s="4" t="str">
        <f>IF($F71&lt;&gt;"",_xlfn.XLOOKUP($F71,Naturezas!B:B,Naturezas!D:D,"",0,1),"")</f>
        <v/>
      </c>
      <c r="U71" s="5" t="str">
        <f>IF(F71&lt;&gt;"",IF(OR(F71=Naturezas!$B$3,F71=Naturezas!$B$4,F71=Naturezas!$B$5,F71=Naturezas!$B$17,F71=Naturezas!$B$18,F71=Naturezas!$B$19),H71,-H71),"")</f>
        <v/>
      </c>
      <c r="V71" s="4" t="str">
        <f t="shared" si="1"/>
        <v/>
      </c>
      <c r="W71" s="4"/>
      <c r="X71" s="4" t="str">
        <f t="shared" si="2"/>
        <v/>
      </c>
      <c r="Y71" s="6" t="str">
        <f>IF(F71&lt;&gt;"",Tabela1[[#This Row],[Iniciais]],"")</f>
        <v/>
      </c>
      <c r="AA71" s="6" t="str">
        <f>IF($F71&lt;&gt;"",RIGHT(Tabela1[[#This Row],[Ref.]],2),"")</f>
        <v/>
      </c>
      <c r="AB71" s="46" t="str">
        <f>IF($F71&lt;&gt;"",DATE(LEFT(Tabela1[[#This Row],[Ref.]],4),RIGHT(Tabela1[[#This Row],[Ref.]],2),1),"")</f>
        <v/>
      </c>
      <c r="AC71" s="4" t="str">
        <f t="shared" si="3"/>
        <v/>
      </c>
      <c r="AD71" s="5" t="str">
        <f t="shared" si="4"/>
        <v/>
      </c>
      <c r="AE71" s="4"/>
      <c r="AF71" s="6" t="str">
        <f t="shared" si="5"/>
        <v/>
      </c>
    </row>
    <row r="72" spans="1:36" ht="15.75" customHeight="1" x14ac:dyDescent="0.2">
      <c r="A72" s="42"/>
      <c r="B72" s="44"/>
      <c r="C72" s="41"/>
      <c r="D72" s="41"/>
      <c r="E72" s="41"/>
      <c r="F72" s="11"/>
      <c r="G72" s="11"/>
      <c r="H72" s="43"/>
      <c r="K72" s="25"/>
      <c r="M72" s="31"/>
      <c r="N72" s="31"/>
      <c r="O72" s="33"/>
      <c r="P72" s="3"/>
      <c r="Q72" s="6" t="str">
        <f>IF($F72&lt;&gt;"",RIGHT(Tabela1[[#This Row],[Ref.]],2),"")</f>
        <v/>
      </c>
      <c r="R72" s="6" t="str">
        <f t="shared" si="0"/>
        <v/>
      </c>
      <c r="S72" s="4" t="str">
        <f>IF($F72&lt;&gt;"",_xlfn.XLOOKUP(F72,Naturezas!B:B,Naturezas!E:E,"",0,1),"")</f>
        <v/>
      </c>
      <c r="T72" s="4" t="str">
        <f>IF($F72&lt;&gt;"",_xlfn.XLOOKUP($F72,Naturezas!B:B,Naturezas!D:D,"",0,1),"")</f>
        <v/>
      </c>
      <c r="U72" s="5" t="str">
        <f>IF(F72&lt;&gt;"",IF(OR(F72=Naturezas!$B$3,F72=Naturezas!$B$4,F72=Naturezas!$B$5,F72=Naturezas!$B$17,F72=Naturezas!$B$18,F72=Naturezas!$B$19),H72,-H72),"")</f>
        <v/>
      </c>
      <c r="V72" s="4" t="str">
        <f t="shared" si="1"/>
        <v/>
      </c>
      <c r="W72" s="4"/>
      <c r="X72" s="4" t="str">
        <f t="shared" si="2"/>
        <v/>
      </c>
      <c r="Y72" s="6" t="str">
        <f>IF(F72&lt;&gt;"",Tabela1[[#This Row],[Iniciais]],"")</f>
        <v/>
      </c>
      <c r="AA72" s="6" t="str">
        <f>IF($F72&lt;&gt;"",RIGHT(Tabela1[[#This Row],[Ref.]],2),"")</f>
        <v/>
      </c>
      <c r="AB72" s="46" t="str">
        <f>IF($F72&lt;&gt;"",DATE(LEFT(Tabela1[[#This Row],[Ref.]],4),RIGHT(Tabela1[[#This Row],[Ref.]],2),1),"")</f>
        <v/>
      </c>
      <c r="AC72" s="4" t="str">
        <f t="shared" si="3"/>
        <v/>
      </c>
      <c r="AD72" s="5" t="str">
        <f t="shared" si="4"/>
        <v/>
      </c>
      <c r="AE72" s="4"/>
      <c r="AF72" s="6" t="str">
        <f t="shared" si="5"/>
        <v/>
      </c>
    </row>
    <row r="73" spans="1:36" ht="15.75" customHeight="1" x14ac:dyDescent="0.2">
      <c r="A73" s="42"/>
      <c r="B73" s="44"/>
      <c r="C73" s="41"/>
      <c r="D73" s="41"/>
      <c r="E73" s="41"/>
      <c r="F73" s="11"/>
      <c r="G73" s="11"/>
      <c r="H73" s="43"/>
      <c r="K73" s="25"/>
      <c r="M73" s="31"/>
      <c r="N73" s="31"/>
      <c r="O73" s="33"/>
      <c r="P73" s="3"/>
      <c r="Q73" s="6" t="str">
        <f>IF($F73&lt;&gt;"",RIGHT(Tabela1[[#This Row],[Ref.]],2),"")</f>
        <v/>
      </c>
      <c r="R73" s="6" t="str">
        <f t="shared" si="0"/>
        <v/>
      </c>
      <c r="S73" s="4" t="str">
        <f>IF($F73&lt;&gt;"",_xlfn.XLOOKUP(F73,Naturezas!B:B,Naturezas!E:E,"",0,1),"")</f>
        <v/>
      </c>
      <c r="T73" s="4" t="str">
        <f>IF($F73&lt;&gt;"",_xlfn.XLOOKUP($F73,Naturezas!B:B,Naturezas!D:D,"",0,1),"")</f>
        <v/>
      </c>
      <c r="U73" s="5" t="str">
        <f>IF(F73&lt;&gt;"",IF(OR(F73=Naturezas!$B$3,F73=Naturezas!$B$4,F73=Naturezas!$B$5,F73=Naturezas!$B$17,F73=Naturezas!$B$18,F73=Naturezas!$B$19),H73,-H73),"")</f>
        <v/>
      </c>
      <c r="V73" s="4" t="str">
        <f t="shared" si="1"/>
        <v/>
      </c>
      <c r="W73" s="4"/>
      <c r="X73" s="4" t="str">
        <f t="shared" si="2"/>
        <v/>
      </c>
      <c r="Y73" s="6" t="str">
        <f>IF(F73&lt;&gt;"",Tabela1[[#This Row],[Iniciais]],"")</f>
        <v/>
      </c>
      <c r="AA73" s="6" t="str">
        <f>IF($F73&lt;&gt;"",RIGHT(Tabela1[[#This Row],[Ref.]],2),"")</f>
        <v/>
      </c>
      <c r="AB73" s="46" t="str">
        <f>IF($F73&lt;&gt;"",DATE(LEFT(Tabela1[[#This Row],[Ref.]],4),RIGHT(Tabela1[[#This Row],[Ref.]],2),1),"")</f>
        <v/>
      </c>
      <c r="AC73" s="4" t="str">
        <f t="shared" si="3"/>
        <v/>
      </c>
      <c r="AD73" s="5" t="str">
        <f t="shared" si="4"/>
        <v/>
      </c>
      <c r="AE73" s="4"/>
      <c r="AF73" s="6" t="str">
        <f t="shared" si="5"/>
        <v/>
      </c>
    </row>
    <row r="74" spans="1:36" ht="15.75" customHeight="1" x14ac:dyDescent="0.2">
      <c r="A74" s="42"/>
      <c r="B74" s="44"/>
      <c r="C74" s="41"/>
      <c r="D74" s="41"/>
      <c r="E74" s="41"/>
      <c r="F74" s="11"/>
      <c r="G74" s="11"/>
      <c r="H74" s="43"/>
      <c r="I74" s="2"/>
      <c r="J74" s="2"/>
      <c r="K74" s="26"/>
      <c r="L74" s="2"/>
      <c r="M74" s="31"/>
      <c r="N74" s="31"/>
      <c r="O74" s="35"/>
      <c r="P74" s="3"/>
      <c r="Q74" s="6" t="str">
        <f>IF($F74&lt;&gt;"",RIGHT(Tabela1[[#This Row],[Ref.]],2),"")</f>
        <v/>
      </c>
      <c r="R74" s="6" t="str">
        <f t="shared" ref="R74:R137" si="6">IF($F74&lt;&gt;"",1,"")</f>
        <v/>
      </c>
      <c r="S74" s="4" t="str">
        <f>IF($F74&lt;&gt;"",_xlfn.XLOOKUP(F74,Naturezas!B:B,Naturezas!E:E,"",0,1),"")</f>
        <v/>
      </c>
      <c r="T74" s="4" t="str">
        <f>IF($F74&lt;&gt;"",_xlfn.XLOOKUP($F74,Naturezas!B:B,Naturezas!D:D,"",0,1),"")</f>
        <v/>
      </c>
      <c r="U74" s="5" t="str">
        <f>IF(F74&lt;&gt;"",IF(OR(F74=Naturezas!$B$3,F74=Naturezas!$B$4,F74=Naturezas!$B$5,F74=Naturezas!$B$17,F74=Naturezas!$B$18,F74=Naturezas!$B$19),H74,-H74),"")</f>
        <v/>
      </c>
      <c r="V74" s="4" t="str">
        <f t="shared" ref="V74:V137" si="7">IF(F74&lt;&gt;"",F74,"")</f>
        <v/>
      </c>
      <c r="W74" s="4"/>
      <c r="X74" s="4" t="str">
        <f t="shared" ref="X74:X137" si="8">IF(F74&lt;&gt;"",G74,"")</f>
        <v/>
      </c>
      <c r="Y74" s="6" t="str">
        <f>IF(F74&lt;&gt;"",Tabela1[[#This Row],[Iniciais]],"")</f>
        <v/>
      </c>
      <c r="Z74" s="2"/>
      <c r="AA74" s="6" t="str">
        <f>IF($F74&lt;&gt;"",RIGHT(Tabela1[[#This Row],[Ref.]],2),"")</f>
        <v/>
      </c>
      <c r="AB74" s="46" t="str">
        <f>IF($F74&lt;&gt;"",DATE(LEFT(Tabela1[[#This Row],[Ref.]],4),RIGHT(Tabela1[[#This Row],[Ref.]],2),1),"")</f>
        <v/>
      </c>
      <c r="AC74" s="4" t="str">
        <f t="shared" ref="AC74:AC137" si="9">IF($F74&lt;&gt;"",$G74,"")</f>
        <v/>
      </c>
      <c r="AD74" s="5" t="str">
        <f t="shared" ref="AD74:AD137" si="10">IF($F74&lt;&gt;"",$H74,"")</f>
        <v/>
      </c>
      <c r="AE74" s="4"/>
      <c r="AF74" s="6" t="str">
        <f t="shared" ref="AF74:AF137" si="11">IF($F74&lt;&gt;"",$B$2,"")</f>
        <v/>
      </c>
      <c r="AG74" s="2"/>
      <c r="AH74" s="2"/>
      <c r="AJ74" s="2"/>
    </row>
    <row r="75" spans="1:36" ht="15.75" customHeight="1" x14ac:dyDescent="0.2">
      <c r="A75" s="42"/>
      <c r="B75" s="44"/>
      <c r="C75" s="41"/>
      <c r="D75" s="41"/>
      <c r="E75" s="41"/>
      <c r="F75" s="11"/>
      <c r="G75" s="11"/>
      <c r="H75" s="43"/>
      <c r="K75" s="25"/>
      <c r="M75" s="31"/>
      <c r="N75" s="31"/>
      <c r="O75" s="33"/>
      <c r="P75" s="3"/>
      <c r="Q75" s="6" t="str">
        <f>IF($F75&lt;&gt;"",RIGHT(Tabela1[[#This Row],[Ref.]],2),"")</f>
        <v/>
      </c>
      <c r="R75" s="6" t="str">
        <f t="shared" si="6"/>
        <v/>
      </c>
      <c r="S75" s="4" t="str">
        <f>IF($F75&lt;&gt;"",_xlfn.XLOOKUP(F75,Naturezas!B:B,Naturezas!E:E,"",0,1),"")</f>
        <v/>
      </c>
      <c r="T75" s="4" t="str">
        <f>IF($F75&lt;&gt;"",_xlfn.XLOOKUP($F75,Naturezas!B:B,Naturezas!D:D,"",0,1),"")</f>
        <v/>
      </c>
      <c r="U75" s="5" t="str">
        <f>IF(F75&lt;&gt;"",IF(OR(F75=Naturezas!$B$3,F75=Naturezas!$B$4,F75=Naturezas!$B$5,F75=Naturezas!$B$17,F75=Naturezas!$B$18,F75=Naturezas!$B$19),H75,-H75),"")</f>
        <v/>
      </c>
      <c r="V75" s="4" t="str">
        <f t="shared" si="7"/>
        <v/>
      </c>
      <c r="W75" s="4"/>
      <c r="X75" s="4" t="str">
        <f t="shared" si="8"/>
        <v/>
      </c>
      <c r="Y75" s="6" t="str">
        <f>IF(F75&lt;&gt;"",Tabela1[[#This Row],[Iniciais]],"")</f>
        <v/>
      </c>
      <c r="AA75" s="6" t="str">
        <f>IF($F75&lt;&gt;"",RIGHT(Tabela1[[#This Row],[Ref.]],2),"")</f>
        <v/>
      </c>
      <c r="AB75" s="46" t="str">
        <f>IF($F75&lt;&gt;"",DATE(LEFT(Tabela1[[#This Row],[Ref.]],4),RIGHT(Tabela1[[#This Row],[Ref.]],2),1),"")</f>
        <v/>
      </c>
      <c r="AC75" s="4" t="str">
        <f t="shared" si="9"/>
        <v/>
      </c>
      <c r="AD75" s="5" t="str">
        <f t="shared" si="10"/>
        <v/>
      </c>
      <c r="AE75" s="4"/>
      <c r="AF75" s="6" t="str">
        <f t="shared" si="11"/>
        <v/>
      </c>
    </row>
    <row r="76" spans="1:36" ht="15.75" customHeight="1" x14ac:dyDescent="0.2">
      <c r="A76" s="42"/>
      <c r="B76" s="44"/>
      <c r="C76" s="41"/>
      <c r="D76" s="41"/>
      <c r="E76" s="41"/>
      <c r="F76" s="11"/>
      <c r="G76" s="11"/>
      <c r="H76" s="43"/>
      <c r="K76" s="25"/>
      <c r="M76" s="31"/>
      <c r="N76" s="31"/>
      <c r="O76" s="33"/>
      <c r="P76" s="3"/>
      <c r="Q76" s="6" t="str">
        <f>IF($F76&lt;&gt;"",RIGHT(Tabela1[[#This Row],[Ref.]],2),"")</f>
        <v/>
      </c>
      <c r="R76" s="6" t="str">
        <f t="shared" si="6"/>
        <v/>
      </c>
      <c r="S76" s="4" t="str">
        <f>IF($F76&lt;&gt;"",_xlfn.XLOOKUP(F76,Naturezas!B:B,Naturezas!E:E,"",0,1),"")</f>
        <v/>
      </c>
      <c r="T76" s="4" t="str">
        <f>IF($F76&lt;&gt;"",_xlfn.XLOOKUP($F76,Naturezas!B:B,Naturezas!D:D,"",0,1),"")</f>
        <v/>
      </c>
      <c r="U76" s="5" t="str">
        <f>IF(F76&lt;&gt;"",IF(OR(F76=Naturezas!$B$3,F76=Naturezas!$B$4,F76=Naturezas!$B$5,F76=Naturezas!$B$17,F76=Naturezas!$B$18,F76=Naturezas!$B$19),H76,-H76),"")</f>
        <v/>
      </c>
      <c r="V76" s="4" t="str">
        <f t="shared" si="7"/>
        <v/>
      </c>
      <c r="W76" s="4"/>
      <c r="X76" s="4" t="str">
        <f t="shared" si="8"/>
        <v/>
      </c>
      <c r="Y76" s="6" t="str">
        <f>IF(F76&lt;&gt;"",Tabela1[[#This Row],[Iniciais]],"")</f>
        <v/>
      </c>
      <c r="AA76" s="6" t="str">
        <f>IF($F76&lt;&gt;"",RIGHT(Tabela1[[#This Row],[Ref.]],2),"")</f>
        <v/>
      </c>
      <c r="AB76" s="46" t="str">
        <f>IF($F76&lt;&gt;"",DATE(LEFT(Tabela1[[#This Row],[Ref.]],4),RIGHT(Tabela1[[#This Row],[Ref.]],2),1),"")</f>
        <v/>
      </c>
      <c r="AC76" s="4" t="str">
        <f t="shared" si="9"/>
        <v/>
      </c>
      <c r="AD76" s="5" t="str">
        <f t="shared" si="10"/>
        <v/>
      </c>
      <c r="AE76" s="4"/>
      <c r="AF76" s="6" t="str">
        <f t="shared" si="11"/>
        <v/>
      </c>
    </row>
    <row r="77" spans="1:36" ht="15.75" customHeight="1" x14ac:dyDescent="0.2">
      <c r="A77" s="42"/>
      <c r="B77" s="44"/>
      <c r="C77" s="41"/>
      <c r="D77" s="41"/>
      <c r="E77" s="41"/>
      <c r="F77" s="11"/>
      <c r="G77" s="11"/>
      <c r="H77" s="43"/>
      <c r="K77" s="25"/>
      <c r="M77" s="31"/>
      <c r="N77" s="31"/>
      <c r="O77" s="33"/>
      <c r="P77" s="3"/>
      <c r="Q77" s="6" t="str">
        <f>IF($F77&lt;&gt;"",RIGHT(Tabela1[[#This Row],[Ref.]],2),"")</f>
        <v/>
      </c>
      <c r="R77" s="6" t="str">
        <f t="shared" si="6"/>
        <v/>
      </c>
      <c r="S77" s="4" t="str">
        <f>IF($F77&lt;&gt;"",_xlfn.XLOOKUP(F77,Naturezas!B:B,Naturezas!E:E,"",0,1),"")</f>
        <v/>
      </c>
      <c r="T77" s="4" t="str">
        <f>IF($F77&lt;&gt;"",_xlfn.XLOOKUP($F77,Naturezas!B:B,Naturezas!D:D,"",0,1),"")</f>
        <v/>
      </c>
      <c r="U77" s="5" t="str">
        <f>IF(F77&lt;&gt;"",IF(OR(F77=Naturezas!$B$3,F77=Naturezas!$B$4,F77=Naturezas!$B$5,F77=Naturezas!$B$17,F77=Naturezas!$B$18,F77=Naturezas!$B$19),H77,-H77),"")</f>
        <v/>
      </c>
      <c r="V77" s="4" t="str">
        <f t="shared" si="7"/>
        <v/>
      </c>
      <c r="W77" s="4"/>
      <c r="X77" s="4" t="str">
        <f t="shared" si="8"/>
        <v/>
      </c>
      <c r="Y77" s="6" t="str">
        <f>IF(F77&lt;&gt;"",Tabela1[[#This Row],[Iniciais]],"")</f>
        <v/>
      </c>
      <c r="AA77" s="6" t="str">
        <f>IF($F77&lt;&gt;"",RIGHT(Tabela1[[#This Row],[Ref.]],2),"")</f>
        <v/>
      </c>
      <c r="AB77" s="46" t="str">
        <f>IF($F77&lt;&gt;"",DATE(LEFT(Tabela1[[#This Row],[Ref.]],4),RIGHT(Tabela1[[#This Row],[Ref.]],2),1),"")</f>
        <v/>
      </c>
      <c r="AC77" s="4" t="str">
        <f t="shared" si="9"/>
        <v/>
      </c>
      <c r="AD77" s="5" t="str">
        <f t="shared" si="10"/>
        <v/>
      </c>
      <c r="AE77" s="4"/>
      <c r="AF77" s="6" t="str">
        <f t="shared" si="11"/>
        <v/>
      </c>
    </row>
    <row r="78" spans="1:36" ht="15.75" customHeight="1" x14ac:dyDescent="0.2">
      <c r="A78" s="42"/>
      <c r="B78" s="44"/>
      <c r="C78" s="41"/>
      <c r="D78" s="41"/>
      <c r="E78" s="41"/>
      <c r="F78" s="11"/>
      <c r="G78" s="11"/>
      <c r="H78" s="43"/>
      <c r="K78" s="25"/>
      <c r="M78" s="31"/>
      <c r="N78" s="31"/>
      <c r="O78" s="33"/>
      <c r="P78" s="3"/>
      <c r="Q78" s="6" t="str">
        <f>IF($F78&lt;&gt;"",RIGHT(Tabela1[[#This Row],[Ref.]],2),"")</f>
        <v/>
      </c>
      <c r="R78" s="6" t="str">
        <f t="shared" si="6"/>
        <v/>
      </c>
      <c r="S78" s="4" t="str">
        <f>IF($F78&lt;&gt;"",_xlfn.XLOOKUP(F78,Naturezas!B:B,Naturezas!E:E,"",0,1),"")</f>
        <v/>
      </c>
      <c r="T78" s="4" t="str">
        <f>IF($F78&lt;&gt;"",_xlfn.XLOOKUP($F78,Naturezas!B:B,Naturezas!D:D,"",0,1),"")</f>
        <v/>
      </c>
      <c r="U78" s="5" t="str">
        <f>IF(F78&lt;&gt;"",IF(OR(F78=Naturezas!$B$3,F78=Naturezas!$B$4,F78=Naturezas!$B$5,F78=Naturezas!$B$17,F78=Naturezas!$B$18,F78=Naturezas!$B$19),H78,-H78),"")</f>
        <v/>
      </c>
      <c r="V78" s="4" t="str">
        <f t="shared" si="7"/>
        <v/>
      </c>
      <c r="W78" s="4"/>
      <c r="X78" s="4" t="str">
        <f t="shared" si="8"/>
        <v/>
      </c>
      <c r="Y78" s="6" t="str">
        <f>IF(F78&lt;&gt;"",Tabela1[[#This Row],[Iniciais]],"")</f>
        <v/>
      </c>
      <c r="AA78" s="6" t="str">
        <f>IF($F78&lt;&gt;"",RIGHT(Tabela1[[#This Row],[Ref.]],2),"")</f>
        <v/>
      </c>
      <c r="AB78" s="46" t="str">
        <f>IF($F78&lt;&gt;"",DATE(LEFT(Tabela1[[#This Row],[Ref.]],4),RIGHT(Tabela1[[#This Row],[Ref.]],2),1),"")</f>
        <v/>
      </c>
      <c r="AC78" s="4" t="str">
        <f t="shared" si="9"/>
        <v/>
      </c>
      <c r="AD78" s="5" t="str">
        <f t="shared" si="10"/>
        <v/>
      </c>
      <c r="AE78" s="4"/>
      <c r="AF78" s="6" t="str">
        <f t="shared" si="11"/>
        <v/>
      </c>
    </row>
    <row r="79" spans="1:36" ht="15.75" customHeight="1" x14ac:dyDescent="0.2">
      <c r="A79" s="42"/>
      <c r="B79" s="44"/>
      <c r="C79" s="41"/>
      <c r="D79" s="41"/>
      <c r="E79" s="41"/>
      <c r="F79" s="11"/>
      <c r="G79" s="11"/>
      <c r="H79" s="43"/>
      <c r="K79" s="25"/>
      <c r="M79" s="31"/>
      <c r="N79" s="31"/>
      <c r="O79" s="33"/>
      <c r="P79" s="3"/>
      <c r="Q79" s="6" t="str">
        <f>IF($F79&lt;&gt;"",RIGHT(Tabela1[[#This Row],[Ref.]],2),"")</f>
        <v/>
      </c>
      <c r="R79" s="6" t="str">
        <f t="shared" si="6"/>
        <v/>
      </c>
      <c r="S79" s="4" t="str">
        <f>IF($F79&lt;&gt;"",_xlfn.XLOOKUP(F79,Naturezas!B:B,Naturezas!E:E,"",0,1),"")</f>
        <v/>
      </c>
      <c r="T79" s="4" t="str">
        <f>IF($F79&lt;&gt;"",_xlfn.XLOOKUP($F79,Naturezas!B:B,Naturezas!D:D,"",0,1),"")</f>
        <v/>
      </c>
      <c r="U79" s="5" t="str">
        <f>IF(F79&lt;&gt;"",IF(OR(F79=Naturezas!$B$3,F79=Naturezas!$B$4,F79=Naturezas!$B$5,F79=Naturezas!$B$17,F79=Naturezas!$B$18,F79=Naturezas!$B$19),H79,-H79),"")</f>
        <v/>
      </c>
      <c r="V79" s="4" t="str">
        <f t="shared" si="7"/>
        <v/>
      </c>
      <c r="W79" s="4"/>
      <c r="X79" s="4" t="str">
        <f t="shared" si="8"/>
        <v/>
      </c>
      <c r="Y79" s="6" t="str">
        <f>IF(F79&lt;&gt;"",Tabela1[[#This Row],[Iniciais]],"")</f>
        <v/>
      </c>
      <c r="AA79" s="6" t="str">
        <f>IF($F79&lt;&gt;"",RIGHT(Tabela1[[#This Row],[Ref.]],2),"")</f>
        <v/>
      </c>
      <c r="AB79" s="46" t="str">
        <f>IF($F79&lt;&gt;"",DATE(LEFT(Tabela1[[#This Row],[Ref.]],4),RIGHT(Tabela1[[#This Row],[Ref.]],2),1),"")</f>
        <v/>
      </c>
      <c r="AC79" s="4" t="str">
        <f t="shared" si="9"/>
        <v/>
      </c>
      <c r="AD79" s="5" t="str">
        <f t="shared" si="10"/>
        <v/>
      </c>
      <c r="AE79" s="4"/>
      <c r="AF79" s="6" t="str">
        <f t="shared" si="11"/>
        <v/>
      </c>
    </row>
    <row r="80" spans="1:36" ht="15.75" customHeight="1" x14ac:dyDescent="0.2">
      <c r="A80" s="42"/>
      <c r="B80" s="44"/>
      <c r="C80" s="41"/>
      <c r="D80" s="41"/>
      <c r="E80" s="41"/>
      <c r="F80" s="11"/>
      <c r="G80" s="11"/>
      <c r="H80" s="43"/>
      <c r="K80" s="25"/>
      <c r="M80" s="31"/>
      <c r="N80" s="31"/>
      <c r="O80" s="33"/>
      <c r="P80" s="3"/>
      <c r="Q80" s="6" t="str">
        <f>IF($F80&lt;&gt;"",RIGHT(Tabela1[[#This Row],[Ref.]],2),"")</f>
        <v/>
      </c>
      <c r="R80" s="6" t="str">
        <f t="shared" si="6"/>
        <v/>
      </c>
      <c r="S80" s="4" t="str">
        <f>IF($F80&lt;&gt;"",_xlfn.XLOOKUP(F80,Naturezas!B:B,Naturezas!E:E,"",0,1),"")</f>
        <v/>
      </c>
      <c r="T80" s="4" t="str">
        <f>IF($F80&lt;&gt;"",_xlfn.XLOOKUP($F80,Naturezas!B:B,Naturezas!D:D,"",0,1),"")</f>
        <v/>
      </c>
      <c r="U80" s="5" t="str">
        <f>IF(F80&lt;&gt;"",IF(OR(F80=Naturezas!$B$3,F80=Naturezas!$B$4,F80=Naturezas!$B$5,F80=Naturezas!$B$17,F80=Naturezas!$B$18,F80=Naturezas!$B$19),H80,-H80),"")</f>
        <v/>
      </c>
      <c r="V80" s="4" t="str">
        <f t="shared" si="7"/>
        <v/>
      </c>
      <c r="W80" s="4"/>
      <c r="X80" s="4" t="str">
        <f t="shared" si="8"/>
        <v/>
      </c>
      <c r="Y80" s="6" t="str">
        <f>IF(F80&lt;&gt;"",Tabela1[[#This Row],[Iniciais]],"")</f>
        <v/>
      </c>
      <c r="AA80" s="6" t="str">
        <f>IF($F80&lt;&gt;"",RIGHT(Tabela1[[#This Row],[Ref.]],2),"")</f>
        <v/>
      </c>
      <c r="AB80" s="46" t="str">
        <f>IF($F80&lt;&gt;"",DATE(LEFT(Tabela1[[#This Row],[Ref.]],4),RIGHT(Tabela1[[#This Row],[Ref.]],2),1),"")</f>
        <v/>
      </c>
      <c r="AC80" s="4" t="str">
        <f t="shared" si="9"/>
        <v/>
      </c>
      <c r="AD80" s="5" t="str">
        <f t="shared" si="10"/>
        <v/>
      </c>
      <c r="AE80" s="4"/>
      <c r="AF80" s="6" t="str">
        <f t="shared" si="11"/>
        <v/>
      </c>
    </row>
    <row r="81" spans="1:32" ht="15.75" customHeight="1" x14ac:dyDescent="0.2">
      <c r="A81" s="42"/>
      <c r="B81" s="44"/>
      <c r="C81" s="41"/>
      <c r="D81" s="41"/>
      <c r="E81" s="41"/>
      <c r="F81" s="11"/>
      <c r="G81" s="11"/>
      <c r="H81" s="43"/>
      <c r="K81" s="25"/>
      <c r="M81" s="31"/>
      <c r="N81" s="31"/>
      <c r="O81" s="33"/>
      <c r="P81" s="3"/>
      <c r="Q81" s="6" t="str">
        <f>IF($F81&lt;&gt;"",RIGHT(Tabela1[[#This Row],[Ref.]],2),"")</f>
        <v/>
      </c>
      <c r="R81" s="6" t="str">
        <f t="shared" si="6"/>
        <v/>
      </c>
      <c r="S81" s="4" t="str">
        <f>IF($F81&lt;&gt;"",_xlfn.XLOOKUP(F81,Naturezas!B:B,Naturezas!E:E,"",0,1),"")</f>
        <v/>
      </c>
      <c r="T81" s="4" t="str">
        <f>IF($F81&lt;&gt;"",_xlfn.XLOOKUP($F81,Naturezas!B:B,Naturezas!D:D,"",0,1),"")</f>
        <v/>
      </c>
      <c r="U81" s="5" t="str">
        <f>IF(F81&lt;&gt;"",IF(OR(F81=Naturezas!$B$3,F81=Naturezas!$B$4,F81=Naturezas!$B$5,F81=Naturezas!$B$17,F81=Naturezas!$B$18,F81=Naturezas!$B$19),H81,-H81),"")</f>
        <v/>
      </c>
      <c r="V81" s="4" t="str">
        <f t="shared" si="7"/>
        <v/>
      </c>
      <c r="W81" s="4"/>
      <c r="X81" s="4" t="str">
        <f t="shared" si="8"/>
        <v/>
      </c>
      <c r="Y81" s="6" t="str">
        <f>IF(F81&lt;&gt;"",Tabela1[[#This Row],[Iniciais]],"")</f>
        <v/>
      </c>
      <c r="AA81" s="6" t="str">
        <f>IF($F81&lt;&gt;"",RIGHT(Tabela1[[#This Row],[Ref.]],2),"")</f>
        <v/>
      </c>
      <c r="AB81" s="46" t="str">
        <f>IF($F81&lt;&gt;"",DATE(LEFT(Tabela1[[#This Row],[Ref.]],4),RIGHT(Tabela1[[#This Row],[Ref.]],2),1),"")</f>
        <v/>
      </c>
      <c r="AC81" s="4" t="str">
        <f t="shared" si="9"/>
        <v/>
      </c>
      <c r="AD81" s="5" t="str">
        <f t="shared" si="10"/>
        <v/>
      </c>
      <c r="AE81" s="4"/>
      <c r="AF81" s="6" t="str">
        <f t="shared" si="11"/>
        <v/>
      </c>
    </row>
    <row r="82" spans="1:32" ht="15.75" customHeight="1" x14ac:dyDescent="0.2">
      <c r="A82" s="42"/>
      <c r="B82" s="44"/>
      <c r="C82" s="41"/>
      <c r="D82" s="41"/>
      <c r="E82" s="41"/>
      <c r="F82" s="11"/>
      <c r="G82" s="11"/>
      <c r="H82" s="43"/>
      <c r="K82" s="25"/>
      <c r="M82" s="31"/>
      <c r="N82" s="31"/>
      <c r="O82" s="33"/>
      <c r="P82" s="3"/>
      <c r="Q82" s="6" t="str">
        <f>IF($F82&lt;&gt;"",RIGHT(Tabela1[[#This Row],[Ref.]],2),"")</f>
        <v/>
      </c>
      <c r="R82" s="6" t="str">
        <f t="shared" si="6"/>
        <v/>
      </c>
      <c r="S82" s="4" t="str">
        <f>IF($F82&lt;&gt;"",_xlfn.XLOOKUP(F82,Naturezas!B:B,Naturezas!E:E,"",0,1),"")</f>
        <v/>
      </c>
      <c r="T82" s="4" t="str">
        <f>IF($F82&lt;&gt;"",_xlfn.XLOOKUP($F82,Naturezas!B:B,Naturezas!D:D,"",0,1),"")</f>
        <v/>
      </c>
      <c r="U82" s="5" t="str">
        <f>IF(F82&lt;&gt;"",IF(OR(F82=Naturezas!$B$3,F82=Naturezas!$B$4,F82=Naturezas!$B$5,F82=Naturezas!$B$17,F82=Naturezas!$B$18,F82=Naturezas!$B$19),H82,-H82),"")</f>
        <v/>
      </c>
      <c r="V82" s="4" t="str">
        <f t="shared" si="7"/>
        <v/>
      </c>
      <c r="W82" s="4"/>
      <c r="X82" s="4" t="str">
        <f t="shared" si="8"/>
        <v/>
      </c>
      <c r="Y82" s="6" t="str">
        <f>IF(F82&lt;&gt;"",Tabela1[[#This Row],[Iniciais]],"")</f>
        <v/>
      </c>
      <c r="AA82" s="6" t="str">
        <f>IF($F82&lt;&gt;"",RIGHT(Tabela1[[#This Row],[Ref.]],2),"")</f>
        <v/>
      </c>
      <c r="AB82" s="46" t="str">
        <f>IF($F82&lt;&gt;"",DATE(LEFT(Tabela1[[#This Row],[Ref.]],4),RIGHT(Tabela1[[#This Row],[Ref.]],2),1),"")</f>
        <v/>
      </c>
      <c r="AC82" s="4" t="str">
        <f t="shared" si="9"/>
        <v/>
      </c>
      <c r="AD82" s="5" t="str">
        <f t="shared" si="10"/>
        <v/>
      </c>
      <c r="AE82" s="4"/>
      <c r="AF82" s="6" t="str">
        <f t="shared" si="11"/>
        <v/>
      </c>
    </row>
    <row r="83" spans="1:32" ht="15.75" customHeight="1" x14ac:dyDescent="0.2">
      <c r="A83" s="42"/>
      <c r="B83" s="44"/>
      <c r="C83" s="41"/>
      <c r="D83" s="41"/>
      <c r="E83" s="41"/>
      <c r="F83" s="11"/>
      <c r="G83" s="11"/>
      <c r="H83" s="43"/>
      <c r="K83" s="25"/>
      <c r="M83" s="31"/>
      <c r="N83" s="31"/>
      <c r="O83" s="33"/>
      <c r="P83" s="3"/>
      <c r="Q83" s="6" t="str">
        <f>IF($F83&lt;&gt;"",RIGHT(Tabela1[[#This Row],[Ref.]],2),"")</f>
        <v/>
      </c>
      <c r="R83" s="6" t="str">
        <f t="shared" si="6"/>
        <v/>
      </c>
      <c r="S83" s="4" t="str">
        <f>IF($F83&lt;&gt;"",_xlfn.XLOOKUP(F83,Naturezas!B:B,Naturezas!E:E,"",0,1),"")</f>
        <v/>
      </c>
      <c r="T83" s="4" t="str">
        <f>IF($F83&lt;&gt;"",_xlfn.XLOOKUP($F83,Naturezas!B:B,Naturezas!D:D,"",0,1),"")</f>
        <v/>
      </c>
      <c r="U83" s="5" t="str">
        <f>IF(F83&lt;&gt;"",IF(OR(F83=Naturezas!$B$3,F83=Naturezas!$B$4,F83=Naturezas!$B$5,F83=Naturezas!$B$17,F83=Naturezas!$B$18,F83=Naturezas!$B$19),H83,-H83),"")</f>
        <v/>
      </c>
      <c r="V83" s="4" t="str">
        <f t="shared" si="7"/>
        <v/>
      </c>
      <c r="W83" s="4"/>
      <c r="X83" s="4" t="str">
        <f t="shared" si="8"/>
        <v/>
      </c>
      <c r="Y83" s="6" t="str">
        <f>IF(F83&lt;&gt;"",Tabela1[[#This Row],[Iniciais]],"")</f>
        <v/>
      </c>
      <c r="AA83" s="6" t="str">
        <f>IF($F83&lt;&gt;"",RIGHT(Tabela1[[#This Row],[Ref.]],2),"")</f>
        <v/>
      </c>
      <c r="AB83" s="46" t="str">
        <f>IF($F83&lt;&gt;"",DATE(LEFT(Tabela1[[#This Row],[Ref.]],4),RIGHT(Tabela1[[#This Row],[Ref.]],2),1),"")</f>
        <v/>
      </c>
      <c r="AC83" s="4" t="str">
        <f t="shared" si="9"/>
        <v/>
      </c>
      <c r="AD83" s="5" t="str">
        <f t="shared" si="10"/>
        <v/>
      </c>
      <c r="AE83" s="4"/>
      <c r="AF83" s="6" t="str">
        <f t="shared" si="11"/>
        <v/>
      </c>
    </row>
    <row r="84" spans="1:32" ht="15.75" customHeight="1" x14ac:dyDescent="0.2">
      <c r="A84" s="42"/>
      <c r="B84" s="44"/>
      <c r="C84" s="41"/>
      <c r="D84" s="41"/>
      <c r="E84" s="41"/>
      <c r="F84" s="11"/>
      <c r="G84" s="11"/>
      <c r="H84" s="43"/>
      <c r="K84" s="25"/>
      <c r="M84" s="31"/>
      <c r="N84" s="31"/>
      <c r="O84" s="33"/>
      <c r="P84" s="3"/>
      <c r="Q84" s="6" t="str">
        <f>IF($F84&lt;&gt;"",RIGHT(Tabela1[[#This Row],[Ref.]],2),"")</f>
        <v/>
      </c>
      <c r="R84" s="6" t="str">
        <f t="shared" si="6"/>
        <v/>
      </c>
      <c r="S84" s="4" t="str">
        <f>IF($F84&lt;&gt;"",_xlfn.XLOOKUP(F84,Naturezas!B:B,Naturezas!E:E,"",0,1),"")</f>
        <v/>
      </c>
      <c r="T84" s="4" t="str">
        <f>IF($F84&lt;&gt;"",_xlfn.XLOOKUP($F84,Naturezas!B:B,Naturezas!D:D,"",0,1),"")</f>
        <v/>
      </c>
      <c r="U84" s="5" t="str">
        <f>IF(F84&lt;&gt;"",IF(OR(F84=Naturezas!$B$3,F84=Naturezas!$B$4,F84=Naturezas!$B$5,F84=Naturezas!$B$17,F84=Naturezas!$B$18,F84=Naturezas!$B$19),H84,-H84),"")</f>
        <v/>
      </c>
      <c r="V84" s="4" t="str">
        <f t="shared" si="7"/>
        <v/>
      </c>
      <c r="W84" s="4"/>
      <c r="X84" s="4" t="str">
        <f t="shared" si="8"/>
        <v/>
      </c>
      <c r="Y84" s="6" t="str">
        <f>IF(F84&lt;&gt;"",Tabela1[[#This Row],[Iniciais]],"")</f>
        <v/>
      </c>
      <c r="AA84" s="6" t="str">
        <f>IF($F84&lt;&gt;"",RIGHT(Tabela1[[#This Row],[Ref.]],2),"")</f>
        <v/>
      </c>
      <c r="AB84" s="46" t="str">
        <f>IF($F84&lt;&gt;"",DATE(LEFT(Tabela1[[#This Row],[Ref.]],4),RIGHT(Tabela1[[#This Row],[Ref.]],2),1),"")</f>
        <v/>
      </c>
      <c r="AC84" s="4" t="str">
        <f t="shared" si="9"/>
        <v/>
      </c>
      <c r="AD84" s="5" t="str">
        <f t="shared" si="10"/>
        <v/>
      </c>
      <c r="AE84" s="4"/>
      <c r="AF84" s="6" t="str">
        <f t="shared" si="11"/>
        <v/>
      </c>
    </row>
    <row r="85" spans="1:32" ht="15.75" customHeight="1" x14ac:dyDescent="0.2">
      <c r="A85" s="42"/>
      <c r="B85" s="44"/>
      <c r="C85" s="41"/>
      <c r="D85" s="41"/>
      <c r="E85" s="41"/>
      <c r="F85" s="11"/>
      <c r="G85" s="11"/>
      <c r="H85" s="43"/>
      <c r="K85" s="25"/>
      <c r="M85" s="31"/>
      <c r="N85" s="31"/>
      <c r="O85" s="33"/>
      <c r="P85" s="3"/>
      <c r="Q85" s="6" t="str">
        <f>IF($F85&lt;&gt;"",RIGHT(Tabela1[[#This Row],[Ref.]],2),"")</f>
        <v/>
      </c>
      <c r="R85" s="6" t="str">
        <f t="shared" si="6"/>
        <v/>
      </c>
      <c r="S85" s="4" t="str">
        <f>IF($F85&lt;&gt;"",_xlfn.XLOOKUP(F85,Naturezas!B:B,Naturezas!E:E,"",0,1),"")</f>
        <v/>
      </c>
      <c r="T85" s="4" t="str">
        <f>IF($F85&lt;&gt;"",_xlfn.XLOOKUP($F85,Naturezas!B:B,Naturezas!D:D,"",0,1),"")</f>
        <v/>
      </c>
      <c r="U85" s="5" t="str">
        <f>IF(F85&lt;&gt;"",IF(OR(F85=Naturezas!$B$3,F85=Naturezas!$B$4,F85=Naturezas!$B$5,F85=Naturezas!$B$17,F85=Naturezas!$B$18,F85=Naturezas!$B$19),H85,-H85),"")</f>
        <v/>
      </c>
      <c r="V85" s="4" t="str">
        <f t="shared" si="7"/>
        <v/>
      </c>
      <c r="W85" s="4"/>
      <c r="X85" s="4" t="str">
        <f t="shared" si="8"/>
        <v/>
      </c>
      <c r="Y85" s="6" t="str">
        <f>IF(F85&lt;&gt;"",Tabela1[[#This Row],[Iniciais]],"")</f>
        <v/>
      </c>
      <c r="AA85" s="6" t="str">
        <f>IF($F85&lt;&gt;"",RIGHT(Tabela1[[#This Row],[Ref.]],2),"")</f>
        <v/>
      </c>
      <c r="AB85" s="46" t="str">
        <f>IF($F85&lt;&gt;"",DATE(LEFT(Tabela1[[#This Row],[Ref.]],4),RIGHT(Tabela1[[#This Row],[Ref.]],2),1),"")</f>
        <v/>
      </c>
      <c r="AC85" s="4" t="str">
        <f t="shared" si="9"/>
        <v/>
      </c>
      <c r="AD85" s="5" t="str">
        <f t="shared" si="10"/>
        <v/>
      </c>
      <c r="AE85" s="4"/>
      <c r="AF85" s="6" t="str">
        <f t="shared" si="11"/>
        <v/>
      </c>
    </row>
    <row r="86" spans="1:32" ht="15.75" customHeight="1" x14ac:dyDescent="0.2">
      <c r="A86" s="42"/>
      <c r="B86" s="44"/>
      <c r="C86" s="41"/>
      <c r="D86" s="41"/>
      <c r="E86" s="41"/>
      <c r="F86" s="11"/>
      <c r="G86" s="11"/>
      <c r="H86" s="43"/>
      <c r="K86" s="25"/>
      <c r="M86" s="31"/>
      <c r="N86" s="31"/>
      <c r="O86" s="33"/>
      <c r="P86" s="3"/>
      <c r="Q86" s="6" t="str">
        <f>IF($F86&lt;&gt;"",RIGHT(Tabela1[[#This Row],[Ref.]],2),"")</f>
        <v/>
      </c>
      <c r="R86" s="6" t="str">
        <f t="shared" si="6"/>
        <v/>
      </c>
      <c r="S86" s="4" t="str">
        <f>IF($F86&lt;&gt;"",_xlfn.XLOOKUP(F86,Naturezas!B:B,Naturezas!E:E,"",0,1),"")</f>
        <v/>
      </c>
      <c r="T86" s="4" t="str">
        <f>IF($F86&lt;&gt;"",_xlfn.XLOOKUP($F86,Naturezas!B:B,Naturezas!D:D,"",0,1),"")</f>
        <v/>
      </c>
      <c r="U86" s="5" t="str">
        <f>IF(F86&lt;&gt;"",IF(OR(F86=Naturezas!$B$3,F86=Naturezas!$B$4,F86=Naturezas!$B$5,F86=Naturezas!$B$17,F86=Naturezas!$B$18,F86=Naturezas!$B$19),H86,-H86),"")</f>
        <v/>
      </c>
      <c r="V86" s="4" t="str">
        <f t="shared" si="7"/>
        <v/>
      </c>
      <c r="W86" s="4"/>
      <c r="X86" s="4" t="str">
        <f t="shared" si="8"/>
        <v/>
      </c>
      <c r="Y86" s="6" t="str">
        <f>IF(F86&lt;&gt;"",Tabela1[[#This Row],[Iniciais]],"")</f>
        <v/>
      </c>
      <c r="AA86" s="6" t="str">
        <f>IF($F86&lt;&gt;"",RIGHT(Tabela1[[#This Row],[Ref.]],2),"")</f>
        <v/>
      </c>
      <c r="AB86" s="46" t="str">
        <f>IF($F86&lt;&gt;"",DATE(LEFT(Tabela1[[#This Row],[Ref.]],4),RIGHT(Tabela1[[#This Row],[Ref.]],2),1),"")</f>
        <v/>
      </c>
      <c r="AC86" s="4" t="str">
        <f t="shared" si="9"/>
        <v/>
      </c>
      <c r="AD86" s="5" t="str">
        <f t="shared" si="10"/>
        <v/>
      </c>
      <c r="AE86" s="4"/>
      <c r="AF86" s="6" t="str">
        <f t="shared" si="11"/>
        <v/>
      </c>
    </row>
    <row r="87" spans="1:32" ht="15.75" customHeight="1" x14ac:dyDescent="0.2">
      <c r="A87" s="42"/>
      <c r="B87" s="44"/>
      <c r="C87" s="41"/>
      <c r="D87" s="41"/>
      <c r="E87" s="41"/>
      <c r="F87" s="11"/>
      <c r="G87" s="11"/>
      <c r="H87" s="43"/>
      <c r="K87" s="25"/>
      <c r="M87" s="31"/>
      <c r="N87" s="31"/>
      <c r="O87" s="33"/>
      <c r="P87" s="3"/>
      <c r="Q87" s="6" t="str">
        <f>IF($F87&lt;&gt;"",RIGHT(Tabela1[[#This Row],[Ref.]],2),"")</f>
        <v/>
      </c>
      <c r="R87" s="6" t="str">
        <f t="shared" si="6"/>
        <v/>
      </c>
      <c r="S87" s="4" t="str">
        <f>IF($F87&lt;&gt;"",_xlfn.XLOOKUP(F87,Naturezas!B:B,Naturezas!E:E,"",0,1),"")</f>
        <v/>
      </c>
      <c r="T87" s="4" t="str">
        <f>IF($F87&lt;&gt;"",_xlfn.XLOOKUP($F87,Naturezas!B:B,Naturezas!D:D,"",0,1),"")</f>
        <v/>
      </c>
      <c r="U87" s="5" t="str">
        <f>IF(F87&lt;&gt;"",IF(OR(F87=Naturezas!$B$3,F87=Naturezas!$B$4,F87=Naturezas!$B$5,F87=Naturezas!$B$17,F87=Naturezas!$B$18,F87=Naturezas!$B$19),H87,-H87),"")</f>
        <v/>
      </c>
      <c r="V87" s="4" t="str">
        <f t="shared" si="7"/>
        <v/>
      </c>
      <c r="W87" s="4"/>
      <c r="X87" s="4" t="str">
        <f t="shared" si="8"/>
        <v/>
      </c>
      <c r="Y87" s="6" t="str">
        <f>IF(F87&lt;&gt;"",Tabela1[[#This Row],[Iniciais]],"")</f>
        <v/>
      </c>
      <c r="AA87" s="6" t="str">
        <f>IF($F87&lt;&gt;"",RIGHT(Tabela1[[#This Row],[Ref.]],2),"")</f>
        <v/>
      </c>
      <c r="AB87" s="46" t="str">
        <f>IF($F87&lt;&gt;"",DATE(LEFT(Tabela1[[#This Row],[Ref.]],4),RIGHT(Tabela1[[#This Row],[Ref.]],2),1),"")</f>
        <v/>
      </c>
      <c r="AC87" s="4" t="str">
        <f t="shared" si="9"/>
        <v/>
      </c>
      <c r="AD87" s="5" t="str">
        <f t="shared" si="10"/>
        <v/>
      </c>
      <c r="AE87" s="4"/>
      <c r="AF87" s="6" t="str">
        <f t="shared" si="11"/>
        <v/>
      </c>
    </row>
    <row r="88" spans="1:32" ht="15.75" customHeight="1" x14ac:dyDescent="0.2">
      <c r="A88" s="42"/>
      <c r="B88" s="44"/>
      <c r="C88" s="41"/>
      <c r="D88" s="41"/>
      <c r="E88" s="41"/>
      <c r="F88" s="11"/>
      <c r="G88" s="11"/>
      <c r="H88" s="43"/>
      <c r="K88" s="25"/>
      <c r="M88" s="31"/>
      <c r="N88" s="31"/>
      <c r="O88" s="33"/>
      <c r="P88" s="3"/>
      <c r="Q88" s="6" t="str">
        <f>IF($F88&lt;&gt;"",RIGHT(Tabela1[[#This Row],[Ref.]],2),"")</f>
        <v/>
      </c>
      <c r="R88" s="6" t="str">
        <f t="shared" si="6"/>
        <v/>
      </c>
      <c r="S88" s="4" t="str">
        <f>IF($F88&lt;&gt;"",_xlfn.XLOOKUP(F88,Naturezas!B:B,Naturezas!E:E,"",0,1),"")</f>
        <v/>
      </c>
      <c r="T88" s="4" t="str">
        <f>IF($F88&lt;&gt;"",_xlfn.XLOOKUP($F88,Naturezas!B:B,Naturezas!D:D,"",0,1),"")</f>
        <v/>
      </c>
      <c r="U88" s="5" t="str">
        <f>IF(F88&lt;&gt;"",IF(OR(F88=Naturezas!$B$3,F88=Naturezas!$B$4,F88=Naturezas!$B$5,F88=Naturezas!$B$17,F88=Naturezas!$B$18,F88=Naturezas!$B$19),H88,-H88),"")</f>
        <v/>
      </c>
      <c r="V88" s="4" t="str">
        <f t="shared" si="7"/>
        <v/>
      </c>
      <c r="W88" s="4"/>
      <c r="X88" s="4" t="str">
        <f t="shared" si="8"/>
        <v/>
      </c>
      <c r="Y88" s="6" t="str">
        <f>IF(F88&lt;&gt;"",Tabela1[[#This Row],[Iniciais]],"")</f>
        <v/>
      </c>
      <c r="AA88" s="6" t="str">
        <f>IF($F88&lt;&gt;"",RIGHT(Tabela1[[#This Row],[Ref.]],2),"")</f>
        <v/>
      </c>
      <c r="AB88" s="46" t="str">
        <f>IF($F88&lt;&gt;"",DATE(LEFT(Tabela1[[#This Row],[Ref.]],4),RIGHT(Tabela1[[#This Row],[Ref.]],2),1),"")</f>
        <v/>
      </c>
      <c r="AC88" s="4" t="str">
        <f t="shared" si="9"/>
        <v/>
      </c>
      <c r="AD88" s="5" t="str">
        <f t="shared" si="10"/>
        <v/>
      </c>
      <c r="AE88" s="4"/>
      <c r="AF88" s="6" t="str">
        <f t="shared" si="11"/>
        <v/>
      </c>
    </row>
    <row r="89" spans="1:32" ht="15.75" customHeight="1" x14ac:dyDescent="0.2">
      <c r="A89" s="42"/>
      <c r="B89" s="44"/>
      <c r="C89" s="41"/>
      <c r="D89" s="41"/>
      <c r="E89" s="41"/>
      <c r="F89" s="11"/>
      <c r="G89" s="11"/>
      <c r="H89" s="43"/>
      <c r="K89" s="25"/>
      <c r="M89" s="31"/>
      <c r="N89" s="31"/>
      <c r="O89" s="33"/>
      <c r="P89" s="3"/>
      <c r="Q89" s="6" t="str">
        <f>IF($F89&lt;&gt;"",RIGHT(Tabela1[[#This Row],[Ref.]],2),"")</f>
        <v/>
      </c>
      <c r="R89" s="6" t="str">
        <f t="shared" si="6"/>
        <v/>
      </c>
      <c r="S89" s="4" t="str">
        <f>IF($F89&lt;&gt;"",_xlfn.XLOOKUP(F89,Naturezas!B:B,Naturezas!E:E,"",0,1),"")</f>
        <v/>
      </c>
      <c r="T89" s="4" t="str">
        <f>IF($F89&lt;&gt;"",_xlfn.XLOOKUP($F89,Naturezas!B:B,Naturezas!D:D,"",0,1),"")</f>
        <v/>
      </c>
      <c r="U89" s="5" t="str">
        <f>IF(F89&lt;&gt;"",IF(OR(F89=Naturezas!$B$3,F89=Naturezas!$B$4,F89=Naturezas!$B$5,F89=Naturezas!$B$17,F89=Naturezas!$B$18,F89=Naturezas!$B$19),H89,-H89),"")</f>
        <v/>
      </c>
      <c r="V89" s="4" t="str">
        <f t="shared" si="7"/>
        <v/>
      </c>
      <c r="W89" s="4"/>
      <c r="X89" s="4" t="str">
        <f t="shared" si="8"/>
        <v/>
      </c>
      <c r="Y89" s="6" t="str">
        <f>IF(F89&lt;&gt;"",Tabela1[[#This Row],[Iniciais]],"")</f>
        <v/>
      </c>
      <c r="AA89" s="6" t="str">
        <f>IF($F89&lt;&gt;"",RIGHT(Tabela1[[#This Row],[Ref.]],2),"")</f>
        <v/>
      </c>
      <c r="AB89" s="46" t="str">
        <f>IF($F89&lt;&gt;"",DATE(LEFT(Tabela1[[#This Row],[Ref.]],4),RIGHT(Tabela1[[#This Row],[Ref.]],2),1),"")</f>
        <v/>
      </c>
      <c r="AC89" s="4" t="str">
        <f t="shared" si="9"/>
        <v/>
      </c>
      <c r="AD89" s="5" t="str">
        <f t="shared" si="10"/>
        <v/>
      </c>
      <c r="AE89" s="4"/>
      <c r="AF89" s="6" t="str">
        <f t="shared" si="11"/>
        <v/>
      </c>
    </row>
    <row r="90" spans="1:32" ht="15.75" customHeight="1" x14ac:dyDescent="0.2">
      <c r="A90" s="42"/>
      <c r="B90" s="44"/>
      <c r="C90" s="41"/>
      <c r="D90" s="41"/>
      <c r="E90" s="41"/>
      <c r="F90" s="11"/>
      <c r="G90" s="11"/>
      <c r="H90" s="43"/>
      <c r="K90" s="25"/>
      <c r="M90" s="31"/>
      <c r="N90" s="31"/>
      <c r="O90" s="33"/>
      <c r="P90" s="3"/>
      <c r="Q90" s="6" t="str">
        <f>IF($F90&lt;&gt;"",RIGHT(Tabela1[[#This Row],[Ref.]],2),"")</f>
        <v/>
      </c>
      <c r="R90" s="6" t="str">
        <f t="shared" si="6"/>
        <v/>
      </c>
      <c r="S90" s="4" t="str">
        <f>IF($F90&lt;&gt;"",_xlfn.XLOOKUP(F90,Naturezas!B:B,Naturezas!E:E,"",0,1),"")</f>
        <v/>
      </c>
      <c r="T90" s="4" t="str">
        <f>IF($F90&lt;&gt;"",_xlfn.XLOOKUP($F90,Naturezas!B:B,Naturezas!D:D,"",0,1),"")</f>
        <v/>
      </c>
      <c r="U90" s="5" t="str">
        <f>IF(F90&lt;&gt;"",IF(OR(F90=Naturezas!$B$3,F90=Naturezas!$B$4,F90=Naturezas!$B$5,F90=Naturezas!$B$17,F90=Naturezas!$B$18,F90=Naturezas!$B$19),H90,-H90),"")</f>
        <v/>
      </c>
      <c r="V90" s="4" t="str">
        <f t="shared" si="7"/>
        <v/>
      </c>
      <c r="W90" s="4"/>
      <c r="X90" s="4" t="str">
        <f t="shared" si="8"/>
        <v/>
      </c>
      <c r="Y90" s="6" t="str">
        <f>IF(F90&lt;&gt;"",Tabela1[[#This Row],[Iniciais]],"")</f>
        <v/>
      </c>
      <c r="AA90" s="6" t="str">
        <f>IF($F90&lt;&gt;"",RIGHT(Tabela1[[#This Row],[Ref.]],2),"")</f>
        <v/>
      </c>
      <c r="AB90" s="46" t="str">
        <f>IF($F90&lt;&gt;"",DATE(LEFT(Tabela1[[#This Row],[Ref.]],4),RIGHT(Tabela1[[#This Row],[Ref.]],2),1),"")</f>
        <v/>
      </c>
      <c r="AC90" s="4" t="str">
        <f t="shared" si="9"/>
        <v/>
      </c>
      <c r="AD90" s="5" t="str">
        <f t="shared" si="10"/>
        <v/>
      </c>
      <c r="AE90" s="4"/>
      <c r="AF90" s="6" t="str">
        <f t="shared" si="11"/>
        <v/>
      </c>
    </row>
    <row r="91" spans="1:32" ht="15.75" customHeight="1" x14ac:dyDescent="0.2">
      <c r="A91" s="42"/>
      <c r="B91" s="44"/>
      <c r="C91" s="41"/>
      <c r="D91" s="41"/>
      <c r="E91" s="41"/>
      <c r="F91" s="11"/>
      <c r="G91" s="11"/>
      <c r="H91" s="43"/>
      <c r="K91" s="25"/>
      <c r="M91" s="31"/>
      <c r="N91" s="31"/>
      <c r="O91" s="33"/>
      <c r="P91" s="3"/>
      <c r="Q91" s="6" t="str">
        <f>IF($F91&lt;&gt;"",RIGHT(Tabela1[[#This Row],[Ref.]],2),"")</f>
        <v/>
      </c>
      <c r="R91" s="6" t="str">
        <f t="shared" si="6"/>
        <v/>
      </c>
      <c r="S91" s="4" t="str">
        <f>IF($F91&lt;&gt;"",_xlfn.XLOOKUP(F91,Naturezas!B:B,Naturezas!E:E,"",0,1),"")</f>
        <v/>
      </c>
      <c r="T91" s="4" t="str">
        <f>IF($F91&lt;&gt;"",_xlfn.XLOOKUP($F91,Naturezas!B:B,Naturezas!D:D,"",0,1),"")</f>
        <v/>
      </c>
      <c r="U91" s="5" t="str">
        <f>IF(F91&lt;&gt;"",IF(OR(F91=Naturezas!$B$3,F91=Naturezas!$B$4,F91=Naturezas!$B$5,F91=Naturezas!$B$17,F91=Naturezas!$B$18,F91=Naturezas!$B$19),H91,-H91),"")</f>
        <v/>
      </c>
      <c r="V91" s="4" t="str">
        <f t="shared" si="7"/>
        <v/>
      </c>
      <c r="W91" s="4"/>
      <c r="X91" s="4" t="str">
        <f t="shared" si="8"/>
        <v/>
      </c>
      <c r="Y91" s="6" t="str">
        <f>IF(F91&lt;&gt;"",Tabela1[[#This Row],[Iniciais]],"")</f>
        <v/>
      </c>
      <c r="AA91" s="6" t="str">
        <f>IF($F91&lt;&gt;"",RIGHT(Tabela1[[#This Row],[Ref.]],2),"")</f>
        <v/>
      </c>
      <c r="AB91" s="46" t="str">
        <f>IF($F91&lt;&gt;"",DATE(LEFT(Tabela1[[#This Row],[Ref.]],4),RIGHT(Tabela1[[#This Row],[Ref.]],2),1),"")</f>
        <v/>
      </c>
      <c r="AC91" s="4" t="str">
        <f t="shared" si="9"/>
        <v/>
      </c>
      <c r="AD91" s="5" t="str">
        <f t="shared" si="10"/>
        <v/>
      </c>
      <c r="AE91" s="4"/>
      <c r="AF91" s="6" t="str">
        <f t="shared" si="11"/>
        <v/>
      </c>
    </row>
    <row r="92" spans="1:32" ht="15.75" customHeight="1" x14ac:dyDescent="0.2">
      <c r="A92" s="42"/>
      <c r="B92" s="44"/>
      <c r="C92" s="41"/>
      <c r="D92" s="41"/>
      <c r="E92" s="41"/>
      <c r="F92" s="11"/>
      <c r="G92" s="11"/>
      <c r="H92" s="43"/>
      <c r="K92" s="25"/>
      <c r="M92" s="31"/>
      <c r="N92" s="31"/>
      <c r="O92" s="33"/>
      <c r="P92" s="3"/>
      <c r="Q92" s="6" t="str">
        <f>IF($F92&lt;&gt;"",RIGHT(Tabela1[[#This Row],[Ref.]],2),"")</f>
        <v/>
      </c>
      <c r="R92" s="6" t="str">
        <f t="shared" si="6"/>
        <v/>
      </c>
      <c r="S92" s="4" t="str">
        <f>IF($F92&lt;&gt;"",_xlfn.XLOOKUP(F92,Naturezas!B:B,Naturezas!E:E,"",0,1),"")</f>
        <v/>
      </c>
      <c r="T92" s="4" t="str">
        <f>IF($F92&lt;&gt;"",_xlfn.XLOOKUP($F92,Naturezas!B:B,Naturezas!D:D,"",0,1),"")</f>
        <v/>
      </c>
      <c r="U92" s="5" t="str">
        <f>IF(F92&lt;&gt;"",IF(OR(F92=Naturezas!$B$3,F92=Naturezas!$B$4,F92=Naturezas!$B$5,F92=Naturezas!$B$17,F92=Naturezas!$B$18,F92=Naturezas!$B$19),H92,-H92),"")</f>
        <v/>
      </c>
      <c r="V92" s="4" t="str">
        <f t="shared" si="7"/>
        <v/>
      </c>
      <c r="W92" s="4"/>
      <c r="X92" s="4" t="str">
        <f t="shared" si="8"/>
        <v/>
      </c>
      <c r="Y92" s="6" t="str">
        <f>IF(F92&lt;&gt;"",Tabela1[[#This Row],[Iniciais]],"")</f>
        <v/>
      </c>
      <c r="AA92" s="6" t="str">
        <f>IF($F92&lt;&gt;"",RIGHT(Tabela1[[#This Row],[Ref.]],2),"")</f>
        <v/>
      </c>
      <c r="AB92" s="46" t="str">
        <f>IF($F92&lt;&gt;"",DATE(LEFT(Tabela1[[#This Row],[Ref.]],4),RIGHT(Tabela1[[#This Row],[Ref.]],2),1),"")</f>
        <v/>
      </c>
      <c r="AC92" s="4" t="str">
        <f t="shared" si="9"/>
        <v/>
      </c>
      <c r="AD92" s="5" t="str">
        <f t="shared" si="10"/>
        <v/>
      </c>
      <c r="AE92" s="4"/>
      <c r="AF92" s="6" t="str">
        <f t="shared" si="11"/>
        <v/>
      </c>
    </row>
    <row r="93" spans="1:32" ht="15.75" customHeight="1" x14ac:dyDescent="0.2">
      <c r="A93" s="42"/>
      <c r="B93" s="44"/>
      <c r="C93" s="41"/>
      <c r="D93" s="41"/>
      <c r="E93" s="41"/>
      <c r="F93" s="11"/>
      <c r="G93" s="11"/>
      <c r="H93" s="43"/>
      <c r="K93" s="25"/>
      <c r="M93" s="31"/>
      <c r="N93" s="31"/>
      <c r="O93" s="33"/>
      <c r="P93" s="3"/>
      <c r="Q93" s="6" t="str">
        <f>IF($F93&lt;&gt;"",RIGHT(Tabela1[[#This Row],[Ref.]],2),"")</f>
        <v/>
      </c>
      <c r="R93" s="6" t="str">
        <f t="shared" si="6"/>
        <v/>
      </c>
      <c r="S93" s="4" t="str">
        <f>IF($F93&lt;&gt;"",_xlfn.XLOOKUP(F93,Naturezas!B:B,Naturezas!E:E,"",0,1),"")</f>
        <v/>
      </c>
      <c r="T93" s="4" t="str">
        <f>IF($F93&lt;&gt;"",_xlfn.XLOOKUP($F93,Naturezas!B:B,Naturezas!D:D,"",0,1),"")</f>
        <v/>
      </c>
      <c r="U93" s="5" t="str">
        <f>IF(F93&lt;&gt;"",IF(OR(F93=Naturezas!$B$3,F93=Naturezas!$B$4,F93=Naturezas!$B$5,F93=Naturezas!$B$17,F93=Naturezas!$B$18,F93=Naturezas!$B$19),H93,-H93),"")</f>
        <v/>
      </c>
      <c r="V93" s="4" t="str">
        <f t="shared" si="7"/>
        <v/>
      </c>
      <c r="W93" s="4"/>
      <c r="X93" s="4" t="str">
        <f t="shared" si="8"/>
        <v/>
      </c>
      <c r="Y93" s="6" t="str">
        <f>IF(F93&lt;&gt;"",Tabela1[[#This Row],[Iniciais]],"")</f>
        <v/>
      </c>
      <c r="AA93" s="6" t="str">
        <f>IF($F93&lt;&gt;"",RIGHT(Tabela1[[#This Row],[Ref.]],2),"")</f>
        <v/>
      </c>
      <c r="AB93" s="46" t="str">
        <f>IF($F93&lt;&gt;"",DATE(LEFT(Tabela1[[#This Row],[Ref.]],4),RIGHT(Tabela1[[#This Row],[Ref.]],2),1),"")</f>
        <v/>
      </c>
      <c r="AC93" s="4" t="str">
        <f t="shared" si="9"/>
        <v/>
      </c>
      <c r="AD93" s="5" t="str">
        <f t="shared" si="10"/>
        <v/>
      </c>
      <c r="AE93" s="4"/>
      <c r="AF93" s="6" t="str">
        <f t="shared" si="11"/>
        <v/>
      </c>
    </row>
    <row r="94" spans="1:32" ht="15.75" customHeight="1" x14ac:dyDescent="0.2">
      <c r="A94" s="42"/>
      <c r="B94" s="44"/>
      <c r="C94" s="41"/>
      <c r="D94" s="41"/>
      <c r="E94" s="41"/>
      <c r="F94" s="11"/>
      <c r="G94" s="11"/>
      <c r="H94" s="43"/>
      <c r="K94" s="25"/>
      <c r="M94" s="31"/>
      <c r="N94" s="31"/>
      <c r="O94" s="33"/>
      <c r="P94" s="3"/>
      <c r="Q94" s="6" t="str">
        <f>IF($F94&lt;&gt;"",RIGHT(Tabela1[[#This Row],[Ref.]],2),"")</f>
        <v/>
      </c>
      <c r="R94" s="6" t="str">
        <f t="shared" si="6"/>
        <v/>
      </c>
      <c r="S94" s="4" t="str">
        <f>IF($F94&lt;&gt;"",_xlfn.XLOOKUP(F94,Naturezas!B:B,Naturezas!E:E,"",0,1),"")</f>
        <v/>
      </c>
      <c r="T94" s="4" t="str">
        <f>IF($F94&lt;&gt;"",_xlfn.XLOOKUP($F94,Naturezas!B:B,Naturezas!D:D,"",0,1),"")</f>
        <v/>
      </c>
      <c r="U94" s="5" t="str">
        <f>IF(F94&lt;&gt;"",IF(OR(F94=Naturezas!$B$3,F94=Naturezas!$B$4,F94=Naturezas!$B$5,F94=Naturezas!$B$17,F94=Naturezas!$B$18,F94=Naturezas!$B$19),H94,-H94),"")</f>
        <v/>
      </c>
      <c r="V94" s="4" t="str">
        <f t="shared" si="7"/>
        <v/>
      </c>
      <c r="W94" s="4"/>
      <c r="X94" s="4" t="str">
        <f t="shared" si="8"/>
        <v/>
      </c>
      <c r="Y94" s="6" t="str">
        <f>IF(F94&lt;&gt;"",Tabela1[[#This Row],[Iniciais]],"")</f>
        <v/>
      </c>
      <c r="AA94" s="6" t="str">
        <f>IF($F94&lt;&gt;"",RIGHT(Tabela1[[#This Row],[Ref.]],2),"")</f>
        <v/>
      </c>
      <c r="AB94" s="46" t="str">
        <f>IF($F94&lt;&gt;"",DATE(LEFT(Tabela1[[#This Row],[Ref.]],4),RIGHT(Tabela1[[#This Row],[Ref.]],2),1),"")</f>
        <v/>
      </c>
      <c r="AC94" s="4" t="str">
        <f t="shared" si="9"/>
        <v/>
      </c>
      <c r="AD94" s="5" t="str">
        <f t="shared" si="10"/>
        <v/>
      </c>
      <c r="AE94" s="4"/>
      <c r="AF94" s="6" t="str">
        <f t="shared" si="11"/>
        <v/>
      </c>
    </row>
    <row r="95" spans="1:32" ht="15.75" customHeight="1" x14ac:dyDescent="0.2">
      <c r="A95" s="42"/>
      <c r="B95" s="44"/>
      <c r="C95" s="41"/>
      <c r="D95" s="41"/>
      <c r="E95" s="41"/>
      <c r="F95" s="11"/>
      <c r="G95" s="11"/>
      <c r="H95" s="43"/>
      <c r="K95" s="25"/>
      <c r="M95" s="31"/>
      <c r="N95" s="31"/>
      <c r="O95" s="33"/>
      <c r="P95" s="3"/>
      <c r="Q95" s="6" t="str">
        <f>IF($F95&lt;&gt;"",RIGHT(Tabela1[[#This Row],[Ref.]],2),"")</f>
        <v/>
      </c>
      <c r="R95" s="6" t="str">
        <f t="shared" si="6"/>
        <v/>
      </c>
      <c r="S95" s="4" t="str">
        <f>IF($F95&lt;&gt;"",_xlfn.XLOOKUP(F95,Naturezas!B:B,Naturezas!E:E,"",0,1),"")</f>
        <v/>
      </c>
      <c r="T95" s="4" t="str">
        <f>IF($F95&lt;&gt;"",_xlfn.XLOOKUP($F95,Naturezas!B:B,Naturezas!D:D,"",0,1),"")</f>
        <v/>
      </c>
      <c r="U95" s="5" t="str">
        <f>IF(F95&lt;&gt;"",IF(OR(F95=Naturezas!$B$3,F95=Naturezas!$B$4,F95=Naturezas!$B$5,F95=Naturezas!$B$17,F95=Naturezas!$B$18,F95=Naturezas!$B$19),H95,-H95),"")</f>
        <v/>
      </c>
      <c r="V95" s="4" t="str">
        <f t="shared" si="7"/>
        <v/>
      </c>
      <c r="W95" s="4"/>
      <c r="X95" s="4" t="str">
        <f t="shared" si="8"/>
        <v/>
      </c>
      <c r="Y95" s="6" t="str">
        <f>IF(F95&lt;&gt;"",Tabela1[[#This Row],[Iniciais]],"")</f>
        <v/>
      </c>
      <c r="AA95" s="6" t="str">
        <f>IF($F95&lt;&gt;"",RIGHT(Tabela1[[#This Row],[Ref.]],2),"")</f>
        <v/>
      </c>
      <c r="AB95" s="46" t="str">
        <f>IF($F95&lt;&gt;"",DATE(LEFT(Tabela1[[#This Row],[Ref.]],4),RIGHT(Tabela1[[#This Row],[Ref.]],2),1),"")</f>
        <v/>
      </c>
      <c r="AC95" s="4" t="str">
        <f t="shared" si="9"/>
        <v/>
      </c>
      <c r="AD95" s="5" t="str">
        <f t="shared" si="10"/>
        <v/>
      </c>
      <c r="AE95" s="4"/>
      <c r="AF95" s="6" t="str">
        <f t="shared" si="11"/>
        <v/>
      </c>
    </row>
    <row r="96" spans="1:32" ht="15.75" customHeight="1" x14ac:dyDescent="0.2">
      <c r="A96" s="42"/>
      <c r="B96" s="44"/>
      <c r="C96" s="41"/>
      <c r="D96" s="41"/>
      <c r="E96" s="41"/>
      <c r="F96" s="11"/>
      <c r="G96" s="11"/>
      <c r="H96" s="43"/>
      <c r="K96" s="25"/>
      <c r="M96" s="31"/>
      <c r="N96" s="31"/>
      <c r="O96" s="33"/>
      <c r="P96" s="3"/>
      <c r="Q96" s="6" t="str">
        <f>IF($F96&lt;&gt;"",RIGHT(Tabela1[[#This Row],[Ref.]],2),"")</f>
        <v/>
      </c>
      <c r="R96" s="6" t="str">
        <f t="shared" si="6"/>
        <v/>
      </c>
      <c r="S96" s="4" t="str">
        <f>IF($F96&lt;&gt;"",_xlfn.XLOOKUP(F96,Naturezas!B:B,Naturezas!E:E,"",0,1),"")</f>
        <v/>
      </c>
      <c r="T96" s="4" t="str">
        <f>IF($F96&lt;&gt;"",_xlfn.XLOOKUP($F96,Naturezas!B:B,Naturezas!D:D,"",0,1),"")</f>
        <v/>
      </c>
      <c r="U96" s="5" t="str">
        <f>IF(F96&lt;&gt;"",IF(OR(F96=Naturezas!$B$3,F96=Naturezas!$B$4,F96=Naturezas!$B$5,F96=Naturezas!$B$17,F96=Naturezas!$B$18,F96=Naturezas!$B$19),H96,-H96),"")</f>
        <v/>
      </c>
      <c r="V96" s="4" t="str">
        <f t="shared" si="7"/>
        <v/>
      </c>
      <c r="W96" s="4"/>
      <c r="X96" s="4" t="str">
        <f t="shared" si="8"/>
        <v/>
      </c>
      <c r="Y96" s="6" t="str">
        <f>IF(F96&lt;&gt;"",Tabela1[[#This Row],[Iniciais]],"")</f>
        <v/>
      </c>
      <c r="AA96" s="6" t="str">
        <f>IF($F96&lt;&gt;"",RIGHT(Tabela1[[#This Row],[Ref.]],2),"")</f>
        <v/>
      </c>
      <c r="AB96" s="46" t="str">
        <f>IF($F96&lt;&gt;"",DATE(LEFT(Tabela1[[#This Row],[Ref.]],4),RIGHT(Tabela1[[#This Row],[Ref.]],2),1),"")</f>
        <v/>
      </c>
      <c r="AC96" s="4" t="str">
        <f t="shared" si="9"/>
        <v/>
      </c>
      <c r="AD96" s="5" t="str">
        <f t="shared" si="10"/>
        <v/>
      </c>
      <c r="AE96" s="4"/>
      <c r="AF96" s="6" t="str">
        <f t="shared" si="11"/>
        <v/>
      </c>
    </row>
    <row r="97" spans="1:32" ht="15.75" customHeight="1" x14ac:dyDescent="0.2">
      <c r="A97" s="42"/>
      <c r="B97" s="44"/>
      <c r="C97" s="41"/>
      <c r="D97" s="41"/>
      <c r="E97" s="41"/>
      <c r="F97" s="11"/>
      <c r="G97" s="11"/>
      <c r="H97" s="43"/>
      <c r="K97" s="25"/>
      <c r="M97" s="31"/>
      <c r="N97" s="31"/>
      <c r="O97" s="33"/>
      <c r="P97" s="3"/>
      <c r="Q97" s="6" t="str">
        <f>IF($F97&lt;&gt;"",RIGHT(Tabela1[[#This Row],[Ref.]],2),"")</f>
        <v/>
      </c>
      <c r="R97" s="6" t="str">
        <f t="shared" si="6"/>
        <v/>
      </c>
      <c r="S97" s="4" t="str">
        <f>IF($F97&lt;&gt;"",_xlfn.XLOOKUP(F97,Naturezas!B:B,Naturezas!E:E,"",0,1),"")</f>
        <v/>
      </c>
      <c r="T97" s="4" t="str">
        <f>IF($F97&lt;&gt;"",_xlfn.XLOOKUP($F97,Naturezas!B:B,Naturezas!D:D,"",0,1),"")</f>
        <v/>
      </c>
      <c r="U97" s="5" t="str">
        <f>IF(F97&lt;&gt;"",IF(OR(F97=Naturezas!$B$3,F97=Naturezas!$B$4,F97=Naturezas!$B$5,F97=Naturezas!$B$17,F97=Naturezas!$B$18,F97=Naturezas!$B$19),H97,-H97),"")</f>
        <v/>
      </c>
      <c r="V97" s="4" t="str">
        <f t="shared" si="7"/>
        <v/>
      </c>
      <c r="W97" s="4"/>
      <c r="X97" s="4" t="str">
        <f t="shared" si="8"/>
        <v/>
      </c>
      <c r="Y97" s="6" t="str">
        <f>IF(F97&lt;&gt;"",Tabela1[[#This Row],[Iniciais]],"")</f>
        <v/>
      </c>
      <c r="AA97" s="6" t="str">
        <f>IF($F97&lt;&gt;"",RIGHT(Tabela1[[#This Row],[Ref.]],2),"")</f>
        <v/>
      </c>
      <c r="AB97" s="46" t="str">
        <f>IF($F97&lt;&gt;"",DATE(LEFT(Tabela1[[#This Row],[Ref.]],4),RIGHT(Tabela1[[#This Row],[Ref.]],2),1),"")</f>
        <v/>
      </c>
      <c r="AC97" s="4" t="str">
        <f t="shared" si="9"/>
        <v/>
      </c>
      <c r="AD97" s="5" t="str">
        <f t="shared" si="10"/>
        <v/>
      </c>
      <c r="AE97" s="4"/>
      <c r="AF97" s="6" t="str">
        <f t="shared" si="11"/>
        <v/>
      </c>
    </row>
    <row r="98" spans="1:32" ht="15.75" customHeight="1" x14ac:dyDescent="0.2">
      <c r="A98" s="42"/>
      <c r="B98" s="44"/>
      <c r="C98" s="41"/>
      <c r="D98" s="41"/>
      <c r="E98" s="41"/>
      <c r="F98" s="11"/>
      <c r="G98" s="11"/>
      <c r="H98" s="43"/>
      <c r="K98" s="25"/>
      <c r="M98" s="31"/>
      <c r="N98" s="31"/>
      <c r="O98" s="33"/>
      <c r="P98" s="3"/>
      <c r="Q98" s="6" t="str">
        <f>IF($F98&lt;&gt;"",RIGHT(Tabela1[[#This Row],[Ref.]],2),"")</f>
        <v/>
      </c>
      <c r="R98" s="6" t="str">
        <f t="shared" si="6"/>
        <v/>
      </c>
      <c r="S98" s="4" t="str">
        <f>IF($F98&lt;&gt;"",_xlfn.XLOOKUP(F98,Naturezas!B:B,Naturezas!E:E,"",0,1),"")</f>
        <v/>
      </c>
      <c r="T98" s="4" t="str">
        <f>IF($F98&lt;&gt;"",_xlfn.XLOOKUP($F98,Naturezas!B:B,Naturezas!D:D,"",0,1),"")</f>
        <v/>
      </c>
      <c r="U98" s="5" t="str">
        <f>IF(F98&lt;&gt;"",IF(OR(F98=Naturezas!$B$3,F98=Naturezas!$B$4,F98=Naturezas!$B$5,F98=Naturezas!$B$17,F98=Naturezas!$B$18,F98=Naturezas!$B$19),H98,-H98),"")</f>
        <v/>
      </c>
      <c r="V98" s="4" t="str">
        <f t="shared" si="7"/>
        <v/>
      </c>
      <c r="W98" s="4"/>
      <c r="X98" s="4" t="str">
        <f t="shared" si="8"/>
        <v/>
      </c>
      <c r="Y98" s="6" t="str">
        <f>IF(F98&lt;&gt;"",Tabela1[[#This Row],[Iniciais]],"")</f>
        <v/>
      </c>
      <c r="AA98" s="6" t="str">
        <f>IF($F98&lt;&gt;"",RIGHT(Tabela1[[#This Row],[Ref.]],2),"")</f>
        <v/>
      </c>
      <c r="AB98" s="46" t="str">
        <f>IF($F98&lt;&gt;"",DATE(LEFT(Tabela1[[#This Row],[Ref.]],4),RIGHT(Tabela1[[#This Row],[Ref.]],2),1),"")</f>
        <v/>
      </c>
      <c r="AC98" s="4" t="str">
        <f t="shared" si="9"/>
        <v/>
      </c>
      <c r="AD98" s="5" t="str">
        <f t="shared" si="10"/>
        <v/>
      </c>
      <c r="AE98" s="4"/>
      <c r="AF98" s="6" t="str">
        <f t="shared" si="11"/>
        <v/>
      </c>
    </row>
    <row r="99" spans="1:32" ht="15.75" customHeight="1" x14ac:dyDescent="0.2">
      <c r="A99" s="42"/>
      <c r="B99" s="44"/>
      <c r="C99" s="41"/>
      <c r="D99" s="41"/>
      <c r="E99" s="41"/>
      <c r="F99" s="11"/>
      <c r="G99" s="11"/>
      <c r="H99" s="43"/>
      <c r="K99" s="25"/>
      <c r="M99" s="31"/>
      <c r="N99" s="31"/>
      <c r="O99" s="33"/>
      <c r="P99" s="3"/>
      <c r="Q99" s="6" t="str">
        <f>IF($F99&lt;&gt;"",RIGHT(Tabela1[[#This Row],[Ref.]],2),"")</f>
        <v/>
      </c>
      <c r="R99" s="6" t="str">
        <f t="shared" si="6"/>
        <v/>
      </c>
      <c r="S99" s="4" t="str">
        <f>IF($F99&lt;&gt;"",_xlfn.XLOOKUP(F99,Naturezas!B:B,Naturezas!E:E,"",0,1),"")</f>
        <v/>
      </c>
      <c r="T99" s="4" t="str">
        <f>IF($F99&lt;&gt;"",_xlfn.XLOOKUP($F99,Naturezas!B:B,Naturezas!D:D,"",0,1),"")</f>
        <v/>
      </c>
      <c r="U99" s="5" t="str">
        <f>IF(F99&lt;&gt;"",IF(OR(F99=Naturezas!$B$3,F99=Naturezas!$B$4,F99=Naturezas!$B$5,F99=Naturezas!$B$17,F99=Naturezas!$B$18,F99=Naturezas!$B$19),H99,-H99),"")</f>
        <v/>
      </c>
      <c r="V99" s="4" t="str">
        <f t="shared" si="7"/>
        <v/>
      </c>
      <c r="W99" s="4"/>
      <c r="X99" s="4" t="str">
        <f t="shared" si="8"/>
        <v/>
      </c>
      <c r="Y99" s="6" t="str">
        <f>IF(F99&lt;&gt;"",Tabela1[[#This Row],[Iniciais]],"")</f>
        <v/>
      </c>
      <c r="AA99" s="6" t="str">
        <f>IF($F99&lt;&gt;"",RIGHT(Tabela1[[#This Row],[Ref.]],2),"")</f>
        <v/>
      </c>
      <c r="AB99" s="46" t="str">
        <f>IF($F99&lt;&gt;"",DATE(LEFT(Tabela1[[#This Row],[Ref.]],4),RIGHT(Tabela1[[#This Row],[Ref.]],2),1),"")</f>
        <v/>
      </c>
      <c r="AC99" s="4" t="str">
        <f t="shared" si="9"/>
        <v/>
      </c>
      <c r="AD99" s="5" t="str">
        <f t="shared" si="10"/>
        <v/>
      </c>
      <c r="AE99" s="4"/>
      <c r="AF99" s="6" t="str">
        <f t="shared" si="11"/>
        <v/>
      </c>
    </row>
    <row r="100" spans="1:32" ht="15.75" customHeight="1" x14ac:dyDescent="0.2">
      <c r="A100" s="42"/>
      <c r="B100" s="44"/>
      <c r="C100" s="41"/>
      <c r="D100" s="41"/>
      <c r="E100" s="41"/>
      <c r="F100" s="11"/>
      <c r="G100" s="11"/>
      <c r="H100" s="43"/>
      <c r="K100" s="25"/>
      <c r="M100" s="31"/>
      <c r="N100" s="31"/>
      <c r="O100" s="33"/>
      <c r="P100" s="3"/>
      <c r="Q100" s="6" t="str">
        <f>IF($F100&lt;&gt;"",RIGHT(Tabela1[[#This Row],[Ref.]],2),"")</f>
        <v/>
      </c>
      <c r="R100" s="6" t="str">
        <f t="shared" si="6"/>
        <v/>
      </c>
      <c r="S100" s="4" t="str">
        <f>IF($F100&lt;&gt;"",_xlfn.XLOOKUP(F100,Naturezas!B:B,Naturezas!E:E,"",0,1),"")</f>
        <v/>
      </c>
      <c r="T100" s="4" t="str">
        <f>IF($F100&lt;&gt;"",_xlfn.XLOOKUP($F100,Naturezas!B:B,Naturezas!D:D,"",0,1),"")</f>
        <v/>
      </c>
      <c r="U100" s="5" t="str">
        <f>IF(F100&lt;&gt;"",IF(OR(F100=Naturezas!$B$3,F100=Naturezas!$B$4,F100=Naturezas!$B$5,F100=Naturezas!$B$17,F100=Naturezas!$B$18,F100=Naturezas!$B$19),H100,-H100),"")</f>
        <v/>
      </c>
      <c r="V100" s="4" t="str">
        <f t="shared" si="7"/>
        <v/>
      </c>
      <c r="W100" s="4"/>
      <c r="X100" s="4" t="str">
        <f t="shared" si="8"/>
        <v/>
      </c>
      <c r="Y100" s="6" t="str">
        <f>IF(F100&lt;&gt;"",Tabela1[[#This Row],[Iniciais]],"")</f>
        <v/>
      </c>
      <c r="AA100" s="6" t="str">
        <f>IF($F100&lt;&gt;"",RIGHT(Tabela1[[#This Row],[Ref.]],2),"")</f>
        <v/>
      </c>
      <c r="AB100" s="46" t="str">
        <f>IF($F100&lt;&gt;"",DATE(LEFT(Tabela1[[#This Row],[Ref.]],4),RIGHT(Tabela1[[#This Row],[Ref.]],2),1),"")</f>
        <v/>
      </c>
      <c r="AC100" s="4" t="str">
        <f t="shared" si="9"/>
        <v/>
      </c>
      <c r="AD100" s="5" t="str">
        <f t="shared" si="10"/>
        <v/>
      </c>
      <c r="AE100" s="4"/>
      <c r="AF100" s="6" t="str">
        <f t="shared" si="11"/>
        <v/>
      </c>
    </row>
    <row r="101" spans="1:32" ht="15.75" customHeight="1" x14ac:dyDescent="0.2">
      <c r="A101" s="42"/>
      <c r="B101" s="44"/>
      <c r="C101" s="41"/>
      <c r="D101" s="41"/>
      <c r="E101" s="41"/>
      <c r="F101" s="11"/>
      <c r="G101" s="11"/>
      <c r="H101" s="43"/>
      <c r="K101" s="25"/>
      <c r="M101" s="31"/>
      <c r="N101" s="31"/>
      <c r="O101" s="33"/>
      <c r="P101" s="3"/>
      <c r="Q101" s="6" t="str">
        <f>IF($F101&lt;&gt;"",RIGHT(Tabela1[[#This Row],[Ref.]],2),"")</f>
        <v/>
      </c>
      <c r="R101" s="6" t="str">
        <f t="shared" si="6"/>
        <v/>
      </c>
      <c r="S101" s="4" t="str">
        <f>IF($F101&lt;&gt;"",_xlfn.XLOOKUP(F101,Naturezas!B:B,Naturezas!E:E,"",0,1),"")</f>
        <v/>
      </c>
      <c r="T101" s="4" t="str">
        <f>IF($F101&lt;&gt;"",_xlfn.XLOOKUP($F101,Naturezas!B:B,Naturezas!D:D,"",0,1),"")</f>
        <v/>
      </c>
      <c r="U101" s="5" t="str">
        <f>IF(F101&lt;&gt;"",IF(OR(F101=Naturezas!$B$3,F101=Naturezas!$B$4,F101=Naturezas!$B$5,F101=Naturezas!$B$17,F101=Naturezas!$B$18,F101=Naturezas!$B$19),H101,-H101),"")</f>
        <v/>
      </c>
      <c r="V101" s="4" t="str">
        <f t="shared" si="7"/>
        <v/>
      </c>
      <c r="W101" s="4"/>
      <c r="X101" s="4" t="str">
        <f t="shared" si="8"/>
        <v/>
      </c>
      <c r="Y101" s="6" t="str">
        <f>IF(F101&lt;&gt;"",Tabela1[[#This Row],[Iniciais]],"")</f>
        <v/>
      </c>
      <c r="AA101" s="6" t="str">
        <f>IF($F101&lt;&gt;"",RIGHT(Tabela1[[#This Row],[Ref.]],2),"")</f>
        <v/>
      </c>
      <c r="AB101" s="46" t="str">
        <f>IF($F101&lt;&gt;"",DATE(LEFT(Tabela1[[#This Row],[Ref.]],4),RIGHT(Tabela1[[#This Row],[Ref.]],2),1),"")</f>
        <v/>
      </c>
      <c r="AC101" s="4" t="str">
        <f t="shared" si="9"/>
        <v/>
      </c>
      <c r="AD101" s="5" t="str">
        <f t="shared" si="10"/>
        <v/>
      </c>
      <c r="AE101" s="4"/>
      <c r="AF101" s="6" t="str">
        <f t="shared" si="11"/>
        <v/>
      </c>
    </row>
    <row r="102" spans="1:32" ht="15.75" customHeight="1" x14ac:dyDescent="0.2">
      <c r="A102" s="42"/>
      <c r="B102" s="44"/>
      <c r="C102" s="41"/>
      <c r="D102" s="41"/>
      <c r="E102" s="41"/>
      <c r="F102" s="11"/>
      <c r="G102" s="11"/>
      <c r="H102" s="43"/>
      <c r="K102" s="25"/>
      <c r="M102" s="31"/>
      <c r="N102" s="31"/>
      <c r="O102" s="33"/>
      <c r="P102" s="3"/>
      <c r="Q102" s="6" t="str">
        <f>IF($F102&lt;&gt;"",RIGHT(Tabela1[[#This Row],[Ref.]],2),"")</f>
        <v/>
      </c>
      <c r="R102" s="6" t="str">
        <f t="shared" si="6"/>
        <v/>
      </c>
      <c r="S102" s="4" t="str">
        <f>IF($F102&lt;&gt;"",_xlfn.XLOOKUP(F102,Naturezas!B:B,Naturezas!E:E,"",0,1),"")</f>
        <v/>
      </c>
      <c r="T102" s="4" t="str">
        <f>IF($F102&lt;&gt;"",_xlfn.XLOOKUP($F102,Naturezas!B:B,Naturezas!D:D,"",0,1),"")</f>
        <v/>
      </c>
      <c r="U102" s="5" t="str">
        <f>IF(F102&lt;&gt;"",IF(OR(F102=Naturezas!$B$3,F102=Naturezas!$B$4,F102=Naturezas!$B$5,F102=Naturezas!$B$17,F102=Naturezas!$B$18,F102=Naturezas!$B$19),H102,-H102),"")</f>
        <v/>
      </c>
      <c r="V102" s="4" t="str">
        <f t="shared" si="7"/>
        <v/>
      </c>
      <c r="W102" s="4"/>
      <c r="X102" s="4" t="str">
        <f t="shared" si="8"/>
        <v/>
      </c>
      <c r="Y102" s="6" t="str">
        <f>IF(F102&lt;&gt;"",Tabela1[[#This Row],[Iniciais]],"")</f>
        <v/>
      </c>
      <c r="AA102" s="6" t="str">
        <f>IF($F102&lt;&gt;"",RIGHT(Tabela1[[#This Row],[Ref.]],2),"")</f>
        <v/>
      </c>
      <c r="AB102" s="46" t="str">
        <f>IF($F102&lt;&gt;"",DATE(LEFT(Tabela1[[#This Row],[Ref.]],4),RIGHT(Tabela1[[#This Row],[Ref.]],2),1),"")</f>
        <v/>
      </c>
      <c r="AC102" s="4" t="str">
        <f t="shared" si="9"/>
        <v/>
      </c>
      <c r="AD102" s="5" t="str">
        <f t="shared" si="10"/>
        <v/>
      </c>
      <c r="AE102" s="4"/>
      <c r="AF102" s="6" t="str">
        <f t="shared" si="11"/>
        <v/>
      </c>
    </row>
    <row r="103" spans="1:32" ht="15.75" customHeight="1" x14ac:dyDescent="0.2">
      <c r="A103" s="42"/>
      <c r="B103" s="44"/>
      <c r="C103" s="41"/>
      <c r="D103" s="41"/>
      <c r="E103" s="41"/>
      <c r="F103" s="11"/>
      <c r="G103" s="11"/>
      <c r="H103" s="43"/>
      <c r="K103" s="25"/>
      <c r="M103" s="31"/>
      <c r="N103" s="31"/>
      <c r="O103" s="33"/>
      <c r="P103" s="3"/>
      <c r="Q103" s="6" t="str">
        <f>IF($F103&lt;&gt;"",RIGHT(Tabela1[[#This Row],[Ref.]],2),"")</f>
        <v/>
      </c>
      <c r="R103" s="6" t="str">
        <f t="shared" si="6"/>
        <v/>
      </c>
      <c r="S103" s="4" t="str">
        <f>IF($F103&lt;&gt;"",_xlfn.XLOOKUP(F103,Naturezas!B:B,Naturezas!E:E,"",0,1),"")</f>
        <v/>
      </c>
      <c r="T103" s="4" t="str">
        <f>IF($F103&lt;&gt;"",_xlfn.XLOOKUP($F103,Naturezas!B:B,Naturezas!D:D,"",0,1),"")</f>
        <v/>
      </c>
      <c r="U103" s="5" t="str">
        <f>IF(F103&lt;&gt;"",IF(OR(F103=Naturezas!$B$3,F103=Naturezas!$B$4,F103=Naturezas!$B$5,F103=Naturezas!$B$17,F103=Naturezas!$B$18,F103=Naturezas!$B$19),H103,-H103),"")</f>
        <v/>
      </c>
      <c r="V103" s="4" t="str">
        <f t="shared" si="7"/>
        <v/>
      </c>
      <c r="W103" s="4"/>
      <c r="X103" s="4" t="str">
        <f t="shared" si="8"/>
        <v/>
      </c>
      <c r="Y103" s="6" t="str">
        <f>IF(F103&lt;&gt;"",Tabela1[[#This Row],[Iniciais]],"")</f>
        <v/>
      </c>
      <c r="AA103" s="6" t="str">
        <f>IF($F103&lt;&gt;"",RIGHT(Tabela1[[#This Row],[Ref.]],2),"")</f>
        <v/>
      </c>
      <c r="AB103" s="46" t="str">
        <f>IF($F103&lt;&gt;"",DATE(LEFT(Tabela1[[#This Row],[Ref.]],4),RIGHT(Tabela1[[#This Row],[Ref.]],2),1),"")</f>
        <v/>
      </c>
      <c r="AC103" s="4" t="str">
        <f t="shared" si="9"/>
        <v/>
      </c>
      <c r="AD103" s="5" t="str">
        <f t="shared" si="10"/>
        <v/>
      </c>
      <c r="AE103" s="4"/>
      <c r="AF103" s="6" t="str">
        <f t="shared" si="11"/>
        <v/>
      </c>
    </row>
    <row r="104" spans="1:32" ht="15.75" customHeight="1" x14ac:dyDescent="0.2">
      <c r="A104" s="42"/>
      <c r="B104" s="44"/>
      <c r="C104" s="41"/>
      <c r="D104" s="41"/>
      <c r="E104" s="41"/>
      <c r="F104" s="11"/>
      <c r="G104" s="11"/>
      <c r="H104" s="43"/>
      <c r="K104" s="25"/>
      <c r="M104" s="31"/>
      <c r="N104" s="31"/>
      <c r="O104" s="33"/>
      <c r="P104" s="3"/>
      <c r="Q104" s="6" t="str">
        <f>IF($F104&lt;&gt;"",RIGHT(Tabela1[[#This Row],[Ref.]],2),"")</f>
        <v/>
      </c>
      <c r="R104" s="6" t="str">
        <f t="shared" si="6"/>
        <v/>
      </c>
      <c r="S104" s="4" t="str">
        <f>IF($F104&lt;&gt;"",_xlfn.XLOOKUP(F104,Naturezas!B:B,Naturezas!E:E,"",0,1),"")</f>
        <v/>
      </c>
      <c r="T104" s="4" t="str">
        <f>IF($F104&lt;&gt;"",_xlfn.XLOOKUP($F104,Naturezas!B:B,Naturezas!D:D,"",0,1),"")</f>
        <v/>
      </c>
      <c r="U104" s="5" t="str">
        <f>IF(F104&lt;&gt;"",IF(OR(F104=Naturezas!$B$3,F104=Naturezas!$B$4,F104=Naturezas!$B$5,F104=Naturezas!$B$17,F104=Naturezas!$B$18,F104=Naturezas!$B$19),H104,-H104),"")</f>
        <v/>
      </c>
      <c r="V104" s="4" t="str">
        <f t="shared" si="7"/>
        <v/>
      </c>
      <c r="W104" s="4"/>
      <c r="X104" s="4" t="str">
        <f t="shared" si="8"/>
        <v/>
      </c>
      <c r="Y104" s="6" t="str">
        <f>IF(F104&lt;&gt;"",Tabela1[[#This Row],[Iniciais]],"")</f>
        <v/>
      </c>
      <c r="AA104" s="6" t="str">
        <f>IF($F104&lt;&gt;"",RIGHT(Tabela1[[#This Row],[Ref.]],2),"")</f>
        <v/>
      </c>
      <c r="AB104" s="46" t="str">
        <f>IF($F104&lt;&gt;"",DATE(LEFT(Tabela1[[#This Row],[Ref.]],4),RIGHT(Tabela1[[#This Row],[Ref.]],2),1),"")</f>
        <v/>
      </c>
      <c r="AC104" s="4" t="str">
        <f t="shared" si="9"/>
        <v/>
      </c>
      <c r="AD104" s="5" t="str">
        <f t="shared" si="10"/>
        <v/>
      </c>
      <c r="AE104" s="4"/>
      <c r="AF104" s="6" t="str">
        <f t="shared" si="11"/>
        <v/>
      </c>
    </row>
    <row r="105" spans="1:32" ht="15.75" customHeight="1" x14ac:dyDescent="0.2">
      <c r="A105" s="42"/>
      <c r="B105" s="44"/>
      <c r="C105" s="41"/>
      <c r="D105" s="41"/>
      <c r="E105" s="41"/>
      <c r="F105" s="11"/>
      <c r="G105" s="11"/>
      <c r="H105" s="43"/>
      <c r="K105" s="25"/>
      <c r="M105" s="31"/>
      <c r="N105" s="31"/>
      <c r="O105" s="33"/>
      <c r="P105" s="3"/>
      <c r="Q105" s="6" t="str">
        <f>IF($F105&lt;&gt;"",RIGHT(Tabela1[[#This Row],[Ref.]],2),"")</f>
        <v/>
      </c>
      <c r="R105" s="6" t="str">
        <f t="shared" si="6"/>
        <v/>
      </c>
      <c r="S105" s="4" t="str">
        <f>IF($F105&lt;&gt;"",_xlfn.XLOOKUP(F105,Naturezas!B:B,Naturezas!E:E,"",0,1),"")</f>
        <v/>
      </c>
      <c r="T105" s="4" t="str">
        <f>IF($F105&lt;&gt;"",_xlfn.XLOOKUP($F105,Naturezas!B:B,Naturezas!D:D,"",0,1),"")</f>
        <v/>
      </c>
      <c r="U105" s="5" t="str">
        <f>IF(F105&lt;&gt;"",IF(OR(F105=Naturezas!$B$3,F105=Naturezas!$B$4,F105=Naturezas!$B$5,F105=Naturezas!$B$17,F105=Naturezas!$B$18,F105=Naturezas!$B$19),H105,-H105),"")</f>
        <v/>
      </c>
      <c r="V105" s="4" t="str">
        <f t="shared" si="7"/>
        <v/>
      </c>
      <c r="W105" s="4"/>
      <c r="X105" s="4" t="str">
        <f t="shared" si="8"/>
        <v/>
      </c>
      <c r="Y105" s="6" t="str">
        <f>IF(F105&lt;&gt;"",Tabela1[[#This Row],[Iniciais]],"")</f>
        <v/>
      </c>
      <c r="AA105" s="6" t="str">
        <f>IF($F105&lt;&gt;"",RIGHT(Tabela1[[#This Row],[Ref.]],2),"")</f>
        <v/>
      </c>
      <c r="AB105" s="46" t="str">
        <f>IF($F105&lt;&gt;"",DATE(LEFT(Tabela1[[#This Row],[Ref.]],4),RIGHT(Tabela1[[#This Row],[Ref.]],2),1),"")</f>
        <v/>
      </c>
      <c r="AC105" s="4" t="str">
        <f t="shared" si="9"/>
        <v/>
      </c>
      <c r="AD105" s="5" t="str">
        <f t="shared" si="10"/>
        <v/>
      </c>
      <c r="AE105" s="4"/>
      <c r="AF105" s="6" t="str">
        <f t="shared" si="11"/>
        <v/>
      </c>
    </row>
    <row r="106" spans="1:32" ht="15.75" customHeight="1" x14ac:dyDescent="0.2">
      <c r="A106" s="42"/>
      <c r="B106" s="44"/>
      <c r="C106" s="41"/>
      <c r="D106" s="41"/>
      <c r="E106" s="41"/>
      <c r="F106" s="11"/>
      <c r="G106" s="11"/>
      <c r="H106" s="43"/>
      <c r="K106" s="25"/>
      <c r="M106" s="31"/>
      <c r="N106" s="31"/>
      <c r="O106" s="33"/>
      <c r="P106" s="3"/>
      <c r="Q106" s="6" t="str">
        <f>IF($F106&lt;&gt;"",RIGHT(Tabela1[[#This Row],[Ref.]],2),"")</f>
        <v/>
      </c>
      <c r="R106" s="6" t="str">
        <f t="shared" si="6"/>
        <v/>
      </c>
      <c r="S106" s="4" t="str">
        <f>IF($F106&lt;&gt;"",_xlfn.XLOOKUP(F106,Naturezas!B:B,Naturezas!E:E,"",0,1),"")</f>
        <v/>
      </c>
      <c r="T106" s="4" t="str">
        <f>IF($F106&lt;&gt;"",_xlfn.XLOOKUP($F106,Naturezas!B:B,Naturezas!D:D,"",0,1),"")</f>
        <v/>
      </c>
      <c r="U106" s="5" t="str">
        <f>IF(F106&lt;&gt;"",IF(OR(F106=Naturezas!$B$3,F106=Naturezas!$B$4,F106=Naturezas!$B$5,F106=Naturezas!$B$17,F106=Naturezas!$B$18,F106=Naturezas!$B$19),H106,-H106),"")</f>
        <v/>
      </c>
      <c r="V106" s="4" t="str">
        <f t="shared" si="7"/>
        <v/>
      </c>
      <c r="W106" s="4"/>
      <c r="X106" s="4" t="str">
        <f t="shared" si="8"/>
        <v/>
      </c>
      <c r="Y106" s="6" t="str">
        <f>IF(F106&lt;&gt;"",Tabela1[[#This Row],[Iniciais]],"")</f>
        <v/>
      </c>
      <c r="AA106" s="6" t="str">
        <f>IF($F106&lt;&gt;"",RIGHT(Tabela1[[#This Row],[Ref.]],2),"")</f>
        <v/>
      </c>
      <c r="AB106" s="46" t="str">
        <f>IF($F106&lt;&gt;"",DATE(LEFT(Tabela1[[#This Row],[Ref.]],4),RIGHT(Tabela1[[#This Row],[Ref.]],2),1),"")</f>
        <v/>
      </c>
      <c r="AC106" s="4" t="str">
        <f t="shared" si="9"/>
        <v/>
      </c>
      <c r="AD106" s="5" t="str">
        <f t="shared" si="10"/>
        <v/>
      </c>
      <c r="AE106" s="4"/>
      <c r="AF106" s="6" t="str">
        <f t="shared" si="11"/>
        <v/>
      </c>
    </row>
    <row r="107" spans="1:32" ht="15.75" customHeight="1" x14ac:dyDescent="0.2">
      <c r="A107" s="42"/>
      <c r="B107" s="44"/>
      <c r="C107" s="41"/>
      <c r="D107" s="41"/>
      <c r="E107" s="41"/>
      <c r="F107" s="11"/>
      <c r="G107" s="11"/>
      <c r="H107" s="43"/>
      <c r="K107" s="25"/>
      <c r="M107" s="31"/>
      <c r="N107" s="31"/>
      <c r="O107" s="33"/>
      <c r="P107" s="3"/>
      <c r="Q107" s="6" t="str">
        <f>IF($F107&lt;&gt;"",RIGHT(Tabela1[[#This Row],[Ref.]],2),"")</f>
        <v/>
      </c>
      <c r="R107" s="6" t="str">
        <f t="shared" si="6"/>
        <v/>
      </c>
      <c r="S107" s="4" t="str">
        <f>IF($F107&lt;&gt;"",_xlfn.XLOOKUP(F107,Naturezas!B:B,Naturezas!E:E,"",0,1),"")</f>
        <v/>
      </c>
      <c r="T107" s="4" t="str">
        <f>IF($F107&lt;&gt;"",_xlfn.XLOOKUP($F107,Naturezas!B:B,Naturezas!D:D,"",0,1),"")</f>
        <v/>
      </c>
      <c r="U107" s="5" t="str">
        <f>IF(F107&lt;&gt;"",IF(OR(F107=Naturezas!$B$3,F107=Naturezas!$B$4,F107=Naturezas!$B$5,F107=Naturezas!$B$17,F107=Naturezas!$B$18,F107=Naturezas!$B$19),H107,-H107),"")</f>
        <v/>
      </c>
      <c r="V107" s="4" t="str">
        <f t="shared" si="7"/>
        <v/>
      </c>
      <c r="W107" s="4"/>
      <c r="X107" s="4" t="str">
        <f t="shared" si="8"/>
        <v/>
      </c>
      <c r="Y107" s="6" t="str">
        <f>IF(F107&lt;&gt;"",Tabela1[[#This Row],[Iniciais]],"")</f>
        <v/>
      </c>
      <c r="AA107" s="6" t="str">
        <f>IF($F107&lt;&gt;"",RIGHT(Tabela1[[#This Row],[Ref.]],2),"")</f>
        <v/>
      </c>
      <c r="AB107" s="46" t="str">
        <f>IF($F107&lt;&gt;"",DATE(LEFT(Tabela1[[#This Row],[Ref.]],4),RIGHT(Tabela1[[#This Row],[Ref.]],2),1),"")</f>
        <v/>
      </c>
      <c r="AC107" s="4" t="str">
        <f t="shared" si="9"/>
        <v/>
      </c>
      <c r="AD107" s="5" t="str">
        <f t="shared" si="10"/>
        <v/>
      </c>
      <c r="AE107" s="4"/>
      <c r="AF107" s="6" t="str">
        <f t="shared" si="11"/>
        <v/>
      </c>
    </row>
    <row r="108" spans="1:32" ht="15.75" customHeight="1" x14ac:dyDescent="0.2">
      <c r="A108" s="42"/>
      <c r="B108" s="44"/>
      <c r="C108" s="41"/>
      <c r="D108" s="41"/>
      <c r="E108" s="41"/>
      <c r="F108" s="11"/>
      <c r="G108" s="11"/>
      <c r="H108" s="43"/>
      <c r="K108" s="25"/>
      <c r="M108" s="31"/>
      <c r="N108" s="31"/>
      <c r="O108" s="33"/>
      <c r="P108" s="3"/>
      <c r="Q108" s="6" t="str">
        <f>IF($F108&lt;&gt;"",RIGHT(Tabela1[[#This Row],[Ref.]],2),"")</f>
        <v/>
      </c>
      <c r="R108" s="6" t="str">
        <f t="shared" si="6"/>
        <v/>
      </c>
      <c r="S108" s="4" t="str">
        <f>IF($F108&lt;&gt;"",_xlfn.XLOOKUP(F108,Naturezas!B:B,Naturezas!E:E,"",0,1),"")</f>
        <v/>
      </c>
      <c r="T108" s="4" t="str">
        <f>IF($F108&lt;&gt;"",_xlfn.XLOOKUP($F108,Naturezas!B:B,Naturezas!D:D,"",0,1),"")</f>
        <v/>
      </c>
      <c r="U108" s="5" t="str">
        <f>IF(F108&lt;&gt;"",IF(OR(F108=Naturezas!$B$3,F108=Naturezas!$B$4,F108=Naturezas!$B$5,F108=Naturezas!$B$17,F108=Naturezas!$B$18,F108=Naturezas!$B$19),H108,-H108),"")</f>
        <v/>
      </c>
      <c r="V108" s="4" t="str">
        <f t="shared" si="7"/>
        <v/>
      </c>
      <c r="W108" s="4"/>
      <c r="X108" s="4" t="str">
        <f t="shared" si="8"/>
        <v/>
      </c>
      <c r="Y108" s="6" t="str">
        <f>IF(F108&lt;&gt;"",Tabela1[[#This Row],[Iniciais]],"")</f>
        <v/>
      </c>
      <c r="AA108" s="6" t="str">
        <f>IF($F108&lt;&gt;"",RIGHT(Tabela1[[#This Row],[Ref.]],2),"")</f>
        <v/>
      </c>
      <c r="AB108" s="46" t="str">
        <f>IF($F108&lt;&gt;"",DATE(LEFT(Tabela1[[#This Row],[Ref.]],4),RIGHT(Tabela1[[#This Row],[Ref.]],2),1),"")</f>
        <v/>
      </c>
      <c r="AC108" s="4" t="str">
        <f t="shared" si="9"/>
        <v/>
      </c>
      <c r="AD108" s="5" t="str">
        <f t="shared" si="10"/>
        <v/>
      </c>
      <c r="AE108" s="4"/>
      <c r="AF108" s="6" t="str">
        <f t="shared" si="11"/>
        <v/>
      </c>
    </row>
    <row r="109" spans="1:32" ht="15.75" customHeight="1" x14ac:dyDescent="0.2">
      <c r="A109" s="42"/>
      <c r="B109" s="44"/>
      <c r="C109" s="41"/>
      <c r="D109" s="41"/>
      <c r="E109" s="41"/>
      <c r="F109" s="11"/>
      <c r="G109" s="11"/>
      <c r="H109" s="43"/>
      <c r="K109" s="25"/>
      <c r="M109" s="31"/>
      <c r="N109" s="31"/>
      <c r="O109" s="33"/>
      <c r="P109" s="3"/>
      <c r="Q109" s="6" t="str">
        <f>IF($F109&lt;&gt;"",RIGHT(Tabela1[[#This Row],[Ref.]],2),"")</f>
        <v/>
      </c>
      <c r="R109" s="6" t="str">
        <f t="shared" si="6"/>
        <v/>
      </c>
      <c r="S109" s="4" t="str">
        <f>IF($F109&lt;&gt;"",_xlfn.XLOOKUP(F109,Naturezas!B:B,Naturezas!E:E,"",0,1),"")</f>
        <v/>
      </c>
      <c r="T109" s="4" t="str">
        <f>IF($F109&lt;&gt;"",_xlfn.XLOOKUP($F109,Naturezas!B:B,Naturezas!D:D,"",0,1),"")</f>
        <v/>
      </c>
      <c r="U109" s="5" t="str">
        <f>IF(F109&lt;&gt;"",IF(OR(F109=Naturezas!$B$3,F109=Naturezas!$B$4,F109=Naturezas!$B$5,F109=Naturezas!$B$17,F109=Naturezas!$B$18,F109=Naturezas!$B$19),H109,-H109),"")</f>
        <v/>
      </c>
      <c r="V109" s="4" t="str">
        <f t="shared" si="7"/>
        <v/>
      </c>
      <c r="W109" s="4"/>
      <c r="X109" s="4" t="str">
        <f t="shared" si="8"/>
        <v/>
      </c>
      <c r="Y109" s="6" t="str">
        <f>IF(F109&lt;&gt;"",Tabela1[[#This Row],[Iniciais]],"")</f>
        <v/>
      </c>
      <c r="AA109" s="6" t="str">
        <f>IF($F109&lt;&gt;"",RIGHT(Tabela1[[#This Row],[Ref.]],2),"")</f>
        <v/>
      </c>
      <c r="AB109" s="46" t="str">
        <f>IF($F109&lt;&gt;"",DATE(LEFT(Tabela1[[#This Row],[Ref.]],4),RIGHT(Tabela1[[#This Row],[Ref.]],2),1),"")</f>
        <v/>
      </c>
      <c r="AC109" s="4" t="str">
        <f t="shared" si="9"/>
        <v/>
      </c>
      <c r="AD109" s="5" t="str">
        <f t="shared" si="10"/>
        <v/>
      </c>
      <c r="AE109" s="4"/>
      <c r="AF109" s="6" t="str">
        <f t="shared" si="11"/>
        <v/>
      </c>
    </row>
    <row r="110" spans="1:32" ht="15.75" customHeight="1" x14ac:dyDescent="0.2">
      <c r="A110" s="42"/>
      <c r="B110" s="44"/>
      <c r="C110" s="41"/>
      <c r="D110" s="41"/>
      <c r="E110" s="41"/>
      <c r="F110" s="11"/>
      <c r="G110" s="11"/>
      <c r="H110" s="43"/>
      <c r="K110" s="25"/>
      <c r="M110" s="31"/>
      <c r="N110" s="31"/>
      <c r="O110" s="33"/>
      <c r="P110" s="3"/>
      <c r="Q110" s="6" t="str">
        <f>IF($F110&lt;&gt;"",RIGHT(Tabela1[[#This Row],[Ref.]],2),"")</f>
        <v/>
      </c>
      <c r="R110" s="6" t="str">
        <f t="shared" si="6"/>
        <v/>
      </c>
      <c r="S110" s="4" t="str">
        <f>IF($F110&lt;&gt;"",_xlfn.XLOOKUP(F110,Naturezas!B:B,Naturezas!E:E,"",0,1),"")</f>
        <v/>
      </c>
      <c r="T110" s="4" t="str">
        <f>IF($F110&lt;&gt;"",_xlfn.XLOOKUP($F110,Naturezas!B:B,Naturezas!D:D,"",0,1),"")</f>
        <v/>
      </c>
      <c r="U110" s="5" t="str">
        <f>IF(F110&lt;&gt;"",IF(OR(F110=Naturezas!$B$3,F110=Naturezas!$B$4,F110=Naturezas!$B$5,F110=Naturezas!$B$17,F110=Naturezas!$B$18,F110=Naturezas!$B$19),H110,-H110),"")</f>
        <v/>
      </c>
      <c r="V110" s="4" t="str">
        <f t="shared" si="7"/>
        <v/>
      </c>
      <c r="W110" s="4"/>
      <c r="X110" s="4" t="str">
        <f t="shared" si="8"/>
        <v/>
      </c>
      <c r="Y110" s="6" t="str">
        <f>IF(F110&lt;&gt;"",Tabela1[[#This Row],[Iniciais]],"")</f>
        <v/>
      </c>
      <c r="AA110" s="6" t="str">
        <f>IF($F110&lt;&gt;"",RIGHT(Tabela1[[#This Row],[Ref.]],2),"")</f>
        <v/>
      </c>
      <c r="AB110" s="46" t="str">
        <f>IF($F110&lt;&gt;"",DATE(LEFT(Tabela1[[#This Row],[Ref.]],4),RIGHT(Tabela1[[#This Row],[Ref.]],2),1),"")</f>
        <v/>
      </c>
      <c r="AC110" s="4" t="str">
        <f t="shared" si="9"/>
        <v/>
      </c>
      <c r="AD110" s="5" t="str">
        <f t="shared" si="10"/>
        <v/>
      </c>
      <c r="AE110" s="4"/>
      <c r="AF110" s="6" t="str">
        <f t="shared" si="11"/>
        <v/>
      </c>
    </row>
    <row r="111" spans="1:32" ht="15.75" customHeight="1" x14ac:dyDescent="0.2">
      <c r="A111" s="42"/>
      <c r="B111" s="44"/>
      <c r="C111" s="41"/>
      <c r="D111" s="41"/>
      <c r="E111" s="41"/>
      <c r="F111" s="11"/>
      <c r="G111" s="11"/>
      <c r="H111" s="43"/>
      <c r="I111" s="2"/>
      <c r="J111" s="2"/>
      <c r="K111" s="26"/>
      <c r="M111" s="31"/>
      <c r="N111" s="31"/>
      <c r="O111" s="33"/>
      <c r="P111" s="3"/>
      <c r="Q111" s="6" t="str">
        <f>IF($F111&lt;&gt;"",RIGHT(Tabela1[[#This Row],[Ref.]],2),"")</f>
        <v/>
      </c>
      <c r="R111" s="6" t="str">
        <f t="shared" si="6"/>
        <v/>
      </c>
      <c r="S111" s="4" t="str">
        <f>IF($F111&lt;&gt;"",_xlfn.XLOOKUP(F111,Naturezas!B:B,Naturezas!E:E,"",0,1),"")</f>
        <v/>
      </c>
      <c r="T111" s="4" t="str">
        <f>IF($F111&lt;&gt;"",_xlfn.XLOOKUP($F111,Naturezas!B:B,Naturezas!D:D,"",0,1),"")</f>
        <v/>
      </c>
      <c r="U111" s="5" t="str">
        <f>IF(F111&lt;&gt;"",IF(OR(F111=Naturezas!$B$3,F111=Naturezas!$B$4,F111=Naturezas!$B$5,F111=Naturezas!$B$17,F111=Naturezas!$B$18,F111=Naturezas!$B$19),H111,-H111),"")</f>
        <v/>
      </c>
      <c r="V111" s="4" t="str">
        <f t="shared" si="7"/>
        <v/>
      </c>
      <c r="W111" s="4"/>
      <c r="X111" s="4" t="str">
        <f t="shared" si="8"/>
        <v/>
      </c>
      <c r="Y111" s="6" t="str">
        <f>IF(F111&lt;&gt;"",Tabela1[[#This Row],[Iniciais]],"")</f>
        <v/>
      </c>
      <c r="AA111" s="6" t="str">
        <f>IF($F111&lt;&gt;"",RIGHT(Tabela1[[#This Row],[Ref.]],2),"")</f>
        <v/>
      </c>
      <c r="AB111" s="46" t="str">
        <f>IF($F111&lt;&gt;"",DATE(LEFT(Tabela1[[#This Row],[Ref.]],4),RIGHT(Tabela1[[#This Row],[Ref.]],2),1),"")</f>
        <v/>
      </c>
      <c r="AC111" s="4" t="str">
        <f t="shared" si="9"/>
        <v/>
      </c>
      <c r="AD111" s="5" t="str">
        <f t="shared" si="10"/>
        <v/>
      </c>
      <c r="AE111" s="4"/>
      <c r="AF111" s="6" t="str">
        <f t="shared" si="11"/>
        <v/>
      </c>
    </row>
    <row r="112" spans="1:32" ht="15.75" customHeight="1" x14ac:dyDescent="0.2">
      <c r="A112" s="42"/>
      <c r="B112" s="44"/>
      <c r="C112" s="41"/>
      <c r="D112" s="41"/>
      <c r="E112" s="41"/>
      <c r="F112" s="11"/>
      <c r="G112" s="11"/>
      <c r="H112" s="43"/>
      <c r="K112" s="25"/>
      <c r="L112" s="2"/>
      <c r="M112" s="31"/>
      <c r="N112" s="31"/>
      <c r="O112" s="35"/>
      <c r="P112" s="3"/>
      <c r="Q112" s="6" t="str">
        <f>IF($F112&lt;&gt;"",RIGHT(Tabela1[[#This Row],[Ref.]],2),"")</f>
        <v/>
      </c>
      <c r="R112" s="6" t="str">
        <f t="shared" si="6"/>
        <v/>
      </c>
      <c r="S112" s="4" t="str">
        <f>IF($F112&lt;&gt;"",_xlfn.XLOOKUP(F112,Naturezas!B:B,Naturezas!E:E,"",0,1),"")</f>
        <v/>
      </c>
      <c r="T112" s="4" t="str">
        <f>IF($F112&lt;&gt;"",_xlfn.XLOOKUP($F112,Naturezas!B:B,Naturezas!D:D,"",0,1),"")</f>
        <v/>
      </c>
      <c r="U112" s="5" t="str">
        <f>IF(F112&lt;&gt;"",IF(OR(F112=Naturezas!$B$3,F112=Naturezas!$B$4,F112=Naturezas!$B$5,F112=Naturezas!$B$17,F112=Naturezas!$B$18,F112=Naturezas!$B$19),H112,-H112),"")</f>
        <v/>
      </c>
      <c r="V112" s="4" t="str">
        <f t="shared" si="7"/>
        <v/>
      </c>
      <c r="W112" s="4"/>
      <c r="X112" s="4" t="str">
        <f t="shared" si="8"/>
        <v/>
      </c>
      <c r="Y112" s="6" t="str">
        <f>IF(F112&lt;&gt;"",Tabela1[[#This Row],[Iniciais]],"")</f>
        <v/>
      </c>
      <c r="AA112" s="6" t="str">
        <f>IF($F112&lt;&gt;"",RIGHT(Tabela1[[#This Row],[Ref.]],2),"")</f>
        <v/>
      </c>
      <c r="AB112" s="46" t="str">
        <f>IF($F112&lt;&gt;"",DATE(LEFT(Tabela1[[#This Row],[Ref.]],4),RIGHT(Tabela1[[#This Row],[Ref.]],2),1),"")</f>
        <v/>
      </c>
      <c r="AC112" s="4" t="str">
        <f t="shared" si="9"/>
        <v/>
      </c>
      <c r="AD112" s="5" t="str">
        <f t="shared" si="10"/>
        <v/>
      </c>
      <c r="AE112" s="4"/>
      <c r="AF112" s="6" t="str">
        <f t="shared" si="11"/>
        <v/>
      </c>
    </row>
    <row r="113" spans="1:32" ht="15.75" customHeight="1" x14ac:dyDescent="0.2">
      <c r="A113" s="42"/>
      <c r="B113" s="44"/>
      <c r="C113" s="41"/>
      <c r="D113" s="41"/>
      <c r="E113" s="41"/>
      <c r="F113" s="11"/>
      <c r="G113" s="11"/>
      <c r="H113" s="43"/>
      <c r="K113" s="25"/>
      <c r="L113" s="2"/>
      <c r="M113" s="31"/>
      <c r="N113" s="31"/>
      <c r="O113" s="35"/>
      <c r="P113" s="3"/>
      <c r="Q113" s="6" t="str">
        <f>IF($F113&lt;&gt;"",RIGHT(Tabela1[[#This Row],[Ref.]],2),"")</f>
        <v/>
      </c>
      <c r="R113" s="6" t="str">
        <f t="shared" si="6"/>
        <v/>
      </c>
      <c r="S113" s="4" t="str">
        <f>IF($F113&lt;&gt;"",_xlfn.XLOOKUP(F113,Naturezas!B:B,Naturezas!E:E,"",0,1),"")</f>
        <v/>
      </c>
      <c r="T113" s="4" t="str">
        <f>IF($F113&lt;&gt;"",_xlfn.XLOOKUP($F113,Naturezas!B:B,Naturezas!D:D,"",0,1),"")</f>
        <v/>
      </c>
      <c r="U113" s="5" t="str">
        <f>IF(F113&lt;&gt;"",IF(OR(F113=Naturezas!$B$3,F113=Naturezas!$B$4,F113=Naturezas!$B$5,F113=Naturezas!$B$17,F113=Naturezas!$B$18,F113=Naturezas!$B$19),H113,-H113),"")</f>
        <v/>
      </c>
      <c r="V113" s="4" t="str">
        <f t="shared" si="7"/>
        <v/>
      </c>
      <c r="W113" s="4"/>
      <c r="X113" s="4" t="str">
        <f t="shared" si="8"/>
        <v/>
      </c>
      <c r="Y113" s="6" t="str">
        <f>IF(F113&lt;&gt;"",Tabela1[[#This Row],[Iniciais]],"")</f>
        <v/>
      </c>
      <c r="AA113" s="6" t="str">
        <f>IF($F113&lt;&gt;"",RIGHT(Tabela1[[#This Row],[Ref.]],2),"")</f>
        <v/>
      </c>
      <c r="AB113" s="46" t="str">
        <f>IF($F113&lt;&gt;"",DATE(LEFT(Tabela1[[#This Row],[Ref.]],4),RIGHT(Tabela1[[#This Row],[Ref.]],2),1),"")</f>
        <v/>
      </c>
      <c r="AC113" s="4" t="str">
        <f t="shared" si="9"/>
        <v/>
      </c>
      <c r="AD113" s="5" t="str">
        <f t="shared" si="10"/>
        <v/>
      </c>
      <c r="AE113" s="4"/>
      <c r="AF113" s="6" t="str">
        <f t="shared" si="11"/>
        <v/>
      </c>
    </row>
    <row r="114" spans="1:32" ht="15.75" customHeight="1" x14ac:dyDescent="0.2">
      <c r="A114" s="42"/>
      <c r="B114" s="44"/>
      <c r="C114" s="41"/>
      <c r="D114" s="41"/>
      <c r="E114" s="41"/>
      <c r="F114" s="11"/>
      <c r="G114" s="11"/>
      <c r="H114" s="43"/>
      <c r="K114" s="25"/>
      <c r="L114" s="2"/>
      <c r="M114" s="31"/>
      <c r="N114" s="31"/>
      <c r="O114" s="35"/>
      <c r="P114" s="3"/>
      <c r="Q114" s="6" t="str">
        <f>IF($F114&lt;&gt;"",RIGHT(Tabela1[[#This Row],[Ref.]],2),"")</f>
        <v/>
      </c>
      <c r="R114" s="6" t="str">
        <f t="shared" si="6"/>
        <v/>
      </c>
      <c r="S114" s="4" t="str">
        <f>IF($F114&lt;&gt;"",_xlfn.XLOOKUP(F114,Naturezas!B:B,Naturezas!E:E,"",0,1),"")</f>
        <v/>
      </c>
      <c r="T114" s="4" t="str">
        <f>IF($F114&lt;&gt;"",_xlfn.XLOOKUP($F114,Naturezas!B:B,Naturezas!D:D,"",0,1),"")</f>
        <v/>
      </c>
      <c r="U114" s="5" t="str">
        <f>IF(F114&lt;&gt;"",IF(OR(F114=Naturezas!$B$3,F114=Naturezas!$B$4,F114=Naturezas!$B$5,F114=Naturezas!$B$17,F114=Naturezas!$B$18,F114=Naturezas!$B$19),H114,-H114),"")</f>
        <v/>
      </c>
      <c r="V114" s="4" t="str">
        <f t="shared" si="7"/>
        <v/>
      </c>
      <c r="W114" s="4"/>
      <c r="X114" s="4" t="str">
        <f t="shared" si="8"/>
        <v/>
      </c>
      <c r="Y114" s="6" t="str">
        <f>IF(F114&lt;&gt;"",Tabela1[[#This Row],[Iniciais]],"")</f>
        <v/>
      </c>
      <c r="AA114" s="6" t="str">
        <f>IF($F114&lt;&gt;"",RIGHT(Tabela1[[#This Row],[Ref.]],2),"")</f>
        <v/>
      </c>
      <c r="AB114" s="46" t="str">
        <f>IF($F114&lt;&gt;"",DATE(LEFT(Tabela1[[#This Row],[Ref.]],4),RIGHT(Tabela1[[#This Row],[Ref.]],2),1),"")</f>
        <v/>
      </c>
      <c r="AC114" s="4" t="str">
        <f t="shared" si="9"/>
        <v/>
      </c>
      <c r="AD114" s="5" t="str">
        <f t="shared" si="10"/>
        <v/>
      </c>
      <c r="AE114" s="4"/>
      <c r="AF114" s="6" t="str">
        <f t="shared" si="11"/>
        <v/>
      </c>
    </row>
    <row r="115" spans="1:32" ht="15.75" customHeight="1" x14ac:dyDescent="0.2">
      <c r="A115" s="42"/>
      <c r="B115" s="44"/>
      <c r="C115" s="41"/>
      <c r="D115" s="41"/>
      <c r="E115" s="41"/>
      <c r="F115" s="11"/>
      <c r="G115" s="11"/>
      <c r="H115" s="43"/>
      <c r="K115" s="25"/>
      <c r="L115" s="2"/>
      <c r="M115" s="31"/>
      <c r="N115" s="31"/>
      <c r="O115" s="35"/>
      <c r="P115" s="3"/>
      <c r="Q115" s="6" t="str">
        <f>IF($F115&lt;&gt;"",RIGHT(Tabela1[[#This Row],[Ref.]],2),"")</f>
        <v/>
      </c>
      <c r="R115" s="6" t="str">
        <f t="shared" si="6"/>
        <v/>
      </c>
      <c r="S115" s="4" t="str">
        <f>IF($F115&lt;&gt;"",_xlfn.XLOOKUP(F115,Naturezas!B:B,Naturezas!E:E,"",0,1),"")</f>
        <v/>
      </c>
      <c r="T115" s="4" t="str">
        <f>IF($F115&lt;&gt;"",_xlfn.XLOOKUP($F115,Naturezas!B:B,Naturezas!D:D,"",0,1),"")</f>
        <v/>
      </c>
      <c r="U115" s="5" t="str">
        <f>IF(F115&lt;&gt;"",IF(OR(F115=Naturezas!$B$3,F115=Naturezas!$B$4,F115=Naturezas!$B$5,F115=Naturezas!$B$17,F115=Naturezas!$B$18,F115=Naturezas!$B$19),H115,-H115),"")</f>
        <v/>
      </c>
      <c r="V115" s="4" t="str">
        <f t="shared" si="7"/>
        <v/>
      </c>
      <c r="W115" s="4"/>
      <c r="X115" s="4" t="str">
        <f t="shared" si="8"/>
        <v/>
      </c>
      <c r="Y115" s="6" t="str">
        <f>IF(F115&lt;&gt;"",Tabela1[[#This Row],[Iniciais]],"")</f>
        <v/>
      </c>
      <c r="AA115" s="6" t="str">
        <f>IF($F115&lt;&gt;"",RIGHT(Tabela1[[#This Row],[Ref.]],2),"")</f>
        <v/>
      </c>
      <c r="AB115" s="46" t="str">
        <f>IF($F115&lt;&gt;"",DATE(LEFT(Tabela1[[#This Row],[Ref.]],4),RIGHT(Tabela1[[#This Row],[Ref.]],2),1),"")</f>
        <v/>
      </c>
      <c r="AC115" s="4" t="str">
        <f t="shared" si="9"/>
        <v/>
      </c>
      <c r="AD115" s="5" t="str">
        <f t="shared" si="10"/>
        <v/>
      </c>
      <c r="AE115" s="4"/>
      <c r="AF115" s="6" t="str">
        <f t="shared" si="11"/>
        <v/>
      </c>
    </row>
    <row r="116" spans="1:32" ht="15.75" customHeight="1" x14ac:dyDescent="0.2">
      <c r="A116" s="42"/>
      <c r="B116" s="44"/>
      <c r="C116" s="41"/>
      <c r="D116" s="41"/>
      <c r="E116" s="41"/>
      <c r="F116" s="11"/>
      <c r="G116" s="11"/>
      <c r="H116" s="43"/>
      <c r="K116" s="25"/>
      <c r="L116" s="2"/>
      <c r="M116" s="31"/>
      <c r="N116" s="31"/>
      <c r="O116" s="35"/>
      <c r="P116" s="3"/>
      <c r="Q116" s="6" t="str">
        <f>IF($F116&lt;&gt;"",RIGHT(Tabela1[[#This Row],[Ref.]],2),"")</f>
        <v/>
      </c>
      <c r="R116" s="6" t="str">
        <f t="shared" si="6"/>
        <v/>
      </c>
      <c r="S116" s="4" t="str">
        <f>IF($F116&lt;&gt;"",_xlfn.XLOOKUP(F116,Naturezas!B:B,Naturezas!E:E,"",0,1),"")</f>
        <v/>
      </c>
      <c r="T116" s="4" t="str">
        <f>IF($F116&lt;&gt;"",_xlfn.XLOOKUP($F116,Naturezas!B:B,Naturezas!D:D,"",0,1),"")</f>
        <v/>
      </c>
      <c r="U116" s="5" t="str">
        <f>IF(F116&lt;&gt;"",IF(OR(F116=Naturezas!$B$3,F116=Naturezas!$B$4,F116=Naturezas!$B$5,F116=Naturezas!$B$17,F116=Naturezas!$B$18,F116=Naturezas!$B$19),H116,-H116),"")</f>
        <v/>
      </c>
      <c r="V116" s="4" t="str">
        <f t="shared" si="7"/>
        <v/>
      </c>
      <c r="W116" s="4"/>
      <c r="X116" s="4" t="str">
        <f t="shared" si="8"/>
        <v/>
      </c>
      <c r="Y116" s="6" t="str">
        <f>IF(F116&lt;&gt;"",Tabela1[[#This Row],[Iniciais]],"")</f>
        <v/>
      </c>
      <c r="AA116" s="6" t="str">
        <f>IF($F116&lt;&gt;"",RIGHT(Tabela1[[#This Row],[Ref.]],2),"")</f>
        <v/>
      </c>
      <c r="AB116" s="46" t="str">
        <f>IF($F116&lt;&gt;"",DATE(LEFT(Tabela1[[#This Row],[Ref.]],4),RIGHT(Tabela1[[#This Row],[Ref.]],2),1),"")</f>
        <v/>
      </c>
      <c r="AC116" s="4" t="str">
        <f t="shared" si="9"/>
        <v/>
      </c>
      <c r="AD116" s="5" t="str">
        <f t="shared" si="10"/>
        <v/>
      </c>
      <c r="AE116" s="4"/>
      <c r="AF116" s="6" t="str">
        <f t="shared" si="11"/>
        <v/>
      </c>
    </row>
    <row r="117" spans="1:32" ht="15.75" customHeight="1" x14ac:dyDescent="0.2">
      <c r="A117" s="42"/>
      <c r="B117" s="44"/>
      <c r="C117" s="41"/>
      <c r="D117" s="41"/>
      <c r="E117" s="41"/>
      <c r="F117" s="11"/>
      <c r="G117" s="11"/>
      <c r="H117" s="43"/>
      <c r="K117" s="25"/>
      <c r="L117" s="2"/>
      <c r="M117" s="31"/>
      <c r="N117" s="31"/>
      <c r="O117" s="35"/>
      <c r="P117" s="3"/>
      <c r="Q117" s="6" t="str">
        <f>IF($F117&lt;&gt;"",RIGHT(Tabela1[[#This Row],[Ref.]],2),"")</f>
        <v/>
      </c>
      <c r="R117" s="6" t="str">
        <f t="shared" si="6"/>
        <v/>
      </c>
      <c r="S117" s="4" t="str">
        <f>IF($F117&lt;&gt;"",_xlfn.XLOOKUP(F117,Naturezas!B:B,Naturezas!E:E,"",0,1),"")</f>
        <v/>
      </c>
      <c r="T117" s="4" t="str">
        <f>IF($F117&lt;&gt;"",_xlfn.XLOOKUP($F117,Naturezas!B:B,Naturezas!D:D,"",0,1),"")</f>
        <v/>
      </c>
      <c r="U117" s="5" t="str">
        <f>IF(F117&lt;&gt;"",IF(OR(F117=Naturezas!$B$3,F117=Naturezas!$B$4,F117=Naturezas!$B$5,F117=Naturezas!$B$17,F117=Naturezas!$B$18,F117=Naturezas!$B$19),H117,-H117),"")</f>
        <v/>
      </c>
      <c r="V117" s="4" t="str">
        <f t="shared" si="7"/>
        <v/>
      </c>
      <c r="W117" s="4"/>
      <c r="X117" s="4" t="str">
        <f t="shared" si="8"/>
        <v/>
      </c>
      <c r="Y117" s="6" t="str">
        <f>IF(F117&lt;&gt;"",Tabela1[[#This Row],[Iniciais]],"")</f>
        <v/>
      </c>
      <c r="AA117" s="6" t="str">
        <f>IF($F117&lt;&gt;"",RIGHT(Tabela1[[#This Row],[Ref.]],2),"")</f>
        <v/>
      </c>
      <c r="AB117" s="46" t="str">
        <f>IF($F117&lt;&gt;"",DATE(LEFT(Tabela1[[#This Row],[Ref.]],4),RIGHT(Tabela1[[#This Row],[Ref.]],2),1),"")</f>
        <v/>
      </c>
      <c r="AC117" s="4" t="str">
        <f t="shared" si="9"/>
        <v/>
      </c>
      <c r="AD117" s="5" t="str">
        <f t="shared" si="10"/>
        <v/>
      </c>
      <c r="AE117" s="4"/>
      <c r="AF117" s="6" t="str">
        <f t="shared" si="11"/>
        <v/>
      </c>
    </row>
    <row r="118" spans="1:32" ht="15.75" customHeight="1" x14ac:dyDescent="0.2">
      <c r="A118" s="42"/>
      <c r="B118" s="44"/>
      <c r="C118" s="41"/>
      <c r="D118" s="41"/>
      <c r="E118" s="41"/>
      <c r="F118" s="11"/>
      <c r="G118" s="11"/>
      <c r="H118" s="43"/>
      <c r="K118" s="25"/>
      <c r="L118" s="2"/>
      <c r="M118" s="31"/>
      <c r="N118" s="31"/>
      <c r="O118" s="35"/>
      <c r="P118" s="3"/>
      <c r="Q118" s="6" t="str">
        <f>IF($F118&lt;&gt;"",RIGHT(Tabela1[[#This Row],[Ref.]],2),"")</f>
        <v/>
      </c>
      <c r="R118" s="6" t="str">
        <f t="shared" si="6"/>
        <v/>
      </c>
      <c r="S118" s="4" t="str">
        <f>IF($F118&lt;&gt;"",_xlfn.XLOOKUP(F118,Naturezas!B:B,Naturezas!E:E,"",0,1),"")</f>
        <v/>
      </c>
      <c r="T118" s="4" t="str">
        <f>IF($F118&lt;&gt;"",_xlfn.XLOOKUP($F118,Naturezas!B:B,Naturezas!D:D,"",0,1),"")</f>
        <v/>
      </c>
      <c r="U118" s="5" t="str">
        <f>IF(F118&lt;&gt;"",IF(OR(F118=Naturezas!$B$3,F118=Naturezas!$B$4,F118=Naturezas!$B$5,F118=Naturezas!$B$17,F118=Naturezas!$B$18,F118=Naturezas!$B$19),H118,-H118),"")</f>
        <v/>
      </c>
      <c r="V118" s="4" t="str">
        <f t="shared" si="7"/>
        <v/>
      </c>
      <c r="W118" s="4"/>
      <c r="X118" s="4" t="str">
        <f t="shared" si="8"/>
        <v/>
      </c>
      <c r="Y118" s="6" t="str">
        <f>IF(F118&lt;&gt;"",Tabela1[[#This Row],[Iniciais]],"")</f>
        <v/>
      </c>
      <c r="AA118" s="6" t="str">
        <f>IF($F118&lt;&gt;"",RIGHT(Tabela1[[#This Row],[Ref.]],2),"")</f>
        <v/>
      </c>
      <c r="AB118" s="46" t="str">
        <f>IF($F118&lt;&gt;"",DATE(LEFT(Tabela1[[#This Row],[Ref.]],4),RIGHT(Tabela1[[#This Row],[Ref.]],2),1),"")</f>
        <v/>
      </c>
      <c r="AC118" s="4" t="str">
        <f t="shared" si="9"/>
        <v/>
      </c>
      <c r="AD118" s="5" t="str">
        <f t="shared" si="10"/>
        <v/>
      </c>
      <c r="AE118" s="4"/>
      <c r="AF118" s="6" t="str">
        <f t="shared" si="11"/>
        <v/>
      </c>
    </row>
    <row r="119" spans="1:32" ht="15.75" customHeight="1" x14ac:dyDescent="0.2">
      <c r="A119" s="42"/>
      <c r="B119" s="44"/>
      <c r="C119" s="41"/>
      <c r="D119" s="41"/>
      <c r="E119" s="41"/>
      <c r="F119" s="11"/>
      <c r="G119" s="11"/>
      <c r="H119" s="43"/>
      <c r="K119" s="25"/>
      <c r="L119" s="2"/>
      <c r="M119" s="31"/>
      <c r="N119" s="31"/>
      <c r="O119" s="35"/>
      <c r="P119" s="3"/>
      <c r="Q119" s="6" t="str">
        <f>IF($F119&lt;&gt;"",RIGHT(Tabela1[[#This Row],[Ref.]],2),"")</f>
        <v/>
      </c>
      <c r="R119" s="6" t="str">
        <f t="shared" si="6"/>
        <v/>
      </c>
      <c r="S119" s="4" t="str">
        <f>IF($F119&lt;&gt;"",_xlfn.XLOOKUP(F119,Naturezas!B:B,Naturezas!E:E,"",0,1),"")</f>
        <v/>
      </c>
      <c r="T119" s="4" t="str">
        <f>IF($F119&lt;&gt;"",_xlfn.XLOOKUP($F119,Naturezas!B:B,Naturezas!D:D,"",0,1),"")</f>
        <v/>
      </c>
      <c r="U119" s="5" t="str">
        <f>IF(F119&lt;&gt;"",IF(OR(F119=Naturezas!$B$3,F119=Naturezas!$B$4,F119=Naturezas!$B$5,F119=Naturezas!$B$17,F119=Naturezas!$B$18,F119=Naturezas!$B$19),H119,-H119),"")</f>
        <v/>
      </c>
      <c r="V119" s="4" t="str">
        <f t="shared" si="7"/>
        <v/>
      </c>
      <c r="W119" s="4"/>
      <c r="X119" s="4" t="str">
        <f t="shared" si="8"/>
        <v/>
      </c>
      <c r="Y119" s="6" t="str">
        <f>IF(F119&lt;&gt;"",Tabela1[[#This Row],[Iniciais]],"")</f>
        <v/>
      </c>
      <c r="AA119" s="6" t="str">
        <f>IF($F119&lt;&gt;"",RIGHT(Tabela1[[#This Row],[Ref.]],2),"")</f>
        <v/>
      </c>
      <c r="AB119" s="46" t="str">
        <f>IF($F119&lt;&gt;"",DATE(LEFT(Tabela1[[#This Row],[Ref.]],4),RIGHT(Tabela1[[#This Row],[Ref.]],2),1),"")</f>
        <v/>
      </c>
      <c r="AC119" s="4" t="str">
        <f t="shared" si="9"/>
        <v/>
      </c>
      <c r="AD119" s="5" t="str">
        <f t="shared" si="10"/>
        <v/>
      </c>
      <c r="AE119" s="4"/>
      <c r="AF119" s="6" t="str">
        <f t="shared" si="11"/>
        <v/>
      </c>
    </row>
    <row r="120" spans="1:32" ht="15.75" customHeight="1" x14ac:dyDescent="0.2">
      <c r="A120" s="42"/>
      <c r="B120" s="44"/>
      <c r="C120" s="41"/>
      <c r="D120" s="41"/>
      <c r="E120" s="41"/>
      <c r="F120" s="11"/>
      <c r="G120" s="11"/>
      <c r="H120" s="43"/>
      <c r="K120" s="25"/>
      <c r="L120" s="2"/>
      <c r="M120" s="31"/>
      <c r="N120" s="31"/>
      <c r="O120" s="35"/>
      <c r="P120" s="3"/>
      <c r="Q120" s="6" t="str">
        <f>IF($F120&lt;&gt;"",RIGHT(Tabela1[[#This Row],[Ref.]],2),"")</f>
        <v/>
      </c>
      <c r="R120" s="6" t="str">
        <f t="shared" si="6"/>
        <v/>
      </c>
      <c r="S120" s="4" t="str">
        <f>IF($F120&lt;&gt;"",_xlfn.XLOOKUP(F120,Naturezas!B:B,Naturezas!E:E,"",0,1),"")</f>
        <v/>
      </c>
      <c r="T120" s="4" t="str">
        <f>IF($F120&lt;&gt;"",_xlfn.XLOOKUP($F120,Naturezas!B:B,Naturezas!D:D,"",0,1),"")</f>
        <v/>
      </c>
      <c r="U120" s="5" t="str">
        <f>IF(F120&lt;&gt;"",IF(OR(F120=Naturezas!$B$3,F120=Naturezas!$B$4,F120=Naturezas!$B$5,F120=Naturezas!$B$17,F120=Naturezas!$B$18,F120=Naturezas!$B$19),H120,-H120),"")</f>
        <v/>
      </c>
      <c r="V120" s="4" t="str">
        <f t="shared" si="7"/>
        <v/>
      </c>
      <c r="W120" s="4"/>
      <c r="X120" s="4" t="str">
        <f t="shared" si="8"/>
        <v/>
      </c>
      <c r="Y120" s="6" t="str">
        <f>IF(F120&lt;&gt;"",Tabela1[[#This Row],[Iniciais]],"")</f>
        <v/>
      </c>
      <c r="AA120" s="6" t="str">
        <f>IF($F120&lt;&gt;"",RIGHT(Tabela1[[#This Row],[Ref.]],2),"")</f>
        <v/>
      </c>
      <c r="AB120" s="46" t="str">
        <f>IF($F120&lt;&gt;"",DATE(LEFT(Tabela1[[#This Row],[Ref.]],4),RIGHT(Tabela1[[#This Row],[Ref.]],2),1),"")</f>
        <v/>
      </c>
      <c r="AC120" s="4" t="str">
        <f t="shared" si="9"/>
        <v/>
      </c>
      <c r="AD120" s="5" t="str">
        <f t="shared" si="10"/>
        <v/>
      </c>
      <c r="AE120" s="4"/>
      <c r="AF120" s="6" t="str">
        <f t="shared" si="11"/>
        <v/>
      </c>
    </row>
    <row r="121" spans="1:32" ht="15.75" customHeight="1" x14ac:dyDescent="0.2">
      <c r="A121" s="42"/>
      <c r="B121" s="44"/>
      <c r="C121" s="41"/>
      <c r="D121" s="41"/>
      <c r="E121" s="41"/>
      <c r="F121" s="11"/>
      <c r="G121" s="11"/>
      <c r="H121" s="43"/>
      <c r="K121" s="25"/>
      <c r="L121" s="2"/>
      <c r="M121" s="31"/>
      <c r="N121" s="31"/>
      <c r="O121" s="35"/>
      <c r="P121" s="3"/>
      <c r="Q121" s="6" t="str">
        <f>IF($F121&lt;&gt;"",RIGHT(Tabela1[[#This Row],[Ref.]],2),"")</f>
        <v/>
      </c>
      <c r="R121" s="6" t="str">
        <f t="shared" si="6"/>
        <v/>
      </c>
      <c r="S121" s="4" t="str">
        <f>IF($F121&lt;&gt;"",_xlfn.XLOOKUP(F121,Naturezas!B:B,Naturezas!E:E,"",0,1),"")</f>
        <v/>
      </c>
      <c r="T121" s="4" t="str">
        <f>IF($F121&lt;&gt;"",_xlfn.XLOOKUP($F121,Naturezas!B:B,Naturezas!D:D,"",0,1),"")</f>
        <v/>
      </c>
      <c r="U121" s="5" t="str">
        <f>IF(F121&lt;&gt;"",IF(OR(F121=Naturezas!$B$3,F121=Naturezas!$B$4,F121=Naturezas!$B$5,F121=Naturezas!$B$17,F121=Naturezas!$B$18,F121=Naturezas!$B$19),H121,-H121),"")</f>
        <v/>
      </c>
      <c r="V121" s="4" t="str">
        <f t="shared" si="7"/>
        <v/>
      </c>
      <c r="W121" s="4"/>
      <c r="X121" s="4" t="str">
        <f t="shared" si="8"/>
        <v/>
      </c>
      <c r="Y121" s="6" t="str">
        <f>IF(F121&lt;&gt;"",Tabela1[[#This Row],[Iniciais]],"")</f>
        <v/>
      </c>
      <c r="AA121" s="6" t="str">
        <f>IF($F121&lt;&gt;"",RIGHT(Tabela1[[#This Row],[Ref.]],2),"")</f>
        <v/>
      </c>
      <c r="AB121" s="46" t="str">
        <f>IF($F121&lt;&gt;"",DATE(LEFT(Tabela1[[#This Row],[Ref.]],4),RIGHT(Tabela1[[#This Row],[Ref.]],2),1),"")</f>
        <v/>
      </c>
      <c r="AC121" s="4" t="str">
        <f t="shared" si="9"/>
        <v/>
      </c>
      <c r="AD121" s="5" t="str">
        <f t="shared" si="10"/>
        <v/>
      </c>
      <c r="AE121" s="4"/>
      <c r="AF121" s="6" t="str">
        <f t="shared" si="11"/>
        <v/>
      </c>
    </row>
    <row r="122" spans="1:32" ht="15.75" customHeight="1" x14ac:dyDescent="0.2">
      <c r="A122" s="42"/>
      <c r="B122" s="44"/>
      <c r="C122" s="41"/>
      <c r="D122" s="41"/>
      <c r="E122" s="41"/>
      <c r="F122" s="11"/>
      <c r="G122" s="11"/>
      <c r="H122" s="43"/>
      <c r="K122" s="25"/>
      <c r="L122" s="2"/>
      <c r="M122" s="31"/>
      <c r="N122" s="31"/>
      <c r="O122" s="35"/>
      <c r="P122" s="3"/>
      <c r="Q122" s="6" t="str">
        <f>IF($F122&lt;&gt;"",RIGHT(Tabela1[[#This Row],[Ref.]],2),"")</f>
        <v/>
      </c>
      <c r="R122" s="6" t="str">
        <f t="shared" si="6"/>
        <v/>
      </c>
      <c r="S122" s="4" t="str">
        <f>IF($F122&lt;&gt;"",_xlfn.XLOOKUP(F122,Naturezas!B:B,Naturezas!E:E,"",0,1),"")</f>
        <v/>
      </c>
      <c r="T122" s="4" t="str">
        <f>IF($F122&lt;&gt;"",_xlfn.XLOOKUP($F122,Naturezas!B:B,Naturezas!D:D,"",0,1),"")</f>
        <v/>
      </c>
      <c r="U122" s="5" t="str">
        <f>IF(F122&lt;&gt;"",IF(OR(F122=Naturezas!$B$3,F122=Naturezas!$B$4,F122=Naturezas!$B$5,F122=Naturezas!$B$17,F122=Naturezas!$B$18,F122=Naturezas!$B$19),H122,-H122),"")</f>
        <v/>
      </c>
      <c r="V122" s="4" t="str">
        <f t="shared" si="7"/>
        <v/>
      </c>
      <c r="W122" s="4"/>
      <c r="X122" s="4" t="str">
        <f t="shared" si="8"/>
        <v/>
      </c>
      <c r="Y122" s="6" t="str">
        <f>IF(F122&lt;&gt;"",Tabela1[[#This Row],[Iniciais]],"")</f>
        <v/>
      </c>
      <c r="AA122" s="6" t="str">
        <f>IF($F122&lt;&gt;"",RIGHT(Tabela1[[#This Row],[Ref.]],2),"")</f>
        <v/>
      </c>
      <c r="AB122" s="46" t="str">
        <f>IF($F122&lt;&gt;"",DATE(LEFT(Tabela1[[#This Row],[Ref.]],4),RIGHT(Tabela1[[#This Row],[Ref.]],2),1),"")</f>
        <v/>
      </c>
      <c r="AC122" s="4" t="str">
        <f t="shared" si="9"/>
        <v/>
      </c>
      <c r="AD122" s="5" t="str">
        <f t="shared" si="10"/>
        <v/>
      </c>
      <c r="AE122" s="4"/>
      <c r="AF122" s="6" t="str">
        <f t="shared" si="11"/>
        <v/>
      </c>
    </row>
    <row r="123" spans="1:32" ht="15.75" customHeight="1" x14ac:dyDescent="0.2">
      <c r="A123" s="42"/>
      <c r="B123" s="44"/>
      <c r="C123" s="41"/>
      <c r="D123" s="41"/>
      <c r="E123" s="41"/>
      <c r="F123" s="11"/>
      <c r="G123" s="11"/>
      <c r="H123" s="43"/>
      <c r="K123" s="25"/>
      <c r="L123" s="2"/>
      <c r="M123" s="31"/>
      <c r="N123" s="31"/>
      <c r="O123" s="35"/>
      <c r="P123" s="3"/>
      <c r="Q123" s="6" t="str">
        <f>IF($F123&lt;&gt;"",RIGHT(Tabela1[[#This Row],[Ref.]],2),"")</f>
        <v/>
      </c>
      <c r="R123" s="6" t="str">
        <f t="shared" si="6"/>
        <v/>
      </c>
      <c r="S123" s="4" t="str">
        <f>IF($F123&lt;&gt;"",_xlfn.XLOOKUP(F123,Naturezas!B:B,Naturezas!E:E,"",0,1),"")</f>
        <v/>
      </c>
      <c r="T123" s="4" t="str">
        <f>IF($F123&lt;&gt;"",_xlfn.XLOOKUP($F123,Naturezas!B:B,Naturezas!D:D,"",0,1),"")</f>
        <v/>
      </c>
      <c r="U123" s="5" t="str">
        <f>IF(F123&lt;&gt;"",IF(OR(F123=Naturezas!$B$3,F123=Naturezas!$B$4,F123=Naturezas!$B$5,F123=Naturezas!$B$17,F123=Naturezas!$B$18,F123=Naturezas!$B$19),H123,-H123),"")</f>
        <v/>
      </c>
      <c r="V123" s="4" t="str">
        <f t="shared" si="7"/>
        <v/>
      </c>
      <c r="W123" s="4"/>
      <c r="X123" s="4" t="str">
        <f t="shared" si="8"/>
        <v/>
      </c>
      <c r="Y123" s="6" t="str">
        <f>IF(F123&lt;&gt;"",Tabela1[[#This Row],[Iniciais]],"")</f>
        <v/>
      </c>
      <c r="AA123" s="6" t="str">
        <f>IF($F123&lt;&gt;"",RIGHT(Tabela1[[#This Row],[Ref.]],2),"")</f>
        <v/>
      </c>
      <c r="AB123" s="46" t="str">
        <f>IF($F123&lt;&gt;"",DATE(LEFT(Tabela1[[#This Row],[Ref.]],4),RIGHT(Tabela1[[#This Row],[Ref.]],2),1),"")</f>
        <v/>
      </c>
      <c r="AC123" s="4" t="str">
        <f t="shared" si="9"/>
        <v/>
      </c>
      <c r="AD123" s="5" t="str">
        <f t="shared" si="10"/>
        <v/>
      </c>
      <c r="AE123" s="4"/>
      <c r="AF123" s="6" t="str">
        <f t="shared" si="11"/>
        <v/>
      </c>
    </row>
    <row r="124" spans="1:32" ht="15.75" customHeight="1" x14ac:dyDescent="0.2">
      <c r="A124" s="42"/>
      <c r="B124" s="44"/>
      <c r="C124" s="41"/>
      <c r="D124" s="41"/>
      <c r="E124" s="41"/>
      <c r="F124" s="11"/>
      <c r="G124" s="11"/>
      <c r="H124" s="43"/>
      <c r="K124" s="25"/>
      <c r="L124" s="2"/>
      <c r="M124" s="31"/>
      <c r="N124" s="31"/>
      <c r="O124" s="35"/>
      <c r="P124" s="3"/>
      <c r="Q124" s="6" t="str">
        <f>IF($F124&lt;&gt;"",RIGHT(Tabela1[[#This Row],[Ref.]],2),"")</f>
        <v/>
      </c>
      <c r="R124" s="6" t="str">
        <f t="shared" si="6"/>
        <v/>
      </c>
      <c r="S124" s="4" t="str">
        <f>IF($F124&lt;&gt;"",_xlfn.XLOOKUP(F124,Naturezas!B:B,Naturezas!E:E,"",0,1),"")</f>
        <v/>
      </c>
      <c r="T124" s="4" t="str">
        <f>IF($F124&lt;&gt;"",_xlfn.XLOOKUP($F124,Naturezas!B:B,Naturezas!D:D,"",0,1),"")</f>
        <v/>
      </c>
      <c r="U124" s="5" t="str">
        <f>IF(F124&lt;&gt;"",IF(OR(F124=Naturezas!$B$3,F124=Naturezas!$B$4,F124=Naturezas!$B$5,F124=Naturezas!$B$17,F124=Naturezas!$B$18,F124=Naturezas!$B$19),H124,-H124),"")</f>
        <v/>
      </c>
      <c r="V124" s="4" t="str">
        <f t="shared" si="7"/>
        <v/>
      </c>
      <c r="W124" s="4"/>
      <c r="X124" s="4" t="str">
        <f t="shared" si="8"/>
        <v/>
      </c>
      <c r="Y124" s="6" t="str">
        <f>IF(F124&lt;&gt;"",Tabela1[[#This Row],[Iniciais]],"")</f>
        <v/>
      </c>
      <c r="AA124" s="6" t="str">
        <f>IF($F124&lt;&gt;"",RIGHT(Tabela1[[#This Row],[Ref.]],2),"")</f>
        <v/>
      </c>
      <c r="AB124" s="46" t="str">
        <f>IF($F124&lt;&gt;"",DATE(LEFT(Tabela1[[#This Row],[Ref.]],4),RIGHT(Tabela1[[#This Row],[Ref.]],2),1),"")</f>
        <v/>
      </c>
      <c r="AC124" s="4" t="str">
        <f t="shared" si="9"/>
        <v/>
      </c>
      <c r="AD124" s="5" t="str">
        <f t="shared" si="10"/>
        <v/>
      </c>
      <c r="AE124" s="4"/>
      <c r="AF124" s="6" t="str">
        <f t="shared" si="11"/>
        <v/>
      </c>
    </row>
    <row r="125" spans="1:32" ht="15.75" customHeight="1" x14ac:dyDescent="0.2">
      <c r="A125" s="42"/>
      <c r="B125" s="44"/>
      <c r="C125" s="41"/>
      <c r="D125" s="41"/>
      <c r="E125" s="41"/>
      <c r="F125" s="11"/>
      <c r="G125" s="11"/>
      <c r="H125" s="43"/>
      <c r="K125" s="25"/>
      <c r="L125" s="2"/>
      <c r="M125" s="31"/>
      <c r="N125" s="31"/>
      <c r="O125" s="35"/>
      <c r="P125" s="3"/>
      <c r="Q125" s="6" t="str">
        <f>IF($F125&lt;&gt;"",RIGHT(Tabela1[[#This Row],[Ref.]],2),"")</f>
        <v/>
      </c>
      <c r="R125" s="6" t="str">
        <f t="shared" si="6"/>
        <v/>
      </c>
      <c r="S125" s="4" t="str">
        <f>IF($F125&lt;&gt;"",_xlfn.XLOOKUP(F125,Naturezas!B:B,Naturezas!E:E,"",0,1),"")</f>
        <v/>
      </c>
      <c r="T125" s="4" t="str">
        <f>IF($F125&lt;&gt;"",_xlfn.XLOOKUP($F125,Naturezas!B:B,Naturezas!D:D,"",0,1),"")</f>
        <v/>
      </c>
      <c r="U125" s="5" t="str">
        <f>IF(F125&lt;&gt;"",IF(OR(F125=Naturezas!$B$3,F125=Naturezas!$B$4,F125=Naturezas!$B$5,F125=Naturezas!$B$17,F125=Naturezas!$B$18,F125=Naturezas!$B$19),H125,-H125),"")</f>
        <v/>
      </c>
      <c r="V125" s="4" t="str">
        <f t="shared" si="7"/>
        <v/>
      </c>
      <c r="W125" s="4"/>
      <c r="X125" s="4" t="str">
        <f t="shared" si="8"/>
        <v/>
      </c>
      <c r="Y125" s="6" t="str">
        <f>IF(F125&lt;&gt;"",Tabela1[[#This Row],[Iniciais]],"")</f>
        <v/>
      </c>
      <c r="AA125" s="6" t="str">
        <f>IF($F125&lt;&gt;"",RIGHT(Tabela1[[#This Row],[Ref.]],2),"")</f>
        <v/>
      </c>
      <c r="AB125" s="46" t="str">
        <f>IF($F125&lt;&gt;"",DATE(LEFT(Tabela1[[#This Row],[Ref.]],4),RIGHT(Tabela1[[#This Row],[Ref.]],2),1),"")</f>
        <v/>
      </c>
      <c r="AC125" s="4" t="str">
        <f t="shared" si="9"/>
        <v/>
      </c>
      <c r="AD125" s="5" t="str">
        <f t="shared" si="10"/>
        <v/>
      </c>
      <c r="AE125" s="4"/>
      <c r="AF125" s="6" t="str">
        <f t="shared" si="11"/>
        <v/>
      </c>
    </row>
    <row r="126" spans="1:32" ht="15.75" customHeight="1" x14ac:dyDescent="0.2">
      <c r="A126" s="42"/>
      <c r="B126" s="44"/>
      <c r="C126" s="41"/>
      <c r="D126" s="41"/>
      <c r="E126" s="41"/>
      <c r="F126" s="11"/>
      <c r="G126" s="11"/>
      <c r="H126" s="43"/>
      <c r="K126" s="25"/>
      <c r="L126" s="2"/>
      <c r="M126" s="31"/>
      <c r="N126" s="31"/>
      <c r="O126" s="35"/>
      <c r="P126" s="3"/>
      <c r="Q126" s="6" t="str">
        <f>IF($F126&lt;&gt;"",RIGHT(Tabela1[[#This Row],[Ref.]],2),"")</f>
        <v/>
      </c>
      <c r="R126" s="6" t="str">
        <f t="shared" si="6"/>
        <v/>
      </c>
      <c r="S126" s="4" t="str">
        <f>IF($F126&lt;&gt;"",_xlfn.XLOOKUP(F126,Naturezas!B:B,Naturezas!E:E,"",0,1),"")</f>
        <v/>
      </c>
      <c r="T126" s="4" t="str">
        <f>IF($F126&lt;&gt;"",_xlfn.XLOOKUP($F126,Naturezas!B:B,Naturezas!D:D,"",0,1),"")</f>
        <v/>
      </c>
      <c r="U126" s="5" t="str">
        <f>IF(F126&lt;&gt;"",IF(OR(F126=Naturezas!$B$3,F126=Naturezas!$B$4,F126=Naturezas!$B$5,F126=Naturezas!$B$17,F126=Naturezas!$B$18,F126=Naturezas!$B$19),H126,-H126),"")</f>
        <v/>
      </c>
      <c r="V126" s="4" t="str">
        <f t="shared" si="7"/>
        <v/>
      </c>
      <c r="W126" s="4"/>
      <c r="X126" s="4" t="str">
        <f t="shared" si="8"/>
        <v/>
      </c>
      <c r="Y126" s="6" t="str">
        <f>IF(F126&lt;&gt;"",Tabela1[[#This Row],[Iniciais]],"")</f>
        <v/>
      </c>
      <c r="AA126" s="6" t="str">
        <f>IF($F126&lt;&gt;"",RIGHT(Tabela1[[#This Row],[Ref.]],2),"")</f>
        <v/>
      </c>
      <c r="AB126" s="46" t="str">
        <f>IF($F126&lt;&gt;"",DATE(LEFT(Tabela1[[#This Row],[Ref.]],4),RIGHT(Tabela1[[#This Row],[Ref.]],2),1),"")</f>
        <v/>
      </c>
      <c r="AC126" s="4" t="str">
        <f t="shared" si="9"/>
        <v/>
      </c>
      <c r="AD126" s="5" t="str">
        <f t="shared" si="10"/>
        <v/>
      </c>
      <c r="AE126" s="4"/>
      <c r="AF126" s="6" t="str">
        <f t="shared" si="11"/>
        <v/>
      </c>
    </row>
    <row r="127" spans="1:32" ht="15.75" customHeight="1" x14ac:dyDescent="0.2">
      <c r="A127" s="42"/>
      <c r="B127" s="44"/>
      <c r="C127" s="41"/>
      <c r="D127" s="41"/>
      <c r="E127" s="41"/>
      <c r="F127" s="11"/>
      <c r="G127" s="11"/>
      <c r="H127" s="43"/>
      <c r="K127" s="25"/>
      <c r="L127" s="2"/>
      <c r="M127" s="31"/>
      <c r="N127" s="31"/>
      <c r="O127" s="35"/>
      <c r="P127" s="3"/>
      <c r="Q127" s="6" t="str">
        <f>IF($F127&lt;&gt;"",RIGHT(Tabela1[[#This Row],[Ref.]],2),"")</f>
        <v/>
      </c>
      <c r="R127" s="6" t="str">
        <f t="shared" si="6"/>
        <v/>
      </c>
      <c r="S127" s="4" t="str">
        <f>IF($F127&lt;&gt;"",_xlfn.XLOOKUP(F127,Naturezas!B:B,Naturezas!E:E,"",0,1),"")</f>
        <v/>
      </c>
      <c r="T127" s="4" t="str">
        <f>IF($F127&lt;&gt;"",_xlfn.XLOOKUP($F127,Naturezas!B:B,Naturezas!D:D,"",0,1),"")</f>
        <v/>
      </c>
      <c r="U127" s="5" t="str">
        <f>IF(F127&lt;&gt;"",IF(OR(F127=Naturezas!$B$3,F127=Naturezas!$B$4,F127=Naturezas!$B$5,F127=Naturezas!$B$17,F127=Naturezas!$B$18,F127=Naturezas!$B$19),H127,-H127),"")</f>
        <v/>
      </c>
      <c r="V127" s="4" t="str">
        <f t="shared" si="7"/>
        <v/>
      </c>
      <c r="W127" s="4"/>
      <c r="X127" s="4" t="str">
        <f t="shared" si="8"/>
        <v/>
      </c>
      <c r="Y127" s="6" t="str">
        <f>IF(F127&lt;&gt;"",Tabela1[[#This Row],[Iniciais]],"")</f>
        <v/>
      </c>
      <c r="AA127" s="6" t="str">
        <f>IF($F127&lt;&gt;"",RIGHT(Tabela1[[#This Row],[Ref.]],2),"")</f>
        <v/>
      </c>
      <c r="AB127" s="46" t="str">
        <f>IF($F127&lt;&gt;"",DATE(LEFT(Tabela1[[#This Row],[Ref.]],4),RIGHT(Tabela1[[#This Row],[Ref.]],2),1),"")</f>
        <v/>
      </c>
      <c r="AC127" s="4" t="str">
        <f t="shared" si="9"/>
        <v/>
      </c>
      <c r="AD127" s="5" t="str">
        <f t="shared" si="10"/>
        <v/>
      </c>
      <c r="AE127" s="4"/>
      <c r="AF127" s="6" t="str">
        <f t="shared" si="11"/>
        <v/>
      </c>
    </row>
    <row r="128" spans="1:32" ht="15.75" customHeight="1" x14ac:dyDescent="0.2">
      <c r="A128" s="42"/>
      <c r="B128" s="44"/>
      <c r="C128" s="41"/>
      <c r="D128" s="41"/>
      <c r="E128" s="41"/>
      <c r="F128" s="11"/>
      <c r="G128" s="11"/>
      <c r="H128" s="43"/>
      <c r="K128" s="25"/>
      <c r="L128" s="2"/>
      <c r="M128" s="31"/>
      <c r="N128" s="31"/>
      <c r="O128" s="35"/>
      <c r="P128" s="3"/>
      <c r="Q128" s="6" t="str">
        <f>IF($F128&lt;&gt;"",RIGHT(Tabela1[[#This Row],[Ref.]],2),"")</f>
        <v/>
      </c>
      <c r="R128" s="6" t="str">
        <f t="shared" si="6"/>
        <v/>
      </c>
      <c r="S128" s="4" t="str">
        <f>IF($F128&lt;&gt;"",_xlfn.XLOOKUP(F128,Naturezas!B:B,Naturezas!E:E,"",0,1),"")</f>
        <v/>
      </c>
      <c r="T128" s="4" t="str">
        <f>IF($F128&lt;&gt;"",_xlfn.XLOOKUP($F128,Naturezas!B:B,Naturezas!D:D,"",0,1),"")</f>
        <v/>
      </c>
      <c r="U128" s="5" t="str">
        <f>IF(F128&lt;&gt;"",IF(OR(F128=Naturezas!$B$3,F128=Naturezas!$B$4,F128=Naturezas!$B$5,F128=Naturezas!$B$17,F128=Naturezas!$B$18,F128=Naturezas!$B$19),H128,-H128),"")</f>
        <v/>
      </c>
      <c r="V128" s="4" t="str">
        <f t="shared" si="7"/>
        <v/>
      </c>
      <c r="W128" s="4"/>
      <c r="X128" s="4" t="str">
        <f t="shared" si="8"/>
        <v/>
      </c>
      <c r="Y128" s="6" t="str">
        <f>IF(F128&lt;&gt;"",Tabela1[[#This Row],[Iniciais]],"")</f>
        <v/>
      </c>
      <c r="AA128" s="6" t="str">
        <f>IF($F128&lt;&gt;"",RIGHT(Tabela1[[#This Row],[Ref.]],2),"")</f>
        <v/>
      </c>
      <c r="AB128" s="46" t="str">
        <f>IF($F128&lt;&gt;"",DATE(LEFT(Tabela1[[#This Row],[Ref.]],4),RIGHT(Tabela1[[#This Row],[Ref.]],2),1),"")</f>
        <v/>
      </c>
      <c r="AC128" s="4" t="str">
        <f t="shared" si="9"/>
        <v/>
      </c>
      <c r="AD128" s="5" t="str">
        <f t="shared" si="10"/>
        <v/>
      </c>
      <c r="AE128" s="4"/>
      <c r="AF128" s="6" t="str">
        <f t="shared" si="11"/>
        <v/>
      </c>
    </row>
    <row r="129" spans="1:32" ht="15.75" customHeight="1" x14ac:dyDescent="0.2">
      <c r="A129" s="42"/>
      <c r="B129" s="44"/>
      <c r="C129" s="41"/>
      <c r="D129" s="41"/>
      <c r="E129" s="41"/>
      <c r="F129" s="11"/>
      <c r="G129" s="11"/>
      <c r="H129" s="43"/>
      <c r="K129" s="25"/>
      <c r="L129" s="2"/>
      <c r="M129" s="31"/>
      <c r="N129" s="31"/>
      <c r="O129" s="35"/>
      <c r="P129" s="3"/>
      <c r="Q129" s="6" t="str">
        <f>IF($F129&lt;&gt;"",RIGHT(Tabela1[[#This Row],[Ref.]],2),"")</f>
        <v/>
      </c>
      <c r="R129" s="6" t="str">
        <f t="shared" si="6"/>
        <v/>
      </c>
      <c r="S129" s="4" t="str">
        <f>IF($F129&lt;&gt;"",_xlfn.XLOOKUP(F129,Naturezas!B:B,Naturezas!E:E,"",0,1),"")</f>
        <v/>
      </c>
      <c r="T129" s="4" t="str">
        <f>IF($F129&lt;&gt;"",_xlfn.XLOOKUP($F129,Naturezas!B:B,Naturezas!D:D,"",0,1),"")</f>
        <v/>
      </c>
      <c r="U129" s="5" t="str">
        <f>IF(F129&lt;&gt;"",IF(OR(F129=Naturezas!$B$3,F129=Naturezas!$B$4,F129=Naturezas!$B$5,F129=Naturezas!$B$17,F129=Naturezas!$B$18,F129=Naturezas!$B$19),H129,-H129),"")</f>
        <v/>
      </c>
      <c r="V129" s="4" t="str">
        <f t="shared" si="7"/>
        <v/>
      </c>
      <c r="W129" s="4"/>
      <c r="X129" s="4" t="str">
        <f t="shared" si="8"/>
        <v/>
      </c>
      <c r="Y129" s="6" t="str">
        <f>IF(F129&lt;&gt;"",Tabela1[[#This Row],[Iniciais]],"")</f>
        <v/>
      </c>
      <c r="AA129" s="6" t="str">
        <f>IF($F129&lt;&gt;"",RIGHT(Tabela1[[#This Row],[Ref.]],2),"")</f>
        <v/>
      </c>
      <c r="AB129" s="46" t="str">
        <f>IF($F129&lt;&gt;"",DATE(LEFT(Tabela1[[#This Row],[Ref.]],4),RIGHT(Tabela1[[#This Row],[Ref.]],2),1),"")</f>
        <v/>
      </c>
      <c r="AC129" s="4" t="str">
        <f t="shared" si="9"/>
        <v/>
      </c>
      <c r="AD129" s="5" t="str">
        <f t="shared" si="10"/>
        <v/>
      </c>
      <c r="AE129" s="4"/>
      <c r="AF129" s="6" t="str">
        <f t="shared" si="11"/>
        <v/>
      </c>
    </row>
    <row r="130" spans="1:32" ht="15.75" customHeight="1" x14ac:dyDescent="0.2">
      <c r="A130" s="42"/>
      <c r="B130" s="44"/>
      <c r="C130" s="41"/>
      <c r="D130" s="41"/>
      <c r="E130" s="41"/>
      <c r="F130" s="11"/>
      <c r="G130" s="11"/>
      <c r="H130" s="43"/>
      <c r="K130" s="25"/>
      <c r="L130" s="2"/>
      <c r="M130" s="31"/>
      <c r="N130" s="31"/>
      <c r="O130" s="35"/>
      <c r="P130" s="3"/>
      <c r="Q130" s="6" t="str">
        <f>IF($F130&lt;&gt;"",RIGHT(Tabela1[[#This Row],[Ref.]],2),"")</f>
        <v/>
      </c>
      <c r="R130" s="6" t="str">
        <f t="shared" si="6"/>
        <v/>
      </c>
      <c r="S130" s="4" t="str">
        <f>IF($F130&lt;&gt;"",_xlfn.XLOOKUP(F130,Naturezas!B:B,Naturezas!E:E,"",0,1),"")</f>
        <v/>
      </c>
      <c r="T130" s="4" t="str">
        <f>IF($F130&lt;&gt;"",_xlfn.XLOOKUP($F130,Naturezas!B:B,Naturezas!D:D,"",0,1),"")</f>
        <v/>
      </c>
      <c r="U130" s="5" t="str">
        <f>IF(F130&lt;&gt;"",IF(OR(F130=Naturezas!$B$3,F130=Naturezas!$B$4,F130=Naturezas!$B$5,F130=Naturezas!$B$17,F130=Naturezas!$B$18,F130=Naturezas!$B$19),H130,-H130),"")</f>
        <v/>
      </c>
      <c r="V130" s="4" t="str">
        <f t="shared" si="7"/>
        <v/>
      </c>
      <c r="W130" s="4"/>
      <c r="X130" s="4" t="str">
        <f t="shared" si="8"/>
        <v/>
      </c>
      <c r="Y130" s="6" t="str">
        <f>IF(F130&lt;&gt;"",Tabela1[[#This Row],[Iniciais]],"")</f>
        <v/>
      </c>
      <c r="AA130" s="6" t="str">
        <f>IF($F130&lt;&gt;"",RIGHT(Tabela1[[#This Row],[Ref.]],2),"")</f>
        <v/>
      </c>
      <c r="AB130" s="46" t="str">
        <f>IF($F130&lt;&gt;"",DATE(LEFT(Tabela1[[#This Row],[Ref.]],4),RIGHT(Tabela1[[#This Row],[Ref.]],2),1),"")</f>
        <v/>
      </c>
      <c r="AC130" s="4" t="str">
        <f t="shared" si="9"/>
        <v/>
      </c>
      <c r="AD130" s="5" t="str">
        <f t="shared" si="10"/>
        <v/>
      </c>
      <c r="AE130" s="4"/>
      <c r="AF130" s="6" t="str">
        <f t="shared" si="11"/>
        <v/>
      </c>
    </row>
    <row r="131" spans="1:32" ht="15.75" customHeight="1" x14ac:dyDescent="0.2">
      <c r="A131" s="42"/>
      <c r="B131" s="44"/>
      <c r="C131" s="41"/>
      <c r="D131" s="41"/>
      <c r="E131" s="41"/>
      <c r="F131" s="11"/>
      <c r="G131" s="11"/>
      <c r="H131" s="43"/>
      <c r="K131" s="25"/>
      <c r="L131" s="2"/>
      <c r="M131" s="31"/>
      <c r="N131" s="31"/>
      <c r="O131" s="35"/>
      <c r="P131" s="3"/>
      <c r="Q131" s="6" t="str">
        <f>IF($F131&lt;&gt;"",RIGHT(Tabela1[[#This Row],[Ref.]],2),"")</f>
        <v/>
      </c>
      <c r="R131" s="6" t="str">
        <f t="shared" si="6"/>
        <v/>
      </c>
      <c r="S131" s="4" t="str">
        <f>IF($F131&lt;&gt;"",_xlfn.XLOOKUP(F131,Naturezas!B:B,Naturezas!E:E,"",0,1),"")</f>
        <v/>
      </c>
      <c r="T131" s="4" t="str">
        <f>IF($F131&lt;&gt;"",_xlfn.XLOOKUP($F131,Naturezas!B:B,Naturezas!D:D,"",0,1),"")</f>
        <v/>
      </c>
      <c r="U131" s="5" t="str">
        <f>IF(F131&lt;&gt;"",IF(OR(F131=Naturezas!$B$3,F131=Naturezas!$B$4,F131=Naturezas!$B$5,F131=Naturezas!$B$17,F131=Naturezas!$B$18,F131=Naturezas!$B$19),H131,-H131),"")</f>
        <v/>
      </c>
      <c r="V131" s="4" t="str">
        <f t="shared" si="7"/>
        <v/>
      </c>
      <c r="W131" s="4"/>
      <c r="X131" s="4" t="str">
        <f t="shared" si="8"/>
        <v/>
      </c>
      <c r="Y131" s="6" t="str">
        <f>IF(F131&lt;&gt;"",Tabela1[[#This Row],[Iniciais]],"")</f>
        <v/>
      </c>
      <c r="AA131" s="6" t="str">
        <f>IF($F131&lt;&gt;"",RIGHT(Tabela1[[#This Row],[Ref.]],2),"")</f>
        <v/>
      </c>
      <c r="AB131" s="46" t="str">
        <f>IF($F131&lt;&gt;"",DATE(LEFT(Tabela1[[#This Row],[Ref.]],4),RIGHT(Tabela1[[#This Row],[Ref.]],2),1),"")</f>
        <v/>
      </c>
      <c r="AC131" s="4" t="str">
        <f t="shared" si="9"/>
        <v/>
      </c>
      <c r="AD131" s="5" t="str">
        <f t="shared" si="10"/>
        <v/>
      </c>
      <c r="AE131" s="4"/>
      <c r="AF131" s="6" t="str">
        <f t="shared" si="11"/>
        <v/>
      </c>
    </row>
    <row r="132" spans="1:32" ht="15.75" customHeight="1" x14ac:dyDescent="0.2">
      <c r="A132" s="42"/>
      <c r="B132" s="44"/>
      <c r="C132" s="41"/>
      <c r="D132" s="41"/>
      <c r="E132" s="41"/>
      <c r="F132" s="11"/>
      <c r="G132" s="11"/>
      <c r="H132" s="43"/>
      <c r="K132" s="25"/>
      <c r="L132" s="2"/>
      <c r="M132" s="31"/>
      <c r="N132" s="31"/>
      <c r="O132" s="35"/>
      <c r="P132" s="3"/>
      <c r="Q132" s="6" t="str">
        <f>IF($F132&lt;&gt;"",RIGHT(Tabela1[[#This Row],[Ref.]],2),"")</f>
        <v/>
      </c>
      <c r="R132" s="6" t="str">
        <f t="shared" si="6"/>
        <v/>
      </c>
      <c r="S132" s="4" t="str">
        <f>IF($F132&lt;&gt;"",_xlfn.XLOOKUP(F132,Naturezas!B:B,Naturezas!E:E,"",0,1),"")</f>
        <v/>
      </c>
      <c r="T132" s="4" t="str">
        <f>IF($F132&lt;&gt;"",_xlfn.XLOOKUP($F132,Naturezas!B:B,Naturezas!D:D,"",0,1),"")</f>
        <v/>
      </c>
      <c r="U132" s="5" t="str">
        <f>IF(F132&lt;&gt;"",IF(OR(F132=Naturezas!$B$3,F132=Naturezas!$B$4,F132=Naturezas!$B$5,F132=Naturezas!$B$17,F132=Naturezas!$B$18,F132=Naturezas!$B$19),H132,-H132),"")</f>
        <v/>
      </c>
      <c r="V132" s="4" t="str">
        <f t="shared" si="7"/>
        <v/>
      </c>
      <c r="W132" s="4"/>
      <c r="X132" s="4" t="str">
        <f t="shared" si="8"/>
        <v/>
      </c>
      <c r="Y132" s="6" t="str">
        <f>IF(F132&lt;&gt;"",Tabela1[[#This Row],[Iniciais]],"")</f>
        <v/>
      </c>
      <c r="AA132" s="6" t="str">
        <f>IF($F132&lt;&gt;"",RIGHT(Tabela1[[#This Row],[Ref.]],2),"")</f>
        <v/>
      </c>
      <c r="AB132" s="46" t="str">
        <f>IF($F132&lt;&gt;"",DATE(LEFT(Tabela1[[#This Row],[Ref.]],4),RIGHT(Tabela1[[#This Row],[Ref.]],2),1),"")</f>
        <v/>
      </c>
      <c r="AC132" s="4" t="str">
        <f t="shared" si="9"/>
        <v/>
      </c>
      <c r="AD132" s="5" t="str">
        <f t="shared" si="10"/>
        <v/>
      </c>
      <c r="AE132" s="4"/>
      <c r="AF132" s="6" t="str">
        <f t="shared" si="11"/>
        <v/>
      </c>
    </row>
    <row r="133" spans="1:32" ht="15.75" customHeight="1" x14ac:dyDescent="0.2">
      <c r="A133" s="42"/>
      <c r="B133" s="44"/>
      <c r="C133" s="41"/>
      <c r="D133" s="41"/>
      <c r="E133" s="41"/>
      <c r="F133" s="11"/>
      <c r="G133" s="11"/>
      <c r="H133" s="43"/>
      <c r="K133" s="25"/>
      <c r="L133" s="2"/>
      <c r="M133" s="31"/>
      <c r="N133" s="31"/>
      <c r="O133" s="35"/>
      <c r="P133" s="3"/>
      <c r="Q133" s="6" t="str">
        <f>IF($F133&lt;&gt;"",RIGHT(Tabela1[[#This Row],[Ref.]],2),"")</f>
        <v/>
      </c>
      <c r="R133" s="6" t="str">
        <f t="shared" si="6"/>
        <v/>
      </c>
      <c r="S133" s="4" t="str">
        <f>IF($F133&lt;&gt;"",_xlfn.XLOOKUP(F133,Naturezas!B:B,Naturezas!E:E,"",0,1),"")</f>
        <v/>
      </c>
      <c r="T133" s="4" t="str">
        <f>IF($F133&lt;&gt;"",_xlfn.XLOOKUP($F133,Naturezas!B:B,Naturezas!D:D,"",0,1),"")</f>
        <v/>
      </c>
      <c r="U133" s="5" t="str">
        <f>IF(F133&lt;&gt;"",IF(OR(F133=Naturezas!$B$3,F133=Naturezas!$B$4,F133=Naturezas!$B$5,F133=Naturezas!$B$17,F133=Naturezas!$B$18,F133=Naturezas!$B$19),H133,-H133),"")</f>
        <v/>
      </c>
      <c r="V133" s="4" t="str">
        <f t="shared" si="7"/>
        <v/>
      </c>
      <c r="W133" s="4"/>
      <c r="X133" s="4" t="str">
        <f t="shared" si="8"/>
        <v/>
      </c>
      <c r="Y133" s="6" t="str">
        <f>IF(F133&lt;&gt;"",Tabela1[[#This Row],[Iniciais]],"")</f>
        <v/>
      </c>
      <c r="AA133" s="6" t="str">
        <f>IF($F133&lt;&gt;"",RIGHT(Tabela1[[#This Row],[Ref.]],2),"")</f>
        <v/>
      </c>
      <c r="AB133" s="46" t="str">
        <f>IF($F133&lt;&gt;"",DATE(LEFT(Tabela1[[#This Row],[Ref.]],4),RIGHT(Tabela1[[#This Row],[Ref.]],2),1),"")</f>
        <v/>
      </c>
      <c r="AC133" s="4" t="str">
        <f t="shared" si="9"/>
        <v/>
      </c>
      <c r="AD133" s="5" t="str">
        <f t="shared" si="10"/>
        <v/>
      </c>
      <c r="AE133" s="4"/>
      <c r="AF133" s="6" t="str">
        <f t="shared" si="11"/>
        <v/>
      </c>
    </row>
    <row r="134" spans="1:32" ht="15.75" customHeight="1" x14ac:dyDescent="0.2">
      <c r="A134" s="42"/>
      <c r="B134" s="44"/>
      <c r="C134" s="41"/>
      <c r="D134" s="41"/>
      <c r="E134" s="41"/>
      <c r="F134" s="11"/>
      <c r="G134" s="11"/>
      <c r="H134" s="43"/>
      <c r="K134" s="25"/>
      <c r="L134" s="2"/>
      <c r="M134" s="31"/>
      <c r="N134" s="31"/>
      <c r="O134" s="35"/>
      <c r="P134" s="3"/>
      <c r="Q134" s="6" t="str">
        <f>IF($F134&lt;&gt;"",RIGHT(Tabela1[[#This Row],[Ref.]],2),"")</f>
        <v/>
      </c>
      <c r="R134" s="6" t="str">
        <f t="shared" si="6"/>
        <v/>
      </c>
      <c r="S134" s="4" t="str">
        <f>IF($F134&lt;&gt;"",_xlfn.XLOOKUP(F134,Naturezas!B:B,Naturezas!E:E,"",0,1),"")</f>
        <v/>
      </c>
      <c r="T134" s="4" t="str">
        <f>IF($F134&lt;&gt;"",_xlfn.XLOOKUP($F134,Naturezas!B:B,Naturezas!D:D,"",0,1),"")</f>
        <v/>
      </c>
      <c r="U134" s="5" t="str">
        <f>IF(F134&lt;&gt;"",IF(OR(F134=Naturezas!$B$3,F134=Naturezas!$B$4,F134=Naturezas!$B$5,F134=Naturezas!$B$17,F134=Naturezas!$B$18,F134=Naturezas!$B$19),H134,-H134),"")</f>
        <v/>
      </c>
      <c r="V134" s="4" t="str">
        <f t="shared" si="7"/>
        <v/>
      </c>
      <c r="W134" s="4"/>
      <c r="X134" s="4" t="str">
        <f t="shared" si="8"/>
        <v/>
      </c>
      <c r="Y134" s="6" t="str">
        <f>IF(F134&lt;&gt;"",Tabela1[[#This Row],[Iniciais]],"")</f>
        <v/>
      </c>
      <c r="AA134" s="6" t="str">
        <f>IF($F134&lt;&gt;"",RIGHT(Tabela1[[#This Row],[Ref.]],2),"")</f>
        <v/>
      </c>
      <c r="AB134" s="46" t="str">
        <f>IF($F134&lt;&gt;"",DATE(LEFT(Tabela1[[#This Row],[Ref.]],4),RIGHT(Tabela1[[#This Row],[Ref.]],2),1),"")</f>
        <v/>
      </c>
      <c r="AC134" s="4" t="str">
        <f t="shared" si="9"/>
        <v/>
      </c>
      <c r="AD134" s="5" t="str">
        <f t="shared" si="10"/>
        <v/>
      </c>
      <c r="AE134" s="4"/>
      <c r="AF134" s="6" t="str">
        <f t="shared" si="11"/>
        <v/>
      </c>
    </row>
    <row r="135" spans="1:32" ht="15.75" customHeight="1" x14ac:dyDescent="0.2">
      <c r="A135" s="42"/>
      <c r="B135" s="44"/>
      <c r="C135" s="41"/>
      <c r="D135" s="41"/>
      <c r="E135" s="41"/>
      <c r="F135" s="11"/>
      <c r="G135" s="11"/>
      <c r="H135" s="43"/>
      <c r="K135" s="25"/>
      <c r="L135" s="2"/>
      <c r="M135" s="31"/>
      <c r="N135" s="31"/>
      <c r="O135" s="35"/>
      <c r="P135" s="3"/>
      <c r="Q135" s="6" t="str">
        <f>IF($F135&lt;&gt;"",RIGHT(Tabela1[[#This Row],[Ref.]],2),"")</f>
        <v/>
      </c>
      <c r="R135" s="6" t="str">
        <f t="shared" si="6"/>
        <v/>
      </c>
      <c r="S135" s="4" t="str">
        <f>IF($F135&lt;&gt;"",_xlfn.XLOOKUP(F135,Naturezas!B:B,Naturezas!E:E,"",0,1),"")</f>
        <v/>
      </c>
      <c r="T135" s="4" t="str">
        <f>IF($F135&lt;&gt;"",_xlfn.XLOOKUP($F135,Naturezas!B:B,Naturezas!D:D,"",0,1),"")</f>
        <v/>
      </c>
      <c r="U135" s="5" t="str">
        <f>IF(F135&lt;&gt;"",IF(OR(F135=Naturezas!$B$3,F135=Naturezas!$B$4,F135=Naturezas!$B$5,F135=Naturezas!$B$17,F135=Naturezas!$B$18,F135=Naturezas!$B$19),H135,-H135),"")</f>
        <v/>
      </c>
      <c r="V135" s="4" t="str">
        <f t="shared" si="7"/>
        <v/>
      </c>
      <c r="W135" s="4"/>
      <c r="X135" s="4" t="str">
        <f t="shared" si="8"/>
        <v/>
      </c>
      <c r="Y135" s="6" t="str">
        <f>IF(F135&lt;&gt;"",Tabela1[[#This Row],[Iniciais]],"")</f>
        <v/>
      </c>
      <c r="AA135" s="6" t="str">
        <f>IF($F135&lt;&gt;"",RIGHT(Tabela1[[#This Row],[Ref.]],2),"")</f>
        <v/>
      </c>
      <c r="AB135" s="46" t="str">
        <f>IF($F135&lt;&gt;"",DATE(LEFT(Tabela1[[#This Row],[Ref.]],4),RIGHT(Tabela1[[#This Row],[Ref.]],2),1),"")</f>
        <v/>
      </c>
      <c r="AC135" s="4" t="str">
        <f t="shared" si="9"/>
        <v/>
      </c>
      <c r="AD135" s="5" t="str">
        <f t="shared" si="10"/>
        <v/>
      </c>
      <c r="AE135" s="4"/>
      <c r="AF135" s="6" t="str">
        <f t="shared" si="11"/>
        <v/>
      </c>
    </row>
    <row r="136" spans="1:32" ht="15.75" customHeight="1" x14ac:dyDescent="0.2">
      <c r="A136" s="42"/>
      <c r="B136" s="44"/>
      <c r="C136" s="41"/>
      <c r="D136" s="41"/>
      <c r="E136" s="41"/>
      <c r="F136" s="11"/>
      <c r="G136" s="11"/>
      <c r="H136" s="43"/>
      <c r="K136" s="25"/>
      <c r="L136" s="2"/>
      <c r="M136" s="31"/>
      <c r="N136" s="31"/>
      <c r="O136" s="35"/>
      <c r="P136" s="3"/>
      <c r="Q136" s="6" t="str">
        <f>IF($F136&lt;&gt;"",RIGHT(Tabela1[[#This Row],[Ref.]],2),"")</f>
        <v/>
      </c>
      <c r="R136" s="6" t="str">
        <f t="shared" si="6"/>
        <v/>
      </c>
      <c r="S136" s="4" t="str">
        <f>IF($F136&lt;&gt;"",_xlfn.XLOOKUP(F136,Naturezas!B:B,Naturezas!E:E,"",0,1),"")</f>
        <v/>
      </c>
      <c r="T136" s="4" t="str">
        <f>IF($F136&lt;&gt;"",_xlfn.XLOOKUP($F136,Naturezas!B:B,Naturezas!D:D,"",0,1),"")</f>
        <v/>
      </c>
      <c r="U136" s="5" t="str">
        <f>IF(F136&lt;&gt;"",IF(OR(F136=Naturezas!$B$3,F136=Naturezas!$B$4,F136=Naturezas!$B$5,F136=Naturezas!$B$17,F136=Naturezas!$B$18,F136=Naturezas!$B$19),H136,-H136),"")</f>
        <v/>
      </c>
      <c r="V136" s="4" t="str">
        <f t="shared" si="7"/>
        <v/>
      </c>
      <c r="W136" s="4"/>
      <c r="X136" s="4" t="str">
        <f t="shared" si="8"/>
        <v/>
      </c>
      <c r="Y136" s="6" t="str">
        <f>IF(F136&lt;&gt;"",Tabela1[[#This Row],[Iniciais]],"")</f>
        <v/>
      </c>
      <c r="AA136" s="6" t="str">
        <f>IF($F136&lt;&gt;"",RIGHT(Tabela1[[#This Row],[Ref.]],2),"")</f>
        <v/>
      </c>
      <c r="AB136" s="46" t="str">
        <f>IF($F136&lt;&gt;"",DATE(LEFT(Tabela1[[#This Row],[Ref.]],4),RIGHT(Tabela1[[#This Row],[Ref.]],2),1),"")</f>
        <v/>
      </c>
      <c r="AC136" s="4" t="str">
        <f t="shared" si="9"/>
        <v/>
      </c>
      <c r="AD136" s="5" t="str">
        <f t="shared" si="10"/>
        <v/>
      </c>
      <c r="AE136" s="4"/>
      <c r="AF136" s="6" t="str">
        <f t="shared" si="11"/>
        <v/>
      </c>
    </row>
    <row r="137" spans="1:32" ht="15.75" customHeight="1" x14ac:dyDescent="0.2">
      <c r="A137" s="42"/>
      <c r="B137" s="44"/>
      <c r="C137" s="41"/>
      <c r="D137" s="41"/>
      <c r="E137" s="41"/>
      <c r="F137" s="11"/>
      <c r="G137" s="11"/>
      <c r="H137" s="43"/>
      <c r="K137" s="25"/>
      <c r="L137" s="2"/>
      <c r="M137" s="31"/>
      <c r="N137" s="31"/>
      <c r="O137" s="35"/>
      <c r="P137" s="3"/>
      <c r="Q137" s="6" t="str">
        <f>IF($F137&lt;&gt;"",RIGHT(Tabela1[[#This Row],[Ref.]],2),"")</f>
        <v/>
      </c>
      <c r="R137" s="6" t="str">
        <f t="shared" si="6"/>
        <v/>
      </c>
      <c r="S137" s="4" t="str">
        <f>IF($F137&lt;&gt;"",_xlfn.XLOOKUP(F137,Naturezas!B:B,Naturezas!E:E,"",0,1),"")</f>
        <v/>
      </c>
      <c r="T137" s="4" t="str">
        <f>IF($F137&lt;&gt;"",_xlfn.XLOOKUP($F137,Naturezas!B:B,Naturezas!D:D,"",0,1),"")</f>
        <v/>
      </c>
      <c r="U137" s="5" t="str">
        <f>IF(F137&lt;&gt;"",IF(OR(F137=Naturezas!$B$3,F137=Naturezas!$B$4,F137=Naturezas!$B$5,F137=Naturezas!$B$17,F137=Naturezas!$B$18,F137=Naturezas!$B$19),H137,-H137),"")</f>
        <v/>
      </c>
      <c r="V137" s="4" t="str">
        <f t="shared" si="7"/>
        <v/>
      </c>
      <c r="W137" s="4"/>
      <c r="X137" s="4" t="str">
        <f t="shared" si="8"/>
        <v/>
      </c>
      <c r="Y137" s="6" t="str">
        <f>IF(F137&lt;&gt;"",Tabela1[[#This Row],[Iniciais]],"")</f>
        <v/>
      </c>
      <c r="AA137" s="6" t="str">
        <f>IF($F137&lt;&gt;"",RIGHT(Tabela1[[#This Row],[Ref.]],2),"")</f>
        <v/>
      </c>
      <c r="AB137" s="46" t="str">
        <f>IF($F137&lt;&gt;"",DATE(LEFT(Tabela1[[#This Row],[Ref.]],4),RIGHT(Tabela1[[#This Row],[Ref.]],2),1),"")</f>
        <v/>
      </c>
      <c r="AC137" s="4" t="str">
        <f t="shared" si="9"/>
        <v/>
      </c>
      <c r="AD137" s="5" t="str">
        <f t="shared" si="10"/>
        <v/>
      </c>
      <c r="AE137" s="4"/>
      <c r="AF137" s="6" t="str">
        <f t="shared" si="11"/>
        <v/>
      </c>
    </row>
    <row r="138" spans="1:32" ht="15.75" customHeight="1" x14ac:dyDescent="0.2">
      <c r="A138" s="42"/>
      <c r="B138" s="44"/>
      <c r="C138" s="41"/>
      <c r="D138" s="41"/>
      <c r="E138" s="41"/>
      <c r="F138" s="11"/>
      <c r="G138" s="11"/>
      <c r="H138" s="43"/>
      <c r="K138" s="25"/>
      <c r="L138" s="2"/>
      <c r="M138" s="31"/>
      <c r="N138" s="31"/>
      <c r="O138" s="35"/>
      <c r="P138" s="3"/>
      <c r="Q138" s="6" t="str">
        <f>IF($F138&lt;&gt;"",RIGHT(Tabela1[[#This Row],[Ref.]],2),"")</f>
        <v/>
      </c>
      <c r="R138" s="6" t="str">
        <f t="shared" ref="R138:R201" si="12">IF($F138&lt;&gt;"",1,"")</f>
        <v/>
      </c>
      <c r="S138" s="4" t="str">
        <f>IF($F138&lt;&gt;"",_xlfn.XLOOKUP(F138,Naturezas!B:B,Naturezas!E:E,"",0,1),"")</f>
        <v/>
      </c>
      <c r="T138" s="4" t="str">
        <f>IF($F138&lt;&gt;"",_xlfn.XLOOKUP($F138,Naturezas!B:B,Naturezas!D:D,"",0,1),"")</f>
        <v/>
      </c>
      <c r="U138" s="5" t="str">
        <f>IF(F138&lt;&gt;"",IF(OR(F138=Naturezas!$B$3,F138=Naturezas!$B$4,F138=Naturezas!$B$5,F138=Naturezas!$B$17,F138=Naturezas!$B$18,F138=Naturezas!$B$19),H138,-H138),"")</f>
        <v/>
      </c>
      <c r="V138" s="4" t="str">
        <f t="shared" ref="V138:V201" si="13">IF(F138&lt;&gt;"",F138,"")</f>
        <v/>
      </c>
      <c r="W138" s="4"/>
      <c r="X138" s="4" t="str">
        <f t="shared" ref="X138:X201" si="14">IF(F138&lt;&gt;"",G138,"")</f>
        <v/>
      </c>
      <c r="Y138" s="6" t="str">
        <f>IF(F138&lt;&gt;"",Tabela1[[#This Row],[Iniciais]],"")</f>
        <v/>
      </c>
      <c r="AA138" s="6" t="str">
        <f>IF($F138&lt;&gt;"",RIGHT(Tabela1[[#This Row],[Ref.]],2),"")</f>
        <v/>
      </c>
      <c r="AB138" s="46" t="str">
        <f>IF($F138&lt;&gt;"",DATE(LEFT(Tabela1[[#This Row],[Ref.]],4),RIGHT(Tabela1[[#This Row],[Ref.]],2),1),"")</f>
        <v/>
      </c>
      <c r="AC138" s="4" t="str">
        <f t="shared" ref="AC138:AC201" si="15">IF($F138&lt;&gt;"",$G138,"")</f>
        <v/>
      </c>
      <c r="AD138" s="5" t="str">
        <f t="shared" ref="AD138:AD201" si="16">IF($F138&lt;&gt;"",$H138,"")</f>
        <v/>
      </c>
      <c r="AE138" s="4"/>
      <c r="AF138" s="6" t="str">
        <f t="shared" ref="AF138:AF201" si="17">IF($F138&lt;&gt;"",$B$2,"")</f>
        <v/>
      </c>
    </row>
    <row r="139" spans="1:32" ht="15.75" customHeight="1" x14ac:dyDescent="0.2">
      <c r="A139" s="42"/>
      <c r="B139" s="44"/>
      <c r="C139" s="41"/>
      <c r="D139" s="41"/>
      <c r="E139" s="41"/>
      <c r="F139" s="11"/>
      <c r="G139" s="11"/>
      <c r="H139" s="43"/>
      <c r="K139" s="25"/>
      <c r="L139" s="2"/>
      <c r="M139" s="31"/>
      <c r="N139" s="31"/>
      <c r="O139" s="35"/>
      <c r="P139" s="3"/>
      <c r="Q139" s="6" t="str">
        <f>IF($F139&lt;&gt;"",RIGHT(Tabela1[[#This Row],[Ref.]],2),"")</f>
        <v/>
      </c>
      <c r="R139" s="6" t="str">
        <f t="shared" si="12"/>
        <v/>
      </c>
      <c r="S139" s="4" t="str">
        <f>IF($F139&lt;&gt;"",_xlfn.XLOOKUP(F139,Naturezas!B:B,Naturezas!E:E,"",0,1),"")</f>
        <v/>
      </c>
      <c r="T139" s="4" t="str">
        <f>IF($F139&lt;&gt;"",_xlfn.XLOOKUP($F139,Naturezas!B:B,Naturezas!D:D,"",0,1),"")</f>
        <v/>
      </c>
      <c r="U139" s="5" t="str">
        <f>IF(F139&lt;&gt;"",IF(OR(F139=Naturezas!$B$3,F139=Naturezas!$B$4,F139=Naturezas!$B$5,F139=Naturezas!$B$17,F139=Naturezas!$B$18,F139=Naturezas!$B$19),H139,-H139),"")</f>
        <v/>
      </c>
      <c r="V139" s="4" t="str">
        <f t="shared" si="13"/>
        <v/>
      </c>
      <c r="W139" s="4"/>
      <c r="X139" s="4" t="str">
        <f t="shared" si="14"/>
        <v/>
      </c>
      <c r="Y139" s="6" t="str">
        <f>IF(F139&lt;&gt;"",Tabela1[[#This Row],[Iniciais]],"")</f>
        <v/>
      </c>
      <c r="AA139" s="6" t="str">
        <f>IF($F139&lt;&gt;"",RIGHT(Tabela1[[#This Row],[Ref.]],2),"")</f>
        <v/>
      </c>
      <c r="AB139" s="46" t="str">
        <f>IF($F139&lt;&gt;"",DATE(LEFT(Tabela1[[#This Row],[Ref.]],4),RIGHT(Tabela1[[#This Row],[Ref.]],2),1),"")</f>
        <v/>
      </c>
      <c r="AC139" s="4" t="str">
        <f t="shared" si="15"/>
        <v/>
      </c>
      <c r="AD139" s="5" t="str">
        <f t="shared" si="16"/>
        <v/>
      </c>
      <c r="AE139" s="4"/>
      <c r="AF139" s="6" t="str">
        <f t="shared" si="17"/>
        <v/>
      </c>
    </row>
    <row r="140" spans="1:32" ht="15.75" customHeight="1" x14ac:dyDescent="0.2">
      <c r="A140" s="42"/>
      <c r="B140" s="44"/>
      <c r="C140" s="41"/>
      <c r="D140" s="41"/>
      <c r="E140" s="41"/>
      <c r="F140" s="11"/>
      <c r="G140" s="11"/>
      <c r="H140" s="43"/>
      <c r="K140" s="25"/>
      <c r="L140" s="2"/>
      <c r="M140" s="31"/>
      <c r="N140" s="31"/>
      <c r="O140" s="35"/>
      <c r="P140" s="3"/>
      <c r="Q140" s="6" t="str">
        <f>IF($F140&lt;&gt;"",RIGHT(Tabela1[[#This Row],[Ref.]],2),"")</f>
        <v/>
      </c>
      <c r="R140" s="6" t="str">
        <f t="shared" si="12"/>
        <v/>
      </c>
      <c r="S140" s="4" t="str">
        <f>IF($F140&lt;&gt;"",_xlfn.XLOOKUP(F140,Naturezas!B:B,Naturezas!E:E,"",0,1),"")</f>
        <v/>
      </c>
      <c r="T140" s="4" t="str">
        <f>IF($F140&lt;&gt;"",_xlfn.XLOOKUP($F140,Naturezas!B:B,Naturezas!D:D,"",0,1),"")</f>
        <v/>
      </c>
      <c r="U140" s="5" t="str">
        <f>IF(F140&lt;&gt;"",IF(OR(F140=Naturezas!$B$3,F140=Naturezas!$B$4,F140=Naturezas!$B$5,F140=Naturezas!$B$17,F140=Naturezas!$B$18,F140=Naturezas!$B$19),H140,-H140),"")</f>
        <v/>
      </c>
      <c r="V140" s="4" t="str">
        <f t="shared" si="13"/>
        <v/>
      </c>
      <c r="W140" s="4"/>
      <c r="X140" s="4" t="str">
        <f t="shared" si="14"/>
        <v/>
      </c>
      <c r="Y140" s="6" t="str">
        <f>IF(F140&lt;&gt;"",Tabela1[[#This Row],[Iniciais]],"")</f>
        <v/>
      </c>
      <c r="AA140" s="6" t="str">
        <f>IF($F140&lt;&gt;"",RIGHT(Tabela1[[#This Row],[Ref.]],2),"")</f>
        <v/>
      </c>
      <c r="AB140" s="46" t="str">
        <f>IF($F140&lt;&gt;"",DATE(LEFT(Tabela1[[#This Row],[Ref.]],4),RIGHT(Tabela1[[#This Row],[Ref.]],2),1),"")</f>
        <v/>
      </c>
      <c r="AC140" s="4" t="str">
        <f t="shared" si="15"/>
        <v/>
      </c>
      <c r="AD140" s="5" t="str">
        <f t="shared" si="16"/>
        <v/>
      </c>
      <c r="AE140" s="4"/>
      <c r="AF140" s="6" t="str">
        <f t="shared" si="17"/>
        <v/>
      </c>
    </row>
    <row r="141" spans="1:32" ht="15.75" customHeight="1" x14ac:dyDescent="0.2">
      <c r="A141" s="42"/>
      <c r="B141" s="44"/>
      <c r="C141" s="41"/>
      <c r="D141" s="41"/>
      <c r="E141" s="41"/>
      <c r="F141" s="11"/>
      <c r="G141" s="11"/>
      <c r="H141" s="43"/>
      <c r="K141" s="25"/>
      <c r="L141" s="2"/>
      <c r="M141" s="31"/>
      <c r="N141" s="31"/>
      <c r="O141" s="35"/>
      <c r="P141" s="3"/>
      <c r="Q141" s="6" t="str">
        <f>IF($F141&lt;&gt;"",RIGHT(Tabela1[[#This Row],[Ref.]],2),"")</f>
        <v/>
      </c>
      <c r="R141" s="6" t="str">
        <f t="shared" si="12"/>
        <v/>
      </c>
      <c r="S141" s="4" t="str">
        <f>IF($F141&lt;&gt;"",_xlfn.XLOOKUP(F141,Naturezas!B:B,Naturezas!E:E,"",0,1),"")</f>
        <v/>
      </c>
      <c r="T141" s="4" t="str">
        <f>IF($F141&lt;&gt;"",_xlfn.XLOOKUP($F141,Naturezas!B:B,Naturezas!D:D,"",0,1),"")</f>
        <v/>
      </c>
      <c r="U141" s="5" t="str">
        <f>IF(F141&lt;&gt;"",IF(OR(F141=Naturezas!$B$3,F141=Naturezas!$B$4,F141=Naturezas!$B$5,F141=Naturezas!$B$17,F141=Naturezas!$B$18,F141=Naturezas!$B$19),H141,-H141),"")</f>
        <v/>
      </c>
      <c r="V141" s="4" t="str">
        <f t="shared" si="13"/>
        <v/>
      </c>
      <c r="W141" s="4"/>
      <c r="X141" s="4" t="str">
        <f t="shared" si="14"/>
        <v/>
      </c>
      <c r="Y141" s="6" t="str">
        <f>IF(F141&lt;&gt;"",Tabela1[[#This Row],[Iniciais]],"")</f>
        <v/>
      </c>
      <c r="AA141" s="6" t="str">
        <f>IF($F141&lt;&gt;"",RIGHT(Tabela1[[#This Row],[Ref.]],2),"")</f>
        <v/>
      </c>
      <c r="AB141" s="46" t="str">
        <f>IF($F141&lt;&gt;"",DATE(LEFT(Tabela1[[#This Row],[Ref.]],4),RIGHT(Tabela1[[#This Row],[Ref.]],2),1),"")</f>
        <v/>
      </c>
      <c r="AC141" s="4" t="str">
        <f t="shared" si="15"/>
        <v/>
      </c>
      <c r="AD141" s="5" t="str">
        <f t="shared" si="16"/>
        <v/>
      </c>
      <c r="AE141" s="4"/>
      <c r="AF141" s="6" t="str">
        <f t="shared" si="17"/>
        <v/>
      </c>
    </row>
    <row r="142" spans="1:32" ht="15.75" customHeight="1" x14ac:dyDescent="0.2">
      <c r="A142" s="42"/>
      <c r="B142" s="44"/>
      <c r="C142" s="41"/>
      <c r="D142" s="41"/>
      <c r="E142" s="41"/>
      <c r="F142" s="11"/>
      <c r="G142" s="11"/>
      <c r="H142" s="43"/>
      <c r="K142" s="25"/>
      <c r="L142" s="2"/>
      <c r="M142" s="31"/>
      <c r="N142" s="31"/>
      <c r="O142" s="35"/>
      <c r="P142" s="3"/>
      <c r="Q142" s="6" t="str">
        <f>IF($F142&lt;&gt;"",RIGHT(Tabela1[[#This Row],[Ref.]],2),"")</f>
        <v/>
      </c>
      <c r="R142" s="6" t="str">
        <f t="shared" si="12"/>
        <v/>
      </c>
      <c r="S142" s="4" t="str">
        <f>IF($F142&lt;&gt;"",_xlfn.XLOOKUP(F142,Naturezas!B:B,Naturezas!E:E,"",0,1),"")</f>
        <v/>
      </c>
      <c r="T142" s="4" t="str">
        <f>IF($F142&lt;&gt;"",_xlfn.XLOOKUP($F142,Naturezas!B:B,Naturezas!D:D,"",0,1),"")</f>
        <v/>
      </c>
      <c r="U142" s="5" t="str">
        <f>IF(F142&lt;&gt;"",IF(OR(F142=Naturezas!$B$3,F142=Naturezas!$B$4,F142=Naturezas!$B$5,F142=Naturezas!$B$17,F142=Naturezas!$B$18,F142=Naturezas!$B$19),H142,-H142),"")</f>
        <v/>
      </c>
      <c r="V142" s="4" t="str">
        <f t="shared" si="13"/>
        <v/>
      </c>
      <c r="W142" s="4"/>
      <c r="X142" s="4" t="str">
        <f t="shared" si="14"/>
        <v/>
      </c>
      <c r="Y142" s="6" t="str">
        <f>IF(F142&lt;&gt;"",Tabela1[[#This Row],[Iniciais]],"")</f>
        <v/>
      </c>
      <c r="AA142" s="6" t="str">
        <f>IF($F142&lt;&gt;"",RIGHT(Tabela1[[#This Row],[Ref.]],2),"")</f>
        <v/>
      </c>
      <c r="AB142" s="46" t="str">
        <f>IF($F142&lt;&gt;"",DATE(LEFT(Tabela1[[#This Row],[Ref.]],4),RIGHT(Tabela1[[#This Row],[Ref.]],2),1),"")</f>
        <v/>
      </c>
      <c r="AC142" s="4" t="str">
        <f t="shared" si="15"/>
        <v/>
      </c>
      <c r="AD142" s="5" t="str">
        <f t="shared" si="16"/>
        <v/>
      </c>
      <c r="AE142" s="4"/>
      <c r="AF142" s="6" t="str">
        <f t="shared" si="17"/>
        <v/>
      </c>
    </row>
    <row r="143" spans="1:32" ht="15.75" customHeight="1" x14ac:dyDescent="0.2">
      <c r="A143" s="42"/>
      <c r="B143" s="44"/>
      <c r="C143" s="41"/>
      <c r="D143" s="41"/>
      <c r="E143" s="41"/>
      <c r="F143" s="11"/>
      <c r="G143" s="11"/>
      <c r="H143" s="43"/>
      <c r="K143" s="25"/>
      <c r="L143" s="2"/>
      <c r="M143" s="31"/>
      <c r="N143" s="31"/>
      <c r="O143" s="35"/>
      <c r="P143" s="3"/>
      <c r="Q143" s="6" t="str">
        <f>IF($F143&lt;&gt;"",RIGHT(Tabela1[[#This Row],[Ref.]],2),"")</f>
        <v/>
      </c>
      <c r="R143" s="6" t="str">
        <f t="shared" si="12"/>
        <v/>
      </c>
      <c r="S143" s="4" t="str">
        <f>IF($F143&lt;&gt;"",_xlfn.XLOOKUP(F143,Naturezas!B:B,Naturezas!E:E,"",0,1),"")</f>
        <v/>
      </c>
      <c r="T143" s="4" t="str">
        <f>IF($F143&lt;&gt;"",_xlfn.XLOOKUP($F143,Naturezas!B:B,Naturezas!D:D,"",0,1),"")</f>
        <v/>
      </c>
      <c r="U143" s="5" t="str">
        <f>IF(F143&lt;&gt;"",IF(OR(F143=Naturezas!$B$3,F143=Naturezas!$B$4,F143=Naturezas!$B$5,F143=Naturezas!$B$17,F143=Naturezas!$B$18,F143=Naturezas!$B$19),H143,-H143),"")</f>
        <v/>
      </c>
      <c r="V143" s="4" t="str">
        <f t="shared" si="13"/>
        <v/>
      </c>
      <c r="W143" s="4"/>
      <c r="X143" s="4" t="str">
        <f t="shared" si="14"/>
        <v/>
      </c>
      <c r="Y143" s="6" t="str">
        <f>IF(F143&lt;&gt;"",Tabela1[[#This Row],[Iniciais]],"")</f>
        <v/>
      </c>
      <c r="AA143" s="6" t="str">
        <f>IF($F143&lt;&gt;"",RIGHT(Tabela1[[#This Row],[Ref.]],2),"")</f>
        <v/>
      </c>
      <c r="AB143" s="46" t="str">
        <f>IF($F143&lt;&gt;"",DATE(LEFT(Tabela1[[#This Row],[Ref.]],4),RIGHT(Tabela1[[#This Row],[Ref.]],2),1),"")</f>
        <v/>
      </c>
      <c r="AC143" s="4" t="str">
        <f t="shared" si="15"/>
        <v/>
      </c>
      <c r="AD143" s="5" t="str">
        <f t="shared" si="16"/>
        <v/>
      </c>
      <c r="AE143" s="4"/>
      <c r="AF143" s="6" t="str">
        <f t="shared" si="17"/>
        <v/>
      </c>
    </row>
    <row r="144" spans="1:32" ht="15.75" customHeight="1" x14ac:dyDescent="0.2">
      <c r="A144" s="42"/>
      <c r="B144" s="44"/>
      <c r="C144" s="41"/>
      <c r="D144" s="41"/>
      <c r="E144" s="41"/>
      <c r="F144" s="11"/>
      <c r="G144" s="11"/>
      <c r="H144" s="43"/>
      <c r="K144" s="25"/>
      <c r="L144" s="2"/>
      <c r="M144" s="31"/>
      <c r="N144" s="31"/>
      <c r="O144" s="35"/>
      <c r="P144" s="3"/>
      <c r="Q144" s="6" t="str">
        <f>IF($F144&lt;&gt;"",RIGHT(Tabela1[[#This Row],[Ref.]],2),"")</f>
        <v/>
      </c>
      <c r="R144" s="6" t="str">
        <f t="shared" si="12"/>
        <v/>
      </c>
      <c r="S144" s="4" t="str">
        <f>IF($F144&lt;&gt;"",_xlfn.XLOOKUP(F144,Naturezas!B:B,Naturezas!E:E,"",0,1),"")</f>
        <v/>
      </c>
      <c r="T144" s="4" t="str">
        <f>IF($F144&lt;&gt;"",_xlfn.XLOOKUP($F144,Naturezas!B:B,Naturezas!D:D,"",0,1),"")</f>
        <v/>
      </c>
      <c r="U144" s="5" t="str">
        <f>IF(F144&lt;&gt;"",IF(OR(F144=Naturezas!$B$3,F144=Naturezas!$B$4,F144=Naturezas!$B$5,F144=Naturezas!$B$17,F144=Naturezas!$B$18,F144=Naturezas!$B$19),H144,-H144),"")</f>
        <v/>
      </c>
      <c r="V144" s="4" t="str">
        <f t="shared" si="13"/>
        <v/>
      </c>
      <c r="W144" s="4"/>
      <c r="X144" s="4" t="str">
        <f t="shared" si="14"/>
        <v/>
      </c>
      <c r="Y144" s="6" t="str">
        <f>IF(F144&lt;&gt;"",Tabela1[[#This Row],[Iniciais]],"")</f>
        <v/>
      </c>
      <c r="AA144" s="6" t="str">
        <f>IF($F144&lt;&gt;"",RIGHT(Tabela1[[#This Row],[Ref.]],2),"")</f>
        <v/>
      </c>
      <c r="AB144" s="46" t="str">
        <f>IF($F144&lt;&gt;"",DATE(LEFT(Tabela1[[#This Row],[Ref.]],4),RIGHT(Tabela1[[#This Row],[Ref.]],2),1),"")</f>
        <v/>
      </c>
      <c r="AC144" s="4" t="str">
        <f t="shared" si="15"/>
        <v/>
      </c>
      <c r="AD144" s="5" t="str">
        <f t="shared" si="16"/>
        <v/>
      </c>
      <c r="AE144" s="4"/>
      <c r="AF144" s="6" t="str">
        <f t="shared" si="17"/>
        <v/>
      </c>
    </row>
    <row r="145" spans="1:32" ht="15.75" customHeight="1" x14ac:dyDescent="0.2">
      <c r="A145" s="42"/>
      <c r="B145" s="44"/>
      <c r="C145" s="41"/>
      <c r="D145" s="41"/>
      <c r="E145" s="41"/>
      <c r="F145" s="11"/>
      <c r="G145" s="11"/>
      <c r="H145" s="43"/>
      <c r="K145" s="25"/>
      <c r="L145" s="2"/>
      <c r="M145" s="31"/>
      <c r="N145" s="31"/>
      <c r="O145" s="35"/>
      <c r="P145" s="3"/>
      <c r="Q145" s="6" t="str">
        <f>IF($F145&lt;&gt;"",RIGHT(Tabela1[[#This Row],[Ref.]],2),"")</f>
        <v/>
      </c>
      <c r="R145" s="6" t="str">
        <f t="shared" si="12"/>
        <v/>
      </c>
      <c r="S145" s="4" t="str">
        <f>IF($F145&lt;&gt;"",_xlfn.XLOOKUP(F145,Naturezas!B:B,Naturezas!E:E,"",0,1),"")</f>
        <v/>
      </c>
      <c r="T145" s="4" t="str">
        <f>IF($F145&lt;&gt;"",_xlfn.XLOOKUP($F145,Naturezas!B:B,Naturezas!D:D,"",0,1),"")</f>
        <v/>
      </c>
      <c r="U145" s="5" t="str">
        <f>IF(F145&lt;&gt;"",IF(OR(F145=Naturezas!$B$3,F145=Naturezas!$B$4,F145=Naturezas!$B$5,F145=Naturezas!$B$17,F145=Naturezas!$B$18,F145=Naturezas!$B$19),H145,-H145),"")</f>
        <v/>
      </c>
      <c r="V145" s="4" t="str">
        <f t="shared" si="13"/>
        <v/>
      </c>
      <c r="W145" s="4"/>
      <c r="X145" s="4" t="str">
        <f t="shared" si="14"/>
        <v/>
      </c>
      <c r="Y145" s="6" t="str">
        <f>IF(F145&lt;&gt;"",Tabela1[[#This Row],[Iniciais]],"")</f>
        <v/>
      </c>
      <c r="AA145" s="6" t="str">
        <f>IF($F145&lt;&gt;"",RIGHT(Tabela1[[#This Row],[Ref.]],2),"")</f>
        <v/>
      </c>
      <c r="AB145" s="46" t="str">
        <f>IF($F145&lt;&gt;"",DATE(LEFT(Tabela1[[#This Row],[Ref.]],4),RIGHT(Tabela1[[#This Row],[Ref.]],2),1),"")</f>
        <v/>
      </c>
      <c r="AC145" s="4" t="str">
        <f t="shared" si="15"/>
        <v/>
      </c>
      <c r="AD145" s="5" t="str">
        <f t="shared" si="16"/>
        <v/>
      </c>
      <c r="AE145" s="4"/>
      <c r="AF145" s="6" t="str">
        <f t="shared" si="17"/>
        <v/>
      </c>
    </row>
    <row r="146" spans="1:32" ht="15.75" customHeight="1" x14ac:dyDescent="0.2">
      <c r="A146" s="42"/>
      <c r="B146" s="44"/>
      <c r="C146" s="41"/>
      <c r="D146" s="41"/>
      <c r="E146" s="41"/>
      <c r="F146" s="11"/>
      <c r="G146" s="11"/>
      <c r="H146" s="43"/>
      <c r="K146" s="25"/>
      <c r="L146" s="2"/>
      <c r="M146" s="31"/>
      <c r="N146" s="31"/>
      <c r="O146" s="35"/>
      <c r="P146" s="3"/>
      <c r="Q146" s="6" t="str">
        <f>IF($F146&lt;&gt;"",RIGHT(Tabela1[[#This Row],[Ref.]],2),"")</f>
        <v/>
      </c>
      <c r="R146" s="6" t="str">
        <f t="shared" si="12"/>
        <v/>
      </c>
      <c r="S146" s="4" t="str">
        <f>IF($F146&lt;&gt;"",_xlfn.XLOOKUP(F146,Naturezas!B:B,Naturezas!E:E,"",0,1),"")</f>
        <v/>
      </c>
      <c r="T146" s="4" t="str">
        <f>IF($F146&lt;&gt;"",_xlfn.XLOOKUP($F146,Naturezas!B:B,Naturezas!D:D,"",0,1),"")</f>
        <v/>
      </c>
      <c r="U146" s="5" t="str">
        <f>IF(F146&lt;&gt;"",IF(OR(F146=Naturezas!$B$3,F146=Naturezas!$B$4,F146=Naturezas!$B$5,F146=Naturezas!$B$17,F146=Naturezas!$B$18,F146=Naturezas!$B$19),H146,-H146),"")</f>
        <v/>
      </c>
      <c r="V146" s="4" t="str">
        <f t="shared" si="13"/>
        <v/>
      </c>
      <c r="W146" s="4"/>
      <c r="X146" s="4" t="str">
        <f t="shared" si="14"/>
        <v/>
      </c>
      <c r="Y146" s="6" t="str">
        <f>IF(F146&lt;&gt;"",Tabela1[[#This Row],[Iniciais]],"")</f>
        <v/>
      </c>
      <c r="AA146" s="6" t="str">
        <f>IF($F146&lt;&gt;"",RIGHT(Tabela1[[#This Row],[Ref.]],2),"")</f>
        <v/>
      </c>
      <c r="AB146" s="46" t="str">
        <f>IF($F146&lt;&gt;"",DATE(LEFT(Tabela1[[#This Row],[Ref.]],4),RIGHT(Tabela1[[#This Row],[Ref.]],2),1),"")</f>
        <v/>
      </c>
      <c r="AC146" s="4" t="str">
        <f t="shared" si="15"/>
        <v/>
      </c>
      <c r="AD146" s="5" t="str">
        <f t="shared" si="16"/>
        <v/>
      </c>
      <c r="AE146" s="4"/>
      <c r="AF146" s="6" t="str">
        <f t="shared" si="17"/>
        <v/>
      </c>
    </row>
    <row r="147" spans="1:32" ht="15.75" customHeight="1" x14ac:dyDescent="0.2">
      <c r="A147" s="42"/>
      <c r="B147" s="44"/>
      <c r="C147" s="41"/>
      <c r="D147" s="41"/>
      <c r="E147" s="41"/>
      <c r="F147" s="11"/>
      <c r="G147" s="11"/>
      <c r="H147" s="43"/>
      <c r="K147" s="25"/>
      <c r="L147" s="2"/>
      <c r="M147" s="31"/>
      <c r="N147" s="31"/>
      <c r="O147" s="35"/>
      <c r="P147" s="3"/>
      <c r="Q147" s="6" t="str">
        <f>IF($F147&lt;&gt;"",RIGHT(Tabela1[[#This Row],[Ref.]],2),"")</f>
        <v/>
      </c>
      <c r="R147" s="6" t="str">
        <f t="shared" si="12"/>
        <v/>
      </c>
      <c r="S147" s="4" t="str">
        <f>IF($F147&lt;&gt;"",_xlfn.XLOOKUP(F147,Naturezas!B:B,Naturezas!E:E,"",0,1),"")</f>
        <v/>
      </c>
      <c r="T147" s="4" t="str">
        <f>IF($F147&lt;&gt;"",_xlfn.XLOOKUP($F147,Naturezas!B:B,Naturezas!D:D,"",0,1),"")</f>
        <v/>
      </c>
      <c r="U147" s="5" t="str">
        <f>IF(F147&lt;&gt;"",IF(OR(F147=Naturezas!$B$3,F147=Naturezas!$B$4,F147=Naturezas!$B$5,F147=Naturezas!$B$17,F147=Naturezas!$B$18,F147=Naturezas!$B$19),H147,-H147),"")</f>
        <v/>
      </c>
      <c r="V147" s="4" t="str">
        <f t="shared" si="13"/>
        <v/>
      </c>
      <c r="W147" s="4"/>
      <c r="X147" s="4" t="str">
        <f t="shared" si="14"/>
        <v/>
      </c>
      <c r="Y147" s="6" t="str">
        <f>IF(F147&lt;&gt;"",Tabela1[[#This Row],[Iniciais]],"")</f>
        <v/>
      </c>
      <c r="AA147" s="6" t="str">
        <f>IF($F147&lt;&gt;"",RIGHT(Tabela1[[#This Row],[Ref.]],2),"")</f>
        <v/>
      </c>
      <c r="AB147" s="46" t="str">
        <f>IF($F147&lt;&gt;"",DATE(LEFT(Tabela1[[#This Row],[Ref.]],4),RIGHT(Tabela1[[#This Row],[Ref.]],2),1),"")</f>
        <v/>
      </c>
      <c r="AC147" s="4" t="str">
        <f t="shared" si="15"/>
        <v/>
      </c>
      <c r="AD147" s="5" t="str">
        <f t="shared" si="16"/>
        <v/>
      </c>
      <c r="AE147" s="4"/>
      <c r="AF147" s="6" t="str">
        <f t="shared" si="17"/>
        <v/>
      </c>
    </row>
    <row r="148" spans="1:32" ht="15.75" customHeight="1" x14ac:dyDescent="0.2">
      <c r="A148" s="42"/>
      <c r="B148" s="44"/>
      <c r="C148" s="41"/>
      <c r="D148" s="41"/>
      <c r="E148" s="41"/>
      <c r="F148" s="11"/>
      <c r="G148" s="11"/>
      <c r="H148" s="43"/>
      <c r="K148" s="25"/>
      <c r="L148" s="2"/>
      <c r="M148" s="31"/>
      <c r="N148" s="31"/>
      <c r="O148" s="35"/>
      <c r="P148" s="3"/>
      <c r="Q148" s="6" t="str">
        <f>IF($F148&lt;&gt;"",RIGHT(Tabela1[[#This Row],[Ref.]],2),"")</f>
        <v/>
      </c>
      <c r="R148" s="6" t="str">
        <f t="shared" si="12"/>
        <v/>
      </c>
      <c r="S148" s="4" t="str">
        <f>IF($F148&lt;&gt;"",_xlfn.XLOOKUP(F148,Naturezas!B:B,Naturezas!E:E,"",0,1),"")</f>
        <v/>
      </c>
      <c r="T148" s="4" t="str">
        <f>IF($F148&lt;&gt;"",_xlfn.XLOOKUP($F148,Naturezas!B:B,Naturezas!D:D,"",0,1),"")</f>
        <v/>
      </c>
      <c r="U148" s="5" t="str">
        <f>IF(F148&lt;&gt;"",IF(OR(F148=Naturezas!$B$3,F148=Naturezas!$B$4,F148=Naturezas!$B$5,F148=Naturezas!$B$17,F148=Naturezas!$B$18,F148=Naturezas!$B$19),H148,-H148),"")</f>
        <v/>
      </c>
      <c r="V148" s="4" t="str">
        <f t="shared" si="13"/>
        <v/>
      </c>
      <c r="W148" s="4"/>
      <c r="X148" s="4" t="str">
        <f t="shared" si="14"/>
        <v/>
      </c>
      <c r="Y148" s="6" t="str">
        <f>IF(F148&lt;&gt;"",Tabela1[[#This Row],[Iniciais]],"")</f>
        <v/>
      </c>
      <c r="AA148" s="6" t="str">
        <f>IF($F148&lt;&gt;"",RIGHT(Tabela1[[#This Row],[Ref.]],2),"")</f>
        <v/>
      </c>
      <c r="AB148" s="46" t="str">
        <f>IF($F148&lt;&gt;"",DATE(LEFT(Tabela1[[#This Row],[Ref.]],4),RIGHT(Tabela1[[#This Row],[Ref.]],2),1),"")</f>
        <v/>
      </c>
      <c r="AC148" s="4" t="str">
        <f t="shared" si="15"/>
        <v/>
      </c>
      <c r="AD148" s="5" t="str">
        <f t="shared" si="16"/>
        <v/>
      </c>
      <c r="AE148" s="4"/>
      <c r="AF148" s="6" t="str">
        <f t="shared" si="17"/>
        <v/>
      </c>
    </row>
    <row r="149" spans="1:32" ht="15.75" customHeight="1" x14ac:dyDescent="0.2">
      <c r="A149" s="42"/>
      <c r="B149" s="44"/>
      <c r="C149" s="41"/>
      <c r="D149" s="41"/>
      <c r="E149" s="41"/>
      <c r="F149" s="11"/>
      <c r="G149" s="11"/>
      <c r="H149" s="43"/>
      <c r="K149" s="25"/>
      <c r="L149" s="2"/>
      <c r="M149" s="31"/>
      <c r="N149" s="31"/>
      <c r="O149" s="35"/>
      <c r="P149" s="3"/>
      <c r="Q149" s="6" t="str">
        <f>IF($F149&lt;&gt;"",RIGHT(Tabela1[[#This Row],[Ref.]],2),"")</f>
        <v/>
      </c>
      <c r="R149" s="6" t="str">
        <f t="shared" si="12"/>
        <v/>
      </c>
      <c r="S149" s="4" t="str">
        <f>IF($F149&lt;&gt;"",_xlfn.XLOOKUP(F149,Naturezas!B:B,Naturezas!E:E,"",0,1),"")</f>
        <v/>
      </c>
      <c r="T149" s="4" t="str">
        <f>IF($F149&lt;&gt;"",_xlfn.XLOOKUP($F149,Naturezas!B:B,Naturezas!D:D,"",0,1),"")</f>
        <v/>
      </c>
      <c r="U149" s="5" t="str">
        <f>IF(F149&lt;&gt;"",IF(OR(F149=Naturezas!$B$3,F149=Naturezas!$B$4,F149=Naturezas!$B$5,F149=Naturezas!$B$17,F149=Naturezas!$B$18,F149=Naturezas!$B$19),H149,-H149),"")</f>
        <v/>
      </c>
      <c r="V149" s="4" t="str">
        <f t="shared" si="13"/>
        <v/>
      </c>
      <c r="W149" s="4"/>
      <c r="X149" s="4" t="str">
        <f t="shared" si="14"/>
        <v/>
      </c>
      <c r="Y149" s="6" t="str">
        <f>IF(F149&lt;&gt;"",Tabela1[[#This Row],[Iniciais]],"")</f>
        <v/>
      </c>
      <c r="AA149" s="6" t="str">
        <f>IF($F149&lt;&gt;"",RIGHT(Tabela1[[#This Row],[Ref.]],2),"")</f>
        <v/>
      </c>
      <c r="AB149" s="46" t="str">
        <f>IF($F149&lt;&gt;"",DATE(LEFT(Tabela1[[#This Row],[Ref.]],4),RIGHT(Tabela1[[#This Row],[Ref.]],2),1),"")</f>
        <v/>
      </c>
      <c r="AC149" s="4" t="str">
        <f t="shared" si="15"/>
        <v/>
      </c>
      <c r="AD149" s="5" t="str">
        <f t="shared" si="16"/>
        <v/>
      </c>
      <c r="AE149" s="4"/>
      <c r="AF149" s="6" t="str">
        <f t="shared" si="17"/>
        <v/>
      </c>
    </row>
    <row r="150" spans="1:32" ht="15.75" customHeight="1" x14ac:dyDescent="0.2">
      <c r="A150" s="42"/>
      <c r="B150" s="44"/>
      <c r="C150" s="41"/>
      <c r="D150" s="41"/>
      <c r="E150" s="41"/>
      <c r="F150" s="11"/>
      <c r="G150" s="11"/>
      <c r="H150" s="43"/>
      <c r="K150" s="25"/>
      <c r="L150" s="2"/>
      <c r="M150" s="31"/>
      <c r="N150" s="31"/>
      <c r="O150" s="35"/>
      <c r="P150" s="3"/>
      <c r="Q150" s="6" t="str">
        <f>IF($F150&lt;&gt;"",RIGHT(Tabela1[[#This Row],[Ref.]],2),"")</f>
        <v/>
      </c>
      <c r="R150" s="6" t="str">
        <f t="shared" si="12"/>
        <v/>
      </c>
      <c r="S150" s="4" t="str">
        <f>IF($F150&lt;&gt;"",_xlfn.XLOOKUP(F150,Naturezas!B:B,Naturezas!E:E,"",0,1),"")</f>
        <v/>
      </c>
      <c r="T150" s="4" t="str">
        <f>IF($F150&lt;&gt;"",_xlfn.XLOOKUP($F150,Naturezas!B:B,Naturezas!D:D,"",0,1),"")</f>
        <v/>
      </c>
      <c r="U150" s="5" t="str">
        <f>IF(F150&lt;&gt;"",IF(OR(F150=Naturezas!$B$3,F150=Naturezas!$B$4,F150=Naturezas!$B$5,F150=Naturezas!$B$17,F150=Naturezas!$B$18,F150=Naturezas!$B$19),H150,-H150),"")</f>
        <v/>
      </c>
      <c r="V150" s="4" t="str">
        <f t="shared" si="13"/>
        <v/>
      </c>
      <c r="W150" s="4"/>
      <c r="X150" s="4" t="str">
        <f t="shared" si="14"/>
        <v/>
      </c>
      <c r="Y150" s="6" t="str">
        <f>IF(F150&lt;&gt;"",Tabela1[[#This Row],[Iniciais]],"")</f>
        <v/>
      </c>
      <c r="AA150" s="6" t="str">
        <f>IF($F150&lt;&gt;"",RIGHT(Tabela1[[#This Row],[Ref.]],2),"")</f>
        <v/>
      </c>
      <c r="AB150" s="46" t="str">
        <f>IF($F150&lt;&gt;"",DATE(LEFT(Tabela1[[#This Row],[Ref.]],4),RIGHT(Tabela1[[#This Row],[Ref.]],2),1),"")</f>
        <v/>
      </c>
      <c r="AC150" s="4" t="str">
        <f t="shared" si="15"/>
        <v/>
      </c>
      <c r="AD150" s="5" t="str">
        <f t="shared" si="16"/>
        <v/>
      </c>
      <c r="AE150" s="4"/>
      <c r="AF150" s="6" t="str">
        <f t="shared" si="17"/>
        <v/>
      </c>
    </row>
    <row r="151" spans="1:32" ht="15.75" customHeight="1" x14ac:dyDescent="0.2">
      <c r="A151" s="42"/>
      <c r="B151" s="44"/>
      <c r="C151" s="41"/>
      <c r="D151" s="41"/>
      <c r="E151" s="41"/>
      <c r="F151" s="11"/>
      <c r="G151" s="11"/>
      <c r="H151" s="43"/>
      <c r="K151" s="25"/>
      <c r="L151" s="2"/>
      <c r="M151" s="31"/>
      <c r="N151" s="31"/>
      <c r="O151" s="35"/>
      <c r="P151" s="3"/>
      <c r="Q151" s="6" t="str">
        <f>IF($F151&lt;&gt;"",RIGHT(Tabela1[[#This Row],[Ref.]],2),"")</f>
        <v/>
      </c>
      <c r="R151" s="6" t="str">
        <f t="shared" si="12"/>
        <v/>
      </c>
      <c r="S151" s="4" t="str">
        <f>IF($F151&lt;&gt;"",_xlfn.XLOOKUP(F151,Naturezas!B:B,Naturezas!E:E,"",0,1),"")</f>
        <v/>
      </c>
      <c r="T151" s="4" t="str">
        <f>IF($F151&lt;&gt;"",_xlfn.XLOOKUP($F151,Naturezas!B:B,Naturezas!D:D,"",0,1),"")</f>
        <v/>
      </c>
      <c r="U151" s="5" t="str">
        <f>IF(F151&lt;&gt;"",IF(OR(F151=Naturezas!$B$3,F151=Naturezas!$B$4,F151=Naturezas!$B$5,F151=Naturezas!$B$17,F151=Naturezas!$B$18,F151=Naturezas!$B$19),H151,-H151),"")</f>
        <v/>
      </c>
      <c r="V151" s="4" t="str">
        <f t="shared" si="13"/>
        <v/>
      </c>
      <c r="W151" s="4"/>
      <c r="X151" s="4" t="str">
        <f t="shared" si="14"/>
        <v/>
      </c>
      <c r="Y151" s="6" t="str">
        <f>IF(F151&lt;&gt;"",Tabela1[[#This Row],[Iniciais]],"")</f>
        <v/>
      </c>
      <c r="AA151" s="6" t="str">
        <f>IF($F151&lt;&gt;"",RIGHT(Tabela1[[#This Row],[Ref.]],2),"")</f>
        <v/>
      </c>
      <c r="AB151" s="46" t="str">
        <f>IF($F151&lt;&gt;"",DATE(LEFT(Tabela1[[#This Row],[Ref.]],4),RIGHT(Tabela1[[#This Row],[Ref.]],2),1),"")</f>
        <v/>
      </c>
      <c r="AC151" s="4" t="str">
        <f t="shared" si="15"/>
        <v/>
      </c>
      <c r="AD151" s="5" t="str">
        <f t="shared" si="16"/>
        <v/>
      </c>
      <c r="AE151" s="4"/>
      <c r="AF151" s="6" t="str">
        <f t="shared" si="17"/>
        <v/>
      </c>
    </row>
    <row r="152" spans="1:32" ht="15.75" customHeight="1" x14ac:dyDescent="0.2">
      <c r="A152" s="42"/>
      <c r="B152" s="44"/>
      <c r="C152" s="41"/>
      <c r="D152" s="41"/>
      <c r="E152" s="41"/>
      <c r="F152" s="11"/>
      <c r="G152" s="11"/>
      <c r="H152" s="43"/>
      <c r="K152" s="25"/>
      <c r="L152" s="2"/>
      <c r="M152" s="31"/>
      <c r="N152" s="31"/>
      <c r="O152" s="35"/>
      <c r="P152" s="3"/>
      <c r="Q152" s="6" t="str">
        <f>IF($F152&lt;&gt;"",RIGHT(Tabela1[[#This Row],[Ref.]],2),"")</f>
        <v/>
      </c>
      <c r="R152" s="6" t="str">
        <f t="shared" si="12"/>
        <v/>
      </c>
      <c r="S152" s="4" t="str">
        <f>IF($F152&lt;&gt;"",_xlfn.XLOOKUP(F152,Naturezas!B:B,Naturezas!E:E,"",0,1),"")</f>
        <v/>
      </c>
      <c r="T152" s="4" t="str">
        <f>IF($F152&lt;&gt;"",_xlfn.XLOOKUP($F152,Naturezas!B:B,Naturezas!D:D,"",0,1),"")</f>
        <v/>
      </c>
      <c r="U152" s="5" t="str">
        <f>IF(F152&lt;&gt;"",IF(OR(F152=Naturezas!$B$3,F152=Naturezas!$B$4,F152=Naturezas!$B$5,F152=Naturezas!$B$17,F152=Naturezas!$B$18,F152=Naturezas!$B$19),H152,-H152),"")</f>
        <v/>
      </c>
      <c r="V152" s="4" t="str">
        <f t="shared" si="13"/>
        <v/>
      </c>
      <c r="W152" s="4"/>
      <c r="X152" s="4" t="str">
        <f t="shared" si="14"/>
        <v/>
      </c>
      <c r="Y152" s="6" t="str">
        <f>IF(F152&lt;&gt;"",Tabela1[[#This Row],[Iniciais]],"")</f>
        <v/>
      </c>
      <c r="AA152" s="6" t="str">
        <f>IF($F152&lt;&gt;"",RIGHT(Tabela1[[#This Row],[Ref.]],2),"")</f>
        <v/>
      </c>
      <c r="AB152" s="46" t="str">
        <f>IF($F152&lt;&gt;"",DATE(LEFT(Tabela1[[#This Row],[Ref.]],4),RIGHT(Tabela1[[#This Row],[Ref.]],2),1),"")</f>
        <v/>
      </c>
      <c r="AC152" s="4" t="str">
        <f t="shared" si="15"/>
        <v/>
      </c>
      <c r="AD152" s="5" t="str">
        <f t="shared" si="16"/>
        <v/>
      </c>
      <c r="AE152" s="4"/>
      <c r="AF152" s="6" t="str">
        <f t="shared" si="17"/>
        <v/>
      </c>
    </row>
    <row r="153" spans="1:32" ht="15.75" customHeight="1" x14ac:dyDescent="0.2">
      <c r="A153" s="42"/>
      <c r="B153" s="44"/>
      <c r="C153" s="41"/>
      <c r="D153" s="41"/>
      <c r="E153" s="41"/>
      <c r="F153" s="11"/>
      <c r="G153" s="11"/>
      <c r="H153" s="43"/>
      <c r="K153" s="25"/>
      <c r="L153" s="2"/>
      <c r="M153" s="31"/>
      <c r="N153" s="31"/>
      <c r="O153" s="35"/>
      <c r="P153" s="3"/>
      <c r="Q153" s="6" t="str">
        <f>IF($F153&lt;&gt;"",RIGHT(Tabela1[[#This Row],[Ref.]],2),"")</f>
        <v/>
      </c>
      <c r="R153" s="6" t="str">
        <f t="shared" si="12"/>
        <v/>
      </c>
      <c r="S153" s="4" t="str">
        <f>IF($F153&lt;&gt;"",_xlfn.XLOOKUP(F153,Naturezas!B:B,Naturezas!E:E,"",0,1),"")</f>
        <v/>
      </c>
      <c r="T153" s="4" t="str">
        <f>IF($F153&lt;&gt;"",_xlfn.XLOOKUP($F153,Naturezas!B:B,Naturezas!D:D,"",0,1),"")</f>
        <v/>
      </c>
      <c r="U153" s="5" t="str">
        <f>IF(F153&lt;&gt;"",IF(OR(F153=Naturezas!$B$3,F153=Naturezas!$B$4,F153=Naturezas!$B$5,F153=Naturezas!$B$17,F153=Naturezas!$B$18,F153=Naturezas!$B$19),H153,-H153),"")</f>
        <v/>
      </c>
      <c r="V153" s="4" t="str">
        <f t="shared" si="13"/>
        <v/>
      </c>
      <c r="W153" s="4"/>
      <c r="X153" s="4" t="str">
        <f t="shared" si="14"/>
        <v/>
      </c>
      <c r="Y153" s="6" t="str">
        <f>IF(F153&lt;&gt;"",Tabela1[[#This Row],[Iniciais]],"")</f>
        <v/>
      </c>
      <c r="AA153" s="6" t="str">
        <f>IF($F153&lt;&gt;"",RIGHT(Tabela1[[#This Row],[Ref.]],2),"")</f>
        <v/>
      </c>
      <c r="AB153" s="46" t="str">
        <f>IF($F153&lt;&gt;"",DATE(LEFT(Tabela1[[#This Row],[Ref.]],4),RIGHT(Tabela1[[#This Row],[Ref.]],2),1),"")</f>
        <v/>
      </c>
      <c r="AC153" s="4" t="str">
        <f t="shared" si="15"/>
        <v/>
      </c>
      <c r="AD153" s="5" t="str">
        <f t="shared" si="16"/>
        <v/>
      </c>
      <c r="AE153" s="4"/>
      <c r="AF153" s="6" t="str">
        <f t="shared" si="17"/>
        <v/>
      </c>
    </row>
    <row r="154" spans="1:32" ht="15.75" customHeight="1" x14ac:dyDescent="0.2">
      <c r="A154" s="42"/>
      <c r="B154" s="44"/>
      <c r="C154" s="41"/>
      <c r="D154" s="41"/>
      <c r="E154" s="41"/>
      <c r="F154" s="11"/>
      <c r="G154" s="11"/>
      <c r="H154" s="43"/>
      <c r="K154" s="25"/>
      <c r="L154" s="2"/>
      <c r="M154" s="31"/>
      <c r="N154" s="31"/>
      <c r="O154" s="35"/>
      <c r="P154" s="3"/>
      <c r="Q154" s="6" t="str">
        <f>IF($F154&lt;&gt;"",RIGHT(Tabela1[[#This Row],[Ref.]],2),"")</f>
        <v/>
      </c>
      <c r="R154" s="6" t="str">
        <f t="shared" si="12"/>
        <v/>
      </c>
      <c r="S154" s="4" t="str">
        <f>IF($F154&lt;&gt;"",_xlfn.XLOOKUP(F154,Naturezas!B:B,Naturezas!E:E,"",0,1),"")</f>
        <v/>
      </c>
      <c r="T154" s="4" t="str">
        <f>IF($F154&lt;&gt;"",_xlfn.XLOOKUP($F154,Naturezas!B:B,Naturezas!D:D,"",0,1),"")</f>
        <v/>
      </c>
      <c r="U154" s="5" t="str">
        <f>IF(F154&lt;&gt;"",IF(OR(F154=Naturezas!$B$3,F154=Naturezas!$B$4,F154=Naturezas!$B$5,F154=Naturezas!$B$17,F154=Naturezas!$B$18,F154=Naturezas!$B$19),H154,-H154),"")</f>
        <v/>
      </c>
      <c r="V154" s="4" t="str">
        <f t="shared" si="13"/>
        <v/>
      </c>
      <c r="W154" s="4"/>
      <c r="X154" s="4" t="str">
        <f t="shared" si="14"/>
        <v/>
      </c>
      <c r="Y154" s="6" t="str">
        <f>IF(F154&lt;&gt;"",Tabela1[[#This Row],[Iniciais]],"")</f>
        <v/>
      </c>
      <c r="AA154" s="6" t="str">
        <f>IF($F154&lt;&gt;"",RIGHT(Tabela1[[#This Row],[Ref.]],2),"")</f>
        <v/>
      </c>
      <c r="AB154" s="46" t="str">
        <f>IF($F154&lt;&gt;"",DATE(LEFT(Tabela1[[#This Row],[Ref.]],4),RIGHT(Tabela1[[#This Row],[Ref.]],2),1),"")</f>
        <v/>
      </c>
      <c r="AC154" s="4" t="str">
        <f t="shared" si="15"/>
        <v/>
      </c>
      <c r="AD154" s="5" t="str">
        <f t="shared" si="16"/>
        <v/>
      </c>
      <c r="AE154" s="4"/>
      <c r="AF154" s="6" t="str">
        <f t="shared" si="17"/>
        <v/>
      </c>
    </row>
    <row r="155" spans="1:32" ht="15.75" customHeight="1" x14ac:dyDescent="0.2">
      <c r="A155" s="42"/>
      <c r="B155" s="44"/>
      <c r="C155" s="41"/>
      <c r="D155" s="41"/>
      <c r="E155" s="41"/>
      <c r="F155" s="11"/>
      <c r="G155" s="11"/>
      <c r="H155" s="43"/>
      <c r="K155" s="25"/>
      <c r="L155" s="2"/>
      <c r="M155" s="31"/>
      <c r="N155" s="31"/>
      <c r="O155" s="35"/>
      <c r="P155" s="3"/>
      <c r="Q155" s="6" t="str">
        <f>IF($F155&lt;&gt;"",RIGHT(Tabela1[[#This Row],[Ref.]],2),"")</f>
        <v/>
      </c>
      <c r="R155" s="6" t="str">
        <f t="shared" si="12"/>
        <v/>
      </c>
      <c r="S155" s="4" t="str">
        <f>IF($F155&lt;&gt;"",_xlfn.XLOOKUP(F155,Naturezas!B:B,Naturezas!E:E,"",0,1),"")</f>
        <v/>
      </c>
      <c r="T155" s="4" t="str">
        <f>IF($F155&lt;&gt;"",_xlfn.XLOOKUP($F155,Naturezas!B:B,Naturezas!D:D,"",0,1),"")</f>
        <v/>
      </c>
      <c r="U155" s="5" t="str">
        <f>IF(F155&lt;&gt;"",IF(OR(F155=Naturezas!$B$3,F155=Naturezas!$B$4,F155=Naturezas!$B$5,F155=Naturezas!$B$17,F155=Naturezas!$B$18,F155=Naturezas!$B$19),H155,-H155),"")</f>
        <v/>
      </c>
      <c r="V155" s="4" t="str">
        <f t="shared" si="13"/>
        <v/>
      </c>
      <c r="W155" s="4"/>
      <c r="X155" s="4" t="str">
        <f t="shared" si="14"/>
        <v/>
      </c>
      <c r="Y155" s="6" t="str">
        <f>IF(F155&lt;&gt;"",Tabela1[[#This Row],[Iniciais]],"")</f>
        <v/>
      </c>
      <c r="AA155" s="6" t="str">
        <f>IF($F155&lt;&gt;"",RIGHT(Tabela1[[#This Row],[Ref.]],2),"")</f>
        <v/>
      </c>
      <c r="AB155" s="46" t="str">
        <f>IF($F155&lt;&gt;"",DATE(LEFT(Tabela1[[#This Row],[Ref.]],4),RIGHT(Tabela1[[#This Row],[Ref.]],2),1),"")</f>
        <v/>
      </c>
      <c r="AC155" s="4" t="str">
        <f t="shared" si="15"/>
        <v/>
      </c>
      <c r="AD155" s="5" t="str">
        <f t="shared" si="16"/>
        <v/>
      </c>
      <c r="AE155" s="4"/>
      <c r="AF155" s="6" t="str">
        <f t="shared" si="17"/>
        <v/>
      </c>
    </row>
    <row r="156" spans="1:32" ht="15.75" customHeight="1" x14ac:dyDescent="0.2">
      <c r="A156" s="42"/>
      <c r="B156" s="44"/>
      <c r="C156" s="41"/>
      <c r="D156" s="41"/>
      <c r="E156" s="41"/>
      <c r="F156" s="11"/>
      <c r="G156" s="11"/>
      <c r="H156" s="43"/>
      <c r="K156" s="25"/>
      <c r="L156" s="2"/>
      <c r="M156" s="31"/>
      <c r="N156" s="31"/>
      <c r="O156" s="35"/>
      <c r="P156" s="3"/>
      <c r="Q156" s="6" t="str">
        <f>IF($F156&lt;&gt;"",RIGHT(Tabela1[[#This Row],[Ref.]],2),"")</f>
        <v/>
      </c>
      <c r="R156" s="6" t="str">
        <f t="shared" si="12"/>
        <v/>
      </c>
      <c r="S156" s="4" t="str">
        <f>IF($F156&lt;&gt;"",_xlfn.XLOOKUP(F156,Naturezas!B:B,Naturezas!E:E,"",0,1),"")</f>
        <v/>
      </c>
      <c r="T156" s="4" t="str">
        <f>IF($F156&lt;&gt;"",_xlfn.XLOOKUP($F156,Naturezas!B:B,Naturezas!D:D,"",0,1),"")</f>
        <v/>
      </c>
      <c r="U156" s="5" t="str">
        <f>IF(F156&lt;&gt;"",IF(OR(F156=Naturezas!$B$3,F156=Naturezas!$B$4,F156=Naturezas!$B$5,F156=Naturezas!$B$17,F156=Naturezas!$B$18,F156=Naturezas!$B$19),H156,-H156),"")</f>
        <v/>
      </c>
      <c r="V156" s="4" t="str">
        <f t="shared" si="13"/>
        <v/>
      </c>
      <c r="W156" s="4"/>
      <c r="X156" s="4" t="str">
        <f t="shared" si="14"/>
        <v/>
      </c>
      <c r="Y156" s="6" t="str">
        <f>IF(F156&lt;&gt;"",Tabela1[[#This Row],[Iniciais]],"")</f>
        <v/>
      </c>
      <c r="AA156" s="6" t="str">
        <f>IF($F156&lt;&gt;"",RIGHT(Tabela1[[#This Row],[Ref.]],2),"")</f>
        <v/>
      </c>
      <c r="AB156" s="46" t="str">
        <f>IF($F156&lt;&gt;"",DATE(LEFT(Tabela1[[#This Row],[Ref.]],4),RIGHT(Tabela1[[#This Row],[Ref.]],2),1),"")</f>
        <v/>
      </c>
      <c r="AC156" s="4" t="str">
        <f t="shared" si="15"/>
        <v/>
      </c>
      <c r="AD156" s="5" t="str">
        <f t="shared" si="16"/>
        <v/>
      </c>
      <c r="AE156" s="4"/>
      <c r="AF156" s="6" t="str">
        <f t="shared" si="17"/>
        <v/>
      </c>
    </row>
    <row r="157" spans="1:32" ht="15.75" customHeight="1" x14ac:dyDescent="0.2">
      <c r="A157" s="42"/>
      <c r="B157" s="44"/>
      <c r="C157" s="41"/>
      <c r="D157" s="41"/>
      <c r="E157" s="41"/>
      <c r="F157" s="11"/>
      <c r="G157" s="11"/>
      <c r="H157" s="43"/>
      <c r="K157" s="25"/>
      <c r="L157" s="2"/>
      <c r="M157" s="31"/>
      <c r="N157" s="31"/>
      <c r="O157" s="35"/>
      <c r="P157" s="3"/>
      <c r="Q157" s="6" t="str">
        <f>IF($F157&lt;&gt;"",RIGHT(Tabela1[[#This Row],[Ref.]],2),"")</f>
        <v/>
      </c>
      <c r="R157" s="6" t="str">
        <f t="shared" si="12"/>
        <v/>
      </c>
      <c r="S157" s="4" t="str">
        <f>IF($F157&lt;&gt;"",_xlfn.XLOOKUP(F157,Naturezas!B:B,Naturezas!E:E,"",0,1),"")</f>
        <v/>
      </c>
      <c r="T157" s="4" t="str">
        <f>IF($F157&lt;&gt;"",_xlfn.XLOOKUP($F157,Naturezas!B:B,Naturezas!D:D,"",0,1),"")</f>
        <v/>
      </c>
      <c r="U157" s="5" t="str">
        <f>IF(F157&lt;&gt;"",IF(OR(F157=Naturezas!$B$3,F157=Naturezas!$B$4,F157=Naturezas!$B$5,F157=Naturezas!$B$17,F157=Naturezas!$B$18,F157=Naturezas!$B$19),H157,-H157),"")</f>
        <v/>
      </c>
      <c r="V157" s="4" t="str">
        <f t="shared" si="13"/>
        <v/>
      </c>
      <c r="W157" s="4"/>
      <c r="X157" s="4" t="str">
        <f t="shared" si="14"/>
        <v/>
      </c>
      <c r="Y157" s="6" t="str">
        <f>IF(F157&lt;&gt;"",Tabela1[[#This Row],[Iniciais]],"")</f>
        <v/>
      </c>
      <c r="AA157" s="6" t="str">
        <f>IF($F157&lt;&gt;"",RIGHT(Tabela1[[#This Row],[Ref.]],2),"")</f>
        <v/>
      </c>
      <c r="AB157" s="46" t="str">
        <f>IF($F157&lt;&gt;"",DATE(LEFT(Tabela1[[#This Row],[Ref.]],4),RIGHT(Tabela1[[#This Row],[Ref.]],2),1),"")</f>
        <v/>
      </c>
      <c r="AC157" s="4" t="str">
        <f t="shared" si="15"/>
        <v/>
      </c>
      <c r="AD157" s="5" t="str">
        <f t="shared" si="16"/>
        <v/>
      </c>
      <c r="AE157" s="4"/>
      <c r="AF157" s="6" t="str">
        <f t="shared" si="17"/>
        <v/>
      </c>
    </row>
    <row r="158" spans="1:32" ht="15.75" customHeight="1" x14ac:dyDescent="0.2">
      <c r="A158" s="42"/>
      <c r="B158" s="44"/>
      <c r="C158" s="41"/>
      <c r="D158" s="41"/>
      <c r="E158" s="41"/>
      <c r="F158" s="11"/>
      <c r="G158" s="11"/>
      <c r="H158" s="43"/>
      <c r="K158" s="25"/>
      <c r="L158" s="2"/>
      <c r="M158" s="31"/>
      <c r="N158" s="31"/>
      <c r="O158" s="35"/>
      <c r="P158" s="3"/>
      <c r="Q158" s="6" t="str">
        <f>IF($F158&lt;&gt;"",RIGHT(Tabela1[[#This Row],[Ref.]],2),"")</f>
        <v/>
      </c>
      <c r="R158" s="6" t="str">
        <f t="shared" si="12"/>
        <v/>
      </c>
      <c r="S158" s="4" t="str">
        <f>IF($F158&lt;&gt;"",_xlfn.XLOOKUP(F158,Naturezas!B:B,Naturezas!E:E,"",0,1),"")</f>
        <v/>
      </c>
      <c r="T158" s="4" t="str">
        <f>IF($F158&lt;&gt;"",_xlfn.XLOOKUP($F158,Naturezas!B:B,Naturezas!D:D,"",0,1),"")</f>
        <v/>
      </c>
      <c r="U158" s="5" t="str">
        <f>IF(F158&lt;&gt;"",IF(OR(F158=Naturezas!$B$3,F158=Naturezas!$B$4,F158=Naturezas!$B$5,F158=Naturezas!$B$17,F158=Naturezas!$B$18,F158=Naturezas!$B$19),H158,-H158),"")</f>
        <v/>
      </c>
      <c r="V158" s="4" t="str">
        <f t="shared" si="13"/>
        <v/>
      </c>
      <c r="W158" s="4"/>
      <c r="X158" s="4" t="str">
        <f t="shared" si="14"/>
        <v/>
      </c>
      <c r="Y158" s="6" t="str">
        <f>IF(F158&lt;&gt;"",Tabela1[[#This Row],[Iniciais]],"")</f>
        <v/>
      </c>
      <c r="AA158" s="6" t="str">
        <f>IF($F158&lt;&gt;"",RIGHT(Tabela1[[#This Row],[Ref.]],2),"")</f>
        <v/>
      </c>
      <c r="AB158" s="46" t="str">
        <f>IF($F158&lt;&gt;"",DATE(LEFT(Tabela1[[#This Row],[Ref.]],4),RIGHT(Tabela1[[#This Row],[Ref.]],2),1),"")</f>
        <v/>
      </c>
      <c r="AC158" s="4" t="str">
        <f t="shared" si="15"/>
        <v/>
      </c>
      <c r="AD158" s="5" t="str">
        <f t="shared" si="16"/>
        <v/>
      </c>
      <c r="AE158" s="4"/>
      <c r="AF158" s="6" t="str">
        <f t="shared" si="17"/>
        <v/>
      </c>
    </row>
    <row r="159" spans="1:32" ht="15.75" customHeight="1" x14ac:dyDescent="0.2">
      <c r="A159" s="42"/>
      <c r="B159" s="44"/>
      <c r="C159" s="41"/>
      <c r="D159" s="41"/>
      <c r="E159" s="41"/>
      <c r="F159" s="11"/>
      <c r="G159" s="11"/>
      <c r="H159" s="43"/>
      <c r="K159" s="25"/>
      <c r="L159" s="2"/>
      <c r="M159" s="31"/>
      <c r="N159" s="31"/>
      <c r="O159" s="35"/>
      <c r="P159" s="3"/>
      <c r="Q159" s="6" t="str">
        <f>IF($F159&lt;&gt;"",RIGHT(Tabela1[[#This Row],[Ref.]],2),"")</f>
        <v/>
      </c>
      <c r="R159" s="6" t="str">
        <f t="shared" si="12"/>
        <v/>
      </c>
      <c r="S159" s="4" t="str">
        <f>IF($F159&lt;&gt;"",_xlfn.XLOOKUP(F159,Naturezas!B:B,Naturezas!E:E,"",0,1),"")</f>
        <v/>
      </c>
      <c r="T159" s="4" t="str">
        <f>IF($F159&lt;&gt;"",_xlfn.XLOOKUP($F159,Naturezas!B:B,Naturezas!D:D,"",0,1),"")</f>
        <v/>
      </c>
      <c r="U159" s="5" t="str">
        <f>IF(F159&lt;&gt;"",IF(OR(F159=Naturezas!$B$3,F159=Naturezas!$B$4,F159=Naturezas!$B$5,F159=Naturezas!$B$17,F159=Naturezas!$B$18,F159=Naturezas!$B$19),H159,-H159),"")</f>
        <v/>
      </c>
      <c r="V159" s="4" t="str">
        <f t="shared" si="13"/>
        <v/>
      </c>
      <c r="W159" s="4"/>
      <c r="X159" s="4" t="str">
        <f t="shared" si="14"/>
        <v/>
      </c>
      <c r="Y159" s="6" t="str">
        <f>IF(F159&lt;&gt;"",Tabela1[[#This Row],[Iniciais]],"")</f>
        <v/>
      </c>
      <c r="AA159" s="6" t="str">
        <f>IF($F159&lt;&gt;"",RIGHT(Tabela1[[#This Row],[Ref.]],2),"")</f>
        <v/>
      </c>
      <c r="AB159" s="46" t="str">
        <f>IF($F159&lt;&gt;"",DATE(LEFT(Tabela1[[#This Row],[Ref.]],4),RIGHT(Tabela1[[#This Row],[Ref.]],2),1),"")</f>
        <v/>
      </c>
      <c r="AC159" s="4" t="str">
        <f t="shared" si="15"/>
        <v/>
      </c>
      <c r="AD159" s="5" t="str">
        <f t="shared" si="16"/>
        <v/>
      </c>
      <c r="AE159" s="4"/>
      <c r="AF159" s="6" t="str">
        <f t="shared" si="17"/>
        <v/>
      </c>
    </row>
    <row r="160" spans="1:32" ht="15.75" customHeight="1" x14ac:dyDescent="0.2">
      <c r="A160" s="42"/>
      <c r="B160" s="44"/>
      <c r="C160" s="41"/>
      <c r="D160" s="41"/>
      <c r="E160" s="41"/>
      <c r="F160" s="11"/>
      <c r="G160" s="11"/>
      <c r="H160" s="43"/>
      <c r="K160" s="25"/>
      <c r="L160" s="2"/>
      <c r="M160" s="31"/>
      <c r="N160" s="31"/>
      <c r="O160" s="35"/>
      <c r="P160" s="3"/>
      <c r="Q160" s="6" t="str">
        <f>IF($F160&lt;&gt;"",RIGHT(Tabela1[[#This Row],[Ref.]],2),"")</f>
        <v/>
      </c>
      <c r="R160" s="6" t="str">
        <f t="shared" si="12"/>
        <v/>
      </c>
      <c r="S160" s="4" t="str">
        <f>IF($F160&lt;&gt;"",_xlfn.XLOOKUP(F160,Naturezas!B:B,Naturezas!E:E,"",0,1),"")</f>
        <v/>
      </c>
      <c r="T160" s="4" t="str">
        <f>IF($F160&lt;&gt;"",_xlfn.XLOOKUP($F160,Naturezas!B:B,Naturezas!D:D,"",0,1),"")</f>
        <v/>
      </c>
      <c r="U160" s="5" t="str">
        <f>IF(F160&lt;&gt;"",IF(OR(F160=Naturezas!$B$3,F160=Naturezas!$B$4,F160=Naturezas!$B$5,F160=Naturezas!$B$17,F160=Naturezas!$B$18,F160=Naturezas!$B$19),H160,-H160),"")</f>
        <v/>
      </c>
      <c r="V160" s="4" t="str">
        <f t="shared" si="13"/>
        <v/>
      </c>
      <c r="W160" s="4"/>
      <c r="X160" s="4" t="str">
        <f t="shared" si="14"/>
        <v/>
      </c>
      <c r="Y160" s="6" t="str">
        <f>IF(F160&lt;&gt;"",Tabela1[[#This Row],[Iniciais]],"")</f>
        <v/>
      </c>
      <c r="AA160" s="6" t="str">
        <f>IF($F160&lt;&gt;"",RIGHT(Tabela1[[#This Row],[Ref.]],2),"")</f>
        <v/>
      </c>
      <c r="AB160" s="46" t="str">
        <f>IF($F160&lt;&gt;"",DATE(LEFT(Tabela1[[#This Row],[Ref.]],4),RIGHT(Tabela1[[#This Row],[Ref.]],2),1),"")</f>
        <v/>
      </c>
      <c r="AC160" s="4" t="str">
        <f t="shared" si="15"/>
        <v/>
      </c>
      <c r="AD160" s="5" t="str">
        <f t="shared" si="16"/>
        <v/>
      </c>
      <c r="AE160" s="4"/>
      <c r="AF160" s="6" t="str">
        <f t="shared" si="17"/>
        <v/>
      </c>
    </row>
    <row r="161" spans="1:32" ht="15.75" customHeight="1" x14ac:dyDescent="0.2">
      <c r="A161" s="42"/>
      <c r="B161" s="44"/>
      <c r="C161" s="41"/>
      <c r="D161" s="41"/>
      <c r="E161" s="41"/>
      <c r="F161" s="11"/>
      <c r="G161" s="11"/>
      <c r="H161" s="43"/>
      <c r="K161" s="25"/>
      <c r="L161" s="2"/>
      <c r="M161" s="31"/>
      <c r="N161" s="31"/>
      <c r="O161" s="35"/>
      <c r="P161" s="3"/>
      <c r="Q161" s="6" t="str">
        <f>IF($F161&lt;&gt;"",RIGHT(Tabela1[[#This Row],[Ref.]],2),"")</f>
        <v/>
      </c>
      <c r="R161" s="6" t="str">
        <f t="shared" si="12"/>
        <v/>
      </c>
      <c r="S161" s="4" t="str">
        <f>IF($F161&lt;&gt;"",_xlfn.XLOOKUP(F161,Naturezas!B:B,Naturezas!E:E,"",0,1),"")</f>
        <v/>
      </c>
      <c r="T161" s="4" t="str">
        <f>IF($F161&lt;&gt;"",_xlfn.XLOOKUP($F161,Naturezas!B:B,Naturezas!D:D,"",0,1),"")</f>
        <v/>
      </c>
      <c r="U161" s="5" t="str">
        <f>IF(F161&lt;&gt;"",IF(OR(F161=Naturezas!$B$3,F161=Naturezas!$B$4,F161=Naturezas!$B$5,F161=Naturezas!$B$17,F161=Naturezas!$B$18,F161=Naturezas!$B$19),H161,-H161),"")</f>
        <v/>
      </c>
      <c r="V161" s="4" t="str">
        <f t="shared" si="13"/>
        <v/>
      </c>
      <c r="W161" s="4"/>
      <c r="X161" s="4" t="str">
        <f t="shared" si="14"/>
        <v/>
      </c>
      <c r="Y161" s="6" t="str">
        <f>IF(F161&lt;&gt;"",Tabela1[[#This Row],[Iniciais]],"")</f>
        <v/>
      </c>
      <c r="AA161" s="6" t="str">
        <f>IF($F161&lt;&gt;"",RIGHT(Tabela1[[#This Row],[Ref.]],2),"")</f>
        <v/>
      </c>
      <c r="AB161" s="46" t="str">
        <f>IF($F161&lt;&gt;"",DATE(LEFT(Tabela1[[#This Row],[Ref.]],4),RIGHT(Tabela1[[#This Row],[Ref.]],2),1),"")</f>
        <v/>
      </c>
      <c r="AC161" s="4" t="str">
        <f t="shared" si="15"/>
        <v/>
      </c>
      <c r="AD161" s="5" t="str">
        <f t="shared" si="16"/>
        <v/>
      </c>
      <c r="AE161" s="4"/>
      <c r="AF161" s="6" t="str">
        <f t="shared" si="17"/>
        <v/>
      </c>
    </row>
    <row r="162" spans="1:32" ht="15.75" customHeight="1" x14ac:dyDescent="0.2">
      <c r="A162" s="42"/>
      <c r="B162" s="44"/>
      <c r="C162" s="41"/>
      <c r="D162" s="41"/>
      <c r="E162" s="41"/>
      <c r="F162" s="11"/>
      <c r="G162" s="11"/>
      <c r="H162" s="43"/>
      <c r="K162" s="25"/>
      <c r="L162" s="2"/>
      <c r="M162" s="31"/>
      <c r="N162" s="31"/>
      <c r="O162" s="35"/>
      <c r="P162" s="3"/>
      <c r="Q162" s="6" t="str">
        <f>IF($F162&lt;&gt;"",RIGHT(Tabela1[[#This Row],[Ref.]],2),"")</f>
        <v/>
      </c>
      <c r="R162" s="6" t="str">
        <f t="shared" si="12"/>
        <v/>
      </c>
      <c r="S162" s="4" t="str">
        <f>IF($F162&lt;&gt;"",_xlfn.XLOOKUP(F162,Naturezas!B:B,Naturezas!E:E,"",0,1),"")</f>
        <v/>
      </c>
      <c r="T162" s="4" t="str">
        <f>IF($F162&lt;&gt;"",_xlfn.XLOOKUP($F162,Naturezas!B:B,Naturezas!D:D,"",0,1),"")</f>
        <v/>
      </c>
      <c r="U162" s="5" t="str">
        <f>IF(F162&lt;&gt;"",IF(OR(F162=Naturezas!$B$3,F162=Naturezas!$B$4,F162=Naturezas!$B$5,F162=Naturezas!$B$17,F162=Naturezas!$B$18,F162=Naturezas!$B$19),H162,-H162),"")</f>
        <v/>
      </c>
      <c r="V162" s="4" t="str">
        <f t="shared" si="13"/>
        <v/>
      </c>
      <c r="W162" s="4"/>
      <c r="X162" s="4" t="str">
        <f t="shared" si="14"/>
        <v/>
      </c>
      <c r="Y162" s="6" t="str">
        <f>IF(F162&lt;&gt;"",Tabela1[[#This Row],[Iniciais]],"")</f>
        <v/>
      </c>
      <c r="AA162" s="6" t="str">
        <f>IF($F162&lt;&gt;"",RIGHT(Tabela1[[#This Row],[Ref.]],2),"")</f>
        <v/>
      </c>
      <c r="AB162" s="46" t="str">
        <f>IF($F162&lt;&gt;"",DATE(LEFT(Tabela1[[#This Row],[Ref.]],4),RIGHT(Tabela1[[#This Row],[Ref.]],2),1),"")</f>
        <v/>
      </c>
      <c r="AC162" s="4" t="str">
        <f t="shared" si="15"/>
        <v/>
      </c>
      <c r="AD162" s="5" t="str">
        <f t="shared" si="16"/>
        <v/>
      </c>
      <c r="AE162" s="4"/>
      <c r="AF162" s="6" t="str">
        <f t="shared" si="17"/>
        <v/>
      </c>
    </row>
    <row r="163" spans="1:32" ht="15.75" customHeight="1" x14ac:dyDescent="0.2">
      <c r="A163" s="42"/>
      <c r="B163" s="44"/>
      <c r="C163" s="41"/>
      <c r="D163" s="41"/>
      <c r="E163" s="41"/>
      <c r="F163" s="11"/>
      <c r="G163" s="11"/>
      <c r="H163" s="43"/>
      <c r="K163" s="25"/>
      <c r="L163" s="2"/>
      <c r="M163" s="31"/>
      <c r="N163" s="31"/>
      <c r="O163" s="35"/>
      <c r="P163" s="3"/>
      <c r="Q163" s="6" t="str">
        <f>IF($F163&lt;&gt;"",RIGHT(Tabela1[[#This Row],[Ref.]],2),"")</f>
        <v/>
      </c>
      <c r="R163" s="6" t="str">
        <f t="shared" si="12"/>
        <v/>
      </c>
      <c r="S163" s="4" t="str">
        <f>IF($F163&lt;&gt;"",_xlfn.XLOOKUP(F163,Naturezas!B:B,Naturezas!E:E,"",0,1),"")</f>
        <v/>
      </c>
      <c r="T163" s="4" t="str">
        <f>IF($F163&lt;&gt;"",_xlfn.XLOOKUP($F163,Naturezas!B:B,Naturezas!D:D,"",0,1),"")</f>
        <v/>
      </c>
      <c r="U163" s="5" t="str">
        <f>IF(F163&lt;&gt;"",IF(OR(F163=Naturezas!$B$3,F163=Naturezas!$B$4,F163=Naturezas!$B$5,F163=Naturezas!$B$17,F163=Naturezas!$B$18,F163=Naturezas!$B$19),H163,-H163),"")</f>
        <v/>
      </c>
      <c r="V163" s="4" t="str">
        <f t="shared" si="13"/>
        <v/>
      </c>
      <c r="W163" s="4"/>
      <c r="X163" s="4" t="str">
        <f t="shared" si="14"/>
        <v/>
      </c>
      <c r="Y163" s="6" t="str">
        <f>IF(F163&lt;&gt;"",Tabela1[[#This Row],[Iniciais]],"")</f>
        <v/>
      </c>
      <c r="AA163" s="6" t="str">
        <f>IF($F163&lt;&gt;"",RIGHT(Tabela1[[#This Row],[Ref.]],2),"")</f>
        <v/>
      </c>
      <c r="AB163" s="46" t="str">
        <f>IF($F163&lt;&gt;"",DATE(LEFT(Tabela1[[#This Row],[Ref.]],4),RIGHT(Tabela1[[#This Row],[Ref.]],2),1),"")</f>
        <v/>
      </c>
      <c r="AC163" s="4" t="str">
        <f t="shared" si="15"/>
        <v/>
      </c>
      <c r="AD163" s="5" t="str">
        <f t="shared" si="16"/>
        <v/>
      </c>
      <c r="AE163" s="4"/>
      <c r="AF163" s="6" t="str">
        <f t="shared" si="17"/>
        <v/>
      </c>
    </row>
    <row r="164" spans="1:32" ht="15.75" customHeight="1" x14ac:dyDescent="0.2">
      <c r="A164" s="42"/>
      <c r="B164" s="44"/>
      <c r="C164" s="41"/>
      <c r="D164" s="41"/>
      <c r="E164" s="41"/>
      <c r="F164" s="11"/>
      <c r="G164" s="11"/>
      <c r="H164" s="43"/>
      <c r="K164" s="25"/>
      <c r="L164" s="2"/>
      <c r="M164" s="31"/>
      <c r="N164" s="31"/>
      <c r="O164" s="35"/>
      <c r="P164" s="3"/>
      <c r="Q164" s="6" t="str">
        <f>IF($F164&lt;&gt;"",RIGHT(Tabela1[[#This Row],[Ref.]],2),"")</f>
        <v/>
      </c>
      <c r="R164" s="6" t="str">
        <f t="shared" si="12"/>
        <v/>
      </c>
      <c r="S164" s="4" t="str">
        <f>IF($F164&lt;&gt;"",_xlfn.XLOOKUP(F164,Naturezas!B:B,Naturezas!E:E,"",0,1),"")</f>
        <v/>
      </c>
      <c r="T164" s="4" t="str">
        <f>IF($F164&lt;&gt;"",_xlfn.XLOOKUP($F164,Naturezas!B:B,Naturezas!D:D,"",0,1),"")</f>
        <v/>
      </c>
      <c r="U164" s="5" t="str">
        <f>IF(F164&lt;&gt;"",IF(OR(F164=Naturezas!$B$3,F164=Naturezas!$B$4,F164=Naturezas!$B$5,F164=Naturezas!$B$17,F164=Naturezas!$B$18,F164=Naturezas!$B$19),H164,-H164),"")</f>
        <v/>
      </c>
      <c r="V164" s="4" t="str">
        <f t="shared" si="13"/>
        <v/>
      </c>
      <c r="W164" s="4"/>
      <c r="X164" s="4" t="str">
        <f t="shared" si="14"/>
        <v/>
      </c>
      <c r="Y164" s="6" t="str">
        <f>IF(F164&lt;&gt;"",Tabela1[[#This Row],[Iniciais]],"")</f>
        <v/>
      </c>
      <c r="AA164" s="6" t="str">
        <f>IF($F164&lt;&gt;"",RIGHT(Tabela1[[#This Row],[Ref.]],2),"")</f>
        <v/>
      </c>
      <c r="AB164" s="46" t="str">
        <f>IF($F164&lt;&gt;"",DATE(LEFT(Tabela1[[#This Row],[Ref.]],4),RIGHT(Tabela1[[#This Row],[Ref.]],2),1),"")</f>
        <v/>
      </c>
      <c r="AC164" s="4" t="str">
        <f t="shared" si="15"/>
        <v/>
      </c>
      <c r="AD164" s="5" t="str">
        <f t="shared" si="16"/>
        <v/>
      </c>
      <c r="AE164" s="4"/>
      <c r="AF164" s="6" t="str">
        <f t="shared" si="17"/>
        <v/>
      </c>
    </row>
    <row r="165" spans="1:32" ht="15.75" customHeight="1" x14ac:dyDescent="0.2">
      <c r="A165" s="42"/>
      <c r="B165" s="44"/>
      <c r="C165" s="41"/>
      <c r="D165" s="41"/>
      <c r="E165" s="41"/>
      <c r="F165" s="11"/>
      <c r="G165" s="11"/>
      <c r="H165" s="43"/>
      <c r="K165" s="25"/>
      <c r="L165" s="2"/>
      <c r="M165" s="31"/>
      <c r="N165" s="31"/>
      <c r="O165" s="35"/>
      <c r="P165" s="3"/>
      <c r="Q165" s="6" t="str">
        <f>IF($F165&lt;&gt;"",RIGHT(Tabela1[[#This Row],[Ref.]],2),"")</f>
        <v/>
      </c>
      <c r="R165" s="6" t="str">
        <f t="shared" si="12"/>
        <v/>
      </c>
      <c r="S165" s="4" t="str">
        <f>IF($F165&lt;&gt;"",_xlfn.XLOOKUP(F165,Naturezas!B:B,Naturezas!E:E,"",0,1),"")</f>
        <v/>
      </c>
      <c r="T165" s="4" t="str">
        <f>IF($F165&lt;&gt;"",_xlfn.XLOOKUP($F165,Naturezas!B:B,Naturezas!D:D,"",0,1),"")</f>
        <v/>
      </c>
      <c r="U165" s="5" t="str">
        <f>IF(F165&lt;&gt;"",IF(OR(F165=Naturezas!$B$3,F165=Naturezas!$B$4,F165=Naturezas!$B$5,F165=Naturezas!$B$17,F165=Naturezas!$B$18,F165=Naturezas!$B$19),H165,-H165),"")</f>
        <v/>
      </c>
      <c r="V165" s="4" t="str">
        <f t="shared" si="13"/>
        <v/>
      </c>
      <c r="W165" s="4"/>
      <c r="X165" s="4" t="str">
        <f t="shared" si="14"/>
        <v/>
      </c>
      <c r="Y165" s="6" t="str">
        <f>IF(F165&lt;&gt;"",Tabela1[[#This Row],[Iniciais]],"")</f>
        <v/>
      </c>
      <c r="AA165" s="6" t="str">
        <f>IF($F165&lt;&gt;"",RIGHT(Tabela1[[#This Row],[Ref.]],2),"")</f>
        <v/>
      </c>
      <c r="AB165" s="46" t="str">
        <f>IF($F165&lt;&gt;"",DATE(LEFT(Tabela1[[#This Row],[Ref.]],4),RIGHT(Tabela1[[#This Row],[Ref.]],2),1),"")</f>
        <v/>
      </c>
      <c r="AC165" s="4" t="str">
        <f t="shared" si="15"/>
        <v/>
      </c>
      <c r="AD165" s="5" t="str">
        <f t="shared" si="16"/>
        <v/>
      </c>
      <c r="AE165" s="4"/>
      <c r="AF165" s="6" t="str">
        <f t="shared" si="17"/>
        <v/>
      </c>
    </row>
    <row r="166" spans="1:32" ht="15.75" customHeight="1" x14ac:dyDescent="0.2">
      <c r="A166" s="42"/>
      <c r="B166" s="44"/>
      <c r="C166" s="41"/>
      <c r="D166" s="41"/>
      <c r="E166" s="41"/>
      <c r="F166" s="11"/>
      <c r="G166" s="11"/>
      <c r="H166" s="43"/>
      <c r="K166" s="25"/>
      <c r="L166" s="2"/>
      <c r="M166" s="31"/>
      <c r="N166" s="31"/>
      <c r="O166" s="35"/>
      <c r="P166" s="3"/>
      <c r="Q166" s="6" t="str">
        <f>IF($F166&lt;&gt;"",RIGHT(Tabela1[[#This Row],[Ref.]],2),"")</f>
        <v/>
      </c>
      <c r="R166" s="6" t="str">
        <f t="shared" si="12"/>
        <v/>
      </c>
      <c r="S166" s="4" t="str">
        <f>IF($F166&lt;&gt;"",_xlfn.XLOOKUP(F166,Naturezas!B:B,Naturezas!E:E,"",0,1),"")</f>
        <v/>
      </c>
      <c r="T166" s="4" t="str">
        <f>IF($F166&lt;&gt;"",_xlfn.XLOOKUP($F166,Naturezas!B:B,Naturezas!D:D,"",0,1),"")</f>
        <v/>
      </c>
      <c r="U166" s="5" t="str">
        <f>IF(F166&lt;&gt;"",IF(OR(F166=Naturezas!$B$3,F166=Naturezas!$B$4,F166=Naturezas!$B$5,F166=Naturezas!$B$17,F166=Naturezas!$B$18,F166=Naturezas!$B$19),H166,-H166),"")</f>
        <v/>
      </c>
      <c r="V166" s="4" t="str">
        <f t="shared" si="13"/>
        <v/>
      </c>
      <c r="W166" s="4"/>
      <c r="X166" s="4" t="str">
        <f t="shared" si="14"/>
        <v/>
      </c>
      <c r="Y166" s="6" t="str">
        <f>IF(F166&lt;&gt;"",Tabela1[[#This Row],[Iniciais]],"")</f>
        <v/>
      </c>
      <c r="AA166" s="6" t="str">
        <f>IF($F166&lt;&gt;"",RIGHT(Tabela1[[#This Row],[Ref.]],2),"")</f>
        <v/>
      </c>
      <c r="AB166" s="46" t="str">
        <f>IF($F166&lt;&gt;"",DATE(LEFT(Tabela1[[#This Row],[Ref.]],4),RIGHT(Tabela1[[#This Row],[Ref.]],2),1),"")</f>
        <v/>
      </c>
      <c r="AC166" s="4" t="str">
        <f t="shared" si="15"/>
        <v/>
      </c>
      <c r="AD166" s="5" t="str">
        <f t="shared" si="16"/>
        <v/>
      </c>
      <c r="AE166" s="4"/>
      <c r="AF166" s="6" t="str">
        <f t="shared" si="17"/>
        <v/>
      </c>
    </row>
    <row r="167" spans="1:32" ht="15.75" customHeight="1" x14ac:dyDescent="0.2">
      <c r="A167" s="42"/>
      <c r="B167" s="44"/>
      <c r="C167" s="41"/>
      <c r="D167" s="41"/>
      <c r="E167" s="41"/>
      <c r="F167" s="11"/>
      <c r="G167" s="11"/>
      <c r="H167" s="43"/>
      <c r="K167" s="25"/>
      <c r="L167" s="2"/>
      <c r="M167" s="31"/>
      <c r="N167" s="31"/>
      <c r="O167" s="35"/>
      <c r="P167" s="3"/>
      <c r="Q167" s="6" t="str">
        <f>IF($F167&lt;&gt;"",RIGHT(Tabela1[[#This Row],[Ref.]],2),"")</f>
        <v/>
      </c>
      <c r="R167" s="6" t="str">
        <f t="shared" si="12"/>
        <v/>
      </c>
      <c r="S167" s="4" t="str">
        <f>IF($F167&lt;&gt;"",_xlfn.XLOOKUP(F167,Naturezas!B:B,Naturezas!E:E,"",0,1),"")</f>
        <v/>
      </c>
      <c r="T167" s="4" t="str">
        <f>IF($F167&lt;&gt;"",_xlfn.XLOOKUP($F167,Naturezas!B:B,Naturezas!D:D,"",0,1),"")</f>
        <v/>
      </c>
      <c r="U167" s="5" t="str">
        <f>IF(F167&lt;&gt;"",IF(OR(F167=Naturezas!$B$3,F167=Naturezas!$B$4,F167=Naturezas!$B$5,F167=Naturezas!$B$17,F167=Naturezas!$B$18,F167=Naturezas!$B$19),H167,-H167),"")</f>
        <v/>
      </c>
      <c r="V167" s="4" t="str">
        <f t="shared" si="13"/>
        <v/>
      </c>
      <c r="W167" s="4"/>
      <c r="X167" s="4" t="str">
        <f t="shared" si="14"/>
        <v/>
      </c>
      <c r="Y167" s="6" t="str">
        <f>IF(F167&lt;&gt;"",Tabela1[[#This Row],[Iniciais]],"")</f>
        <v/>
      </c>
      <c r="AA167" s="6" t="str">
        <f>IF($F167&lt;&gt;"",RIGHT(Tabela1[[#This Row],[Ref.]],2),"")</f>
        <v/>
      </c>
      <c r="AB167" s="46" t="str">
        <f>IF($F167&lt;&gt;"",DATE(LEFT(Tabela1[[#This Row],[Ref.]],4),RIGHT(Tabela1[[#This Row],[Ref.]],2),1),"")</f>
        <v/>
      </c>
      <c r="AC167" s="4" t="str">
        <f t="shared" si="15"/>
        <v/>
      </c>
      <c r="AD167" s="5" t="str">
        <f t="shared" si="16"/>
        <v/>
      </c>
      <c r="AE167" s="4"/>
      <c r="AF167" s="6" t="str">
        <f t="shared" si="17"/>
        <v/>
      </c>
    </row>
    <row r="168" spans="1:32" ht="15.75" customHeight="1" x14ac:dyDescent="0.2">
      <c r="A168" s="42"/>
      <c r="B168" s="44"/>
      <c r="C168" s="41"/>
      <c r="D168" s="41"/>
      <c r="E168" s="41"/>
      <c r="F168" s="11"/>
      <c r="G168" s="11"/>
      <c r="H168" s="43"/>
      <c r="K168" s="25"/>
      <c r="L168" s="2"/>
      <c r="M168" s="31"/>
      <c r="N168" s="31"/>
      <c r="O168" s="35"/>
      <c r="P168" s="3"/>
      <c r="Q168" s="6" t="str">
        <f>IF($F168&lt;&gt;"",RIGHT(Tabela1[[#This Row],[Ref.]],2),"")</f>
        <v/>
      </c>
      <c r="R168" s="6" t="str">
        <f t="shared" si="12"/>
        <v/>
      </c>
      <c r="S168" s="4" t="str">
        <f>IF($F168&lt;&gt;"",_xlfn.XLOOKUP(F168,Naturezas!B:B,Naturezas!E:E,"",0,1),"")</f>
        <v/>
      </c>
      <c r="T168" s="4" t="str">
        <f>IF($F168&lt;&gt;"",_xlfn.XLOOKUP($F168,Naturezas!B:B,Naturezas!D:D,"",0,1),"")</f>
        <v/>
      </c>
      <c r="U168" s="5" t="str">
        <f>IF(F168&lt;&gt;"",IF(OR(F168=Naturezas!$B$3,F168=Naturezas!$B$4,F168=Naturezas!$B$5,F168=Naturezas!$B$17,F168=Naturezas!$B$18,F168=Naturezas!$B$19),H168,-H168),"")</f>
        <v/>
      </c>
      <c r="V168" s="4" t="str">
        <f t="shared" si="13"/>
        <v/>
      </c>
      <c r="W168" s="4"/>
      <c r="X168" s="4" t="str">
        <f t="shared" si="14"/>
        <v/>
      </c>
      <c r="Y168" s="6" t="str">
        <f>IF(F168&lt;&gt;"",Tabela1[[#This Row],[Iniciais]],"")</f>
        <v/>
      </c>
      <c r="AA168" s="6" t="str">
        <f>IF($F168&lt;&gt;"",RIGHT(Tabela1[[#This Row],[Ref.]],2),"")</f>
        <v/>
      </c>
      <c r="AB168" s="46" t="str">
        <f>IF($F168&lt;&gt;"",DATE(LEFT(Tabela1[[#This Row],[Ref.]],4),RIGHT(Tabela1[[#This Row],[Ref.]],2),1),"")</f>
        <v/>
      </c>
      <c r="AC168" s="4" t="str">
        <f t="shared" si="15"/>
        <v/>
      </c>
      <c r="AD168" s="5" t="str">
        <f t="shared" si="16"/>
        <v/>
      </c>
      <c r="AE168" s="4"/>
      <c r="AF168" s="6" t="str">
        <f t="shared" si="17"/>
        <v/>
      </c>
    </row>
    <row r="169" spans="1:32" ht="15.75" customHeight="1" x14ac:dyDescent="0.2">
      <c r="A169" s="42"/>
      <c r="B169" s="44"/>
      <c r="C169" s="41"/>
      <c r="D169" s="41"/>
      <c r="E169" s="41"/>
      <c r="F169" s="11"/>
      <c r="G169" s="11"/>
      <c r="H169" s="43"/>
      <c r="K169" s="25"/>
      <c r="L169" s="2"/>
      <c r="M169" s="31"/>
      <c r="N169" s="31"/>
      <c r="O169" s="35"/>
      <c r="P169" s="3"/>
      <c r="Q169" s="6" t="str">
        <f>IF($F169&lt;&gt;"",RIGHT(Tabela1[[#This Row],[Ref.]],2),"")</f>
        <v/>
      </c>
      <c r="R169" s="6" t="str">
        <f t="shared" si="12"/>
        <v/>
      </c>
      <c r="S169" s="4" t="str">
        <f>IF($F169&lt;&gt;"",_xlfn.XLOOKUP(F169,Naturezas!B:B,Naturezas!E:E,"",0,1),"")</f>
        <v/>
      </c>
      <c r="T169" s="4" t="str">
        <f>IF($F169&lt;&gt;"",_xlfn.XLOOKUP($F169,Naturezas!B:B,Naturezas!D:D,"",0,1),"")</f>
        <v/>
      </c>
      <c r="U169" s="5" t="str">
        <f>IF(F169&lt;&gt;"",IF(OR(F169=Naturezas!$B$3,F169=Naturezas!$B$4,F169=Naturezas!$B$5,F169=Naturezas!$B$17,F169=Naturezas!$B$18,F169=Naturezas!$B$19),H169,-H169),"")</f>
        <v/>
      </c>
      <c r="V169" s="4" t="str">
        <f t="shared" si="13"/>
        <v/>
      </c>
      <c r="W169" s="4"/>
      <c r="X169" s="4" t="str">
        <f t="shared" si="14"/>
        <v/>
      </c>
      <c r="Y169" s="6" t="str">
        <f>IF(F169&lt;&gt;"",Tabela1[[#This Row],[Iniciais]],"")</f>
        <v/>
      </c>
      <c r="AA169" s="6" t="str">
        <f>IF($F169&lt;&gt;"",RIGHT(Tabela1[[#This Row],[Ref.]],2),"")</f>
        <v/>
      </c>
      <c r="AB169" s="46" t="str">
        <f>IF($F169&lt;&gt;"",DATE(LEFT(Tabela1[[#This Row],[Ref.]],4),RIGHT(Tabela1[[#This Row],[Ref.]],2),1),"")</f>
        <v/>
      </c>
      <c r="AC169" s="4" t="str">
        <f t="shared" si="15"/>
        <v/>
      </c>
      <c r="AD169" s="5" t="str">
        <f t="shared" si="16"/>
        <v/>
      </c>
      <c r="AE169" s="4"/>
      <c r="AF169" s="6" t="str">
        <f t="shared" si="17"/>
        <v/>
      </c>
    </row>
    <row r="170" spans="1:32" ht="15.75" customHeight="1" x14ac:dyDescent="0.2">
      <c r="A170" s="42"/>
      <c r="B170" s="44"/>
      <c r="C170" s="41"/>
      <c r="D170" s="41"/>
      <c r="E170" s="41"/>
      <c r="F170" s="11"/>
      <c r="G170" s="11"/>
      <c r="H170" s="43"/>
      <c r="K170" s="25"/>
      <c r="L170" s="2"/>
      <c r="M170" s="31"/>
      <c r="N170" s="31"/>
      <c r="O170" s="35"/>
      <c r="P170" s="3"/>
      <c r="Q170" s="6" t="str">
        <f>IF($F170&lt;&gt;"",RIGHT(Tabela1[[#This Row],[Ref.]],2),"")</f>
        <v/>
      </c>
      <c r="R170" s="6" t="str">
        <f t="shared" si="12"/>
        <v/>
      </c>
      <c r="S170" s="4" t="str">
        <f>IF($F170&lt;&gt;"",_xlfn.XLOOKUP(F170,Naturezas!B:B,Naturezas!E:E,"",0,1),"")</f>
        <v/>
      </c>
      <c r="T170" s="4" t="str">
        <f>IF($F170&lt;&gt;"",_xlfn.XLOOKUP($F170,Naturezas!B:B,Naturezas!D:D,"",0,1),"")</f>
        <v/>
      </c>
      <c r="U170" s="5" t="str">
        <f>IF(F170&lt;&gt;"",IF(OR(F170=Naturezas!$B$3,F170=Naturezas!$B$4,F170=Naturezas!$B$5,F170=Naturezas!$B$17,F170=Naturezas!$B$18,F170=Naturezas!$B$19),H170,-H170),"")</f>
        <v/>
      </c>
      <c r="V170" s="4" t="str">
        <f t="shared" si="13"/>
        <v/>
      </c>
      <c r="W170" s="4"/>
      <c r="X170" s="4" t="str">
        <f t="shared" si="14"/>
        <v/>
      </c>
      <c r="Y170" s="6" t="str">
        <f>IF(F170&lt;&gt;"",Tabela1[[#This Row],[Iniciais]],"")</f>
        <v/>
      </c>
      <c r="AA170" s="6" t="str">
        <f>IF($F170&lt;&gt;"",RIGHT(Tabela1[[#This Row],[Ref.]],2),"")</f>
        <v/>
      </c>
      <c r="AB170" s="46" t="str">
        <f>IF($F170&lt;&gt;"",DATE(LEFT(Tabela1[[#This Row],[Ref.]],4),RIGHT(Tabela1[[#This Row],[Ref.]],2),1),"")</f>
        <v/>
      </c>
      <c r="AC170" s="4" t="str">
        <f t="shared" si="15"/>
        <v/>
      </c>
      <c r="AD170" s="5" t="str">
        <f t="shared" si="16"/>
        <v/>
      </c>
      <c r="AE170" s="4"/>
      <c r="AF170" s="6" t="str">
        <f t="shared" si="17"/>
        <v/>
      </c>
    </row>
    <row r="171" spans="1:32" ht="15.75" customHeight="1" x14ac:dyDescent="0.2">
      <c r="A171" s="42"/>
      <c r="B171" s="44"/>
      <c r="C171" s="41"/>
      <c r="D171" s="41"/>
      <c r="E171" s="41"/>
      <c r="F171" s="11"/>
      <c r="G171" s="11"/>
      <c r="H171" s="43"/>
      <c r="K171" s="25"/>
      <c r="L171" s="2"/>
      <c r="M171" s="31"/>
      <c r="N171" s="31"/>
      <c r="O171" s="35"/>
      <c r="P171" s="3"/>
      <c r="Q171" s="6" t="str">
        <f>IF($F171&lt;&gt;"",RIGHT(Tabela1[[#This Row],[Ref.]],2),"")</f>
        <v/>
      </c>
      <c r="R171" s="6" t="str">
        <f t="shared" si="12"/>
        <v/>
      </c>
      <c r="S171" s="4" t="str">
        <f>IF($F171&lt;&gt;"",_xlfn.XLOOKUP(F171,Naturezas!B:B,Naturezas!E:E,"",0,1),"")</f>
        <v/>
      </c>
      <c r="T171" s="4" t="str">
        <f>IF($F171&lt;&gt;"",_xlfn.XLOOKUP($F171,Naturezas!B:B,Naturezas!D:D,"",0,1),"")</f>
        <v/>
      </c>
      <c r="U171" s="5" t="str">
        <f>IF(F171&lt;&gt;"",IF(OR(F171=Naturezas!$B$3,F171=Naturezas!$B$4,F171=Naturezas!$B$5,F171=Naturezas!$B$17,F171=Naturezas!$B$18,F171=Naturezas!$B$19),H171,-H171),"")</f>
        <v/>
      </c>
      <c r="V171" s="4" t="str">
        <f t="shared" si="13"/>
        <v/>
      </c>
      <c r="W171" s="4"/>
      <c r="X171" s="4" t="str">
        <f t="shared" si="14"/>
        <v/>
      </c>
      <c r="Y171" s="6" t="str">
        <f>IF(F171&lt;&gt;"",Tabela1[[#This Row],[Iniciais]],"")</f>
        <v/>
      </c>
      <c r="AA171" s="6" t="str">
        <f>IF($F171&lt;&gt;"",RIGHT(Tabela1[[#This Row],[Ref.]],2),"")</f>
        <v/>
      </c>
      <c r="AB171" s="46" t="str">
        <f>IF($F171&lt;&gt;"",DATE(LEFT(Tabela1[[#This Row],[Ref.]],4),RIGHT(Tabela1[[#This Row],[Ref.]],2),1),"")</f>
        <v/>
      </c>
      <c r="AC171" s="4" t="str">
        <f t="shared" si="15"/>
        <v/>
      </c>
      <c r="AD171" s="5" t="str">
        <f t="shared" si="16"/>
        <v/>
      </c>
      <c r="AE171" s="4"/>
      <c r="AF171" s="6" t="str">
        <f t="shared" si="17"/>
        <v/>
      </c>
    </row>
    <row r="172" spans="1:32" ht="15.75" customHeight="1" x14ac:dyDescent="0.2">
      <c r="A172" s="42"/>
      <c r="B172" s="44"/>
      <c r="C172" s="41"/>
      <c r="D172" s="41"/>
      <c r="E172" s="41"/>
      <c r="F172" s="11"/>
      <c r="G172" s="11"/>
      <c r="H172" s="43"/>
      <c r="K172" s="25"/>
      <c r="L172" s="2"/>
      <c r="M172" s="31"/>
      <c r="N172" s="31"/>
      <c r="O172" s="35"/>
      <c r="P172" s="3"/>
      <c r="Q172" s="6" t="str">
        <f>IF($F172&lt;&gt;"",RIGHT(Tabela1[[#This Row],[Ref.]],2),"")</f>
        <v/>
      </c>
      <c r="R172" s="6" t="str">
        <f t="shared" si="12"/>
        <v/>
      </c>
      <c r="S172" s="4" t="str">
        <f>IF($F172&lt;&gt;"",_xlfn.XLOOKUP(F172,Naturezas!B:B,Naturezas!E:E,"",0,1),"")</f>
        <v/>
      </c>
      <c r="T172" s="4" t="str">
        <f>IF($F172&lt;&gt;"",_xlfn.XLOOKUP($F172,Naturezas!B:B,Naturezas!D:D,"",0,1),"")</f>
        <v/>
      </c>
      <c r="U172" s="5" t="str">
        <f>IF(F172&lt;&gt;"",IF(OR(F172=Naturezas!$B$3,F172=Naturezas!$B$4,F172=Naturezas!$B$5,F172=Naturezas!$B$17,F172=Naturezas!$B$18,F172=Naturezas!$B$19),H172,-H172),"")</f>
        <v/>
      </c>
      <c r="V172" s="4" t="str">
        <f t="shared" si="13"/>
        <v/>
      </c>
      <c r="W172" s="4"/>
      <c r="X172" s="4" t="str">
        <f t="shared" si="14"/>
        <v/>
      </c>
      <c r="Y172" s="6" t="str">
        <f>IF(F172&lt;&gt;"",Tabela1[[#This Row],[Iniciais]],"")</f>
        <v/>
      </c>
      <c r="AA172" s="6" t="str">
        <f>IF($F172&lt;&gt;"",RIGHT(Tabela1[[#This Row],[Ref.]],2),"")</f>
        <v/>
      </c>
      <c r="AB172" s="46" t="str">
        <f>IF($F172&lt;&gt;"",DATE(LEFT(Tabela1[[#This Row],[Ref.]],4),RIGHT(Tabela1[[#This Row],[Ref.]],2),1),"")</f>
        <v/>
      </c>
      <c r="AC172" s="4" t="str">
        <f t="shared" si="15"/>
        <v/>
      </c>
      <c r="AD172" s="5" t="str">
        <f t="shared" si="16"/>
        <v/>
      </c>
      <c r="AE172" s="4"/>
      <c r="AF172" s="6" t="str">
        <f t="shared" si="17"/>
        <v/>
      </c>
    </row>
    <row r="173" spans="1:32" ht="15.75" customHeight="1" x14ac:dyDescent="0.2">
      <c r="A173" s="42"/>
      <c r="B173" s="44"/>
      <c r="C173" s="41"/>
      <c r="D173" s="41"/>
      <c r="E173" s="41"/>
      <c r="F173" s="11"/>
      <c r="G173" s="11"/>
      <c r="H173" s="43"/>
      <c r="K173" s="25"/>
      <c r="L173" s="2"/>
      <c r="M173" s="31"/>
      <c r="N173" s="31"/>
      <c r="O173" s="35"/>
      <c r="P173" s="3"/>
      <c r="Q173" s="6" t="str">
        <f>IF($F173&lt;&gt;"",RIGHT(Tabela1[[#This Row],[Ref.]],2),"")</f>
        <v/>
      </c>
      <c r="R173" s="6" t="str">
        <f t="shared" si="12"/>
        <v/>
      </c>
      <c r="S173" s="4" t="str">
        <f>IF($F173&lt;&gt;"",_xlfn.XLOOKUP(F173,Naturezas!B:B,Naturezas!E:E,"",0,1),"")</f>
        <v/>
      </c>
      <c r="T173" s="4" t="str">
        <f>IF($F173&lt;&gt;"",_xlfn.XLOOKUP($F173,Naturezas!B:B,Naturezas!D:D,"",0,1),"")</f>
        <v/>
      </c>
      <c r="U173" s="5" t="str">
        <f>IF(F173&lt;&gt;"",IF(OR(F173=Naturezas!$B$3,F173=Naturezas!$B$4,F173=Naturezas!$B$5,F173=Naturezas!$B$17,F173=Naturezas!$B$18,F173=Naturezas!$B$19),H173,-H173),"")</f>
        <v/>
      </c>
      <c r="V173" s="4" t="str">
        <f t="shared" si="13"/>
        <v/>
      </c>
      <c r="W173" s="4"/>
      <c r="X173" s="4" t="str">
        <f t="shared" si="14"/>
        <v/>
      </c>
      <c r="Y173" s="6" t="str">
        <f>IF(F173&lt;&gt;"",Tabela1[[#This Row],[Iniciais]],"")</f>
        <v/>
      </c>
      <c r="AA173" s="6" t="str">
        <f>IF($F173&lt;&gt;"",RIGHT(Tabela1[[#This Row],[Ref.]],2),"")</f>
        <v/>
      </c>
      <c r="AB173" s="46" t="str">
        <f>IF($F173&lt;&gt;"",DATE(LEFT(Tabela1[[#This Row],[Ref.]],4),RIGHT(Tabela1[[#This Row],[Ref.]],2),1),"")</f>
        <v/>
      </c>
      <c r="AC173" s="4" t="str">
        <f t="shared" si="15"/>
        <v/>
      </c>
      <c r="AD173" s="5" t="str">
        <f t="shared" si="16"/>
        <v/>
      </c>
      <c r="AE173" s="4"/>
      <c r="AF173" s="6" t="str">
        <f t="shared" si="17"/>
        <v/>
      </c>
    </row>
    <row r="174" spans="1:32" ht="15.75" customHeight="1" x14ac:dyDescent="0.2">
      <c r="A174" s="42"/>
      <c r="B174" s="44"/>
      <c r="C174" s="41"/>
      <c r="D174" s="41"/>
      <c r="E174" s="41"/>
      <c r="F174" s="11"/>
      <c r="G174" s="11"/>
      <c r="H174" s="43"/>
      <c r="K174" s="25"/>
      <c r="L174" s="2"/>
      <c r="M174" s="31"/>
      <c r="N174" s="31"/>
      <c r="O174" s="35"/>
      <c r="P174" s="3"/>
      <c r="Q174" s="6" t="str">
        <f>IF($F174&lt;&gt;"",RIGHT(Tabela1[[#This Row],[Ref.]],2),"")</f>
        <v/>
      </c>
      <c r="R174" s="6" t="str">
        <f t="shared" si="12"/>
        <v/>
      </c>
      <c r="S174" s="4" t="str">
        <f>IF($F174&lt;&gt;"",_xlfn.XLOOKUP(F174,Naturezas!B:B,Naturezas!E:E,"",0,1),"")</f>
        <v/>
      </c>
      <c r="T174" s="4" t="str">
        <f>IF($F174&lt;&gt;"",_xlfn.XLOOKUP($F174,Naturezas!B:B,Naturezas!D:D,"",0,1),"")</f>
        <v/>
      </c>
      <c r="U174" s="5" t="str">
        <f>IF(F174&lt;&gt;"",IF(OR(F174=Naturezas!$B$3,F174=Naturezas!$B$4,F174=Naturezas!$B$5,F174=Naturezas!$B$17,F174=Naturezas!$B$18,F174=Naturezas!$B$19),H174,-H174),"")</f>
        <v/>
      </c>
      <c r="V174" s="4" t="str">
        <f t="shared" si="13"/>
        <v/>
      </c>
      <c r="W174" s="4"/>
      <c r="X174" s="4" t="str">
        <f t="shared" si="14"/>
        <v/>
      </c>
      <c r="Y174" s="6" t="str">
        <f>IF(F174&lt;&gt;"",Tabela1[[#This Row],[Iniciais]],"")</f>
        <v/>
      </c>
      <c r="AA174" s="6" t="str">
        <f>IF($F174&lt;&gt;"",RIGHT(Tabela1[[#This Row],[Ref.]],2),"")</f>
        <v/>
      </c>
      <c r="AB174" s="46" t="str">
        <f>IF($F174&lt;&gt;"",DATE(LEFT(Tabela1[[#This Row],[Ref.]],4),RIGHT(Tabela1[[#This Row],[Ref.]],2),1),"")</f>
        <v/>
      </c>
      <c r="AC174" s="4" t="str">
        <f t="shared" si="15"/>
        <v/>
      </c>
      <c r="AD174" s="5" t="str">
        <f t="shared" si="16"/>
        <v/>
      </c>
      <c r="AE174" s="4"/>
      <c r="AF174" s="6" t="str">
        <f t="shared" si="17"/>
        <v/>
      </c>
    </row>
    <row r="175" spans="1:32" ht="15.75" customHeight="1" x14ac:dyDescent="0.2">
      <c r="A175" s="42"/>
      <c r="B175" s="44"/>
      <c r="C175" s="41"/>
      <c r="D175" s="41"/>
      <c r="E175" s="41"/>
      <c r="F175" s="11"/>
      <c r="G175" s="11"/>
      <c r="H175" s="43"/>
      <c r="K175" s="25"/>
      <c r="L175" s="2"/>
      <c r="M175" s="31"/>
      <c r="N175" s="31"/>
      <c r="O175" s="35"/>
      <c r="P175" s="3"/>
      <c r="Q175" s="6" t="str">
        <f>IF($F175&lt;&gt;"",RIGHT(Tabela1[[#This Row],[Ref.]],2),"")</f>
        <v/>
      </c>
      <c r="R175" s="6" t="str">
        <f t="shared" si="12"/>
        <v/>
      </c>
      <c r="S175" s="4" t="str">
        <f>IF($F175&lt;&gt;"",_xlfn.XLOOKUP(F175,Naturezas!B:B,Naturezas!E:E,"",0,1),"")</f>
        <v/>
      </c>
      <c r="T175" s="4" t="str">
        <f>IF($F175&lt;&gt;"",_xlfn.XLOOKUP($F175,Naturezas!B:B,Naturezas!D:D,"",0,1),"")</f>
        <v/>
      </c>
      <c r="U175" s="5" t="str">
        <f>IF(F175&lt;&gt;"",IF(OR(F175=Naturezas!$B$3,F175=Naturezas!$B$4,F175=Naturezas!$B$5,F175=Naturezas!$B$17,F175=Naturezas!$B$18,F175=Naturezas!$B$19),H175,-H175),"")</f>
        <v/>
      </c>
      <c r="V175" s="4" t="str">
        <f t="shared" si="13"/>
        <v/>
      </c>
      <c r="W175" s="4"/>
      <c r="X175" s="4" t="str">
        <f t="shared" si="14"/>
        <v/>
      </c>
      <c r="Y175" s="6" t="str">
        <f>IF(F175&lt;&gt;"",Tabela1[[#This Row],[Iniciais]],"")</f>
        <v/>
      </c>
      <c r="AA175" s="6" t="str">
        <f>IF($F175&lt;&gt;"",RIGHT(Tabela1[[#This Row],[Ref.]],2),"")</f>
        <v/>
      </c>
      <c r="AB175" s="46" t="str">
        <f>IF($F175&lt;&gt;"",DATE(LEFT(Tabela1[[#This Row],[Ref.]],4),RIGHT(Tabela1[[#This Row],[Ref.]],2),1),"")</f>
        <v/>
      </c>
      <c r="AC175" s="4" t="str">
        <f t="shared" si="15"/>
        <v/>
      </c>
      <c r="AD175" s="5" t="str">
        <f t="shared" si="16"/>
        <v/>
      </c>
      <c r="AE175" s="4"/>
      <c r="AF175" s="6" t="str">
        <f t="shared" si="17"/>
        <v/>
      </c>
    </row>
    <row r="176" spans="1:32" ht="15.75" customHeight="1" x14ac:dyDescent="0.2">
      <c r="A176" s="42"/>
      <c r="B176" s="44"/>
      <c r="C176" s="41"/>
      <c r="D176" s="41"/>
      <c r="E176" s="41"/>
      <c r="F176" s="11"/>
      <c r="G176" s="11"/>
      <c r="H176" s="43"/>
      <c r="K176" s="25"/>
      <c r="L176" s="2"/>
      <c r="M176" s="31"/>
      <c r="N176" s="31"/>
      <c r="O176" s="35"/>
      <c r="P176" s="3"/>
      <c r="Q176" s="6" t="str">
        <f>IF($F176&lt;&gt;"",RIGHT(Tabela1[[#This Row],[Ref.]],2),"")</f>
        <v/>
      </c>
      <c r="R176" s="6" t="str">
        <f t="shared" si="12"/>
        <v/>
      </c>
      <c r="S176" s="4" t="str">
        <f>IF($F176&lt;&gt;"",_xlfn.XLOOKUP(F176,Naturezas!B:B,Naturezas!E:E,"",0,1),"")</f>
        <v/>
      </c>
      <c r="T176" s="4" t="str">
        <f>IF($F176&lt;&gt;"",_xlfn.XLOOKUP($F176,Naturezas!B:B,Naturezas!D:D,"",0,1),"")</f>
        <v/>
      </c>
      <c r="U176" s="5" t="str">
        <f>IF(F176&lt;&gt;"",IF(OR(F176=Naturezas!$B$3,F176=Naturezas!$B$4,F176=Naturezas!$B$5,F176=Naturezas!$B$17,F176=Naturezas!$B$18,F176=Naturezas!$B$19),H176,-H176),"")</f>
        <v/>
      </c>
      <c r="V176" s="4" t="str">
        <f t="shared" si="13"/>
        <v/>
      </c>
      <c r="W176" s="4"/>
      <c r="X176" s="4" t="str">
        <f t="shared" si="14"/>
        <v/>
      </c>
      <c r="Y176" s="6" t="str">
        <f>IF(F176&lt;&gt;"",Tabela1[[#This Row],[Iniciais]],"")</f>
        <v/>
      </c>
      <c r="AA176" s="6" t="str">
        <f>IF($F176&lt;&gt;"",RIGHT(Tabela1[[#This Row],[Ref.]],2),"")</f>
        <v/>
      </c>
      <c r="AB176" s="46" t="str">
        <f>IF($F176&lt;&gt;"",DATE(LEFT(Tabela1[[#This Row],[Ref.]],4),RIGHT(Tabela1[[#This Row],[Ref.]],2),1),"")</f>
        <v/>
      </c>
      <c r="AC176" s="4" t="str">
        <f t="shared" si="15"/>
        <v/>
      </c>
      <c r="AD176" s="5" t="str">
        <f t="shared" si="16"/>
        <v/>
      </c>
      <c r="AE176" s="4"/>
      <c r="AF176" s="6" t="str">
        <f t="shared" si="17"/>
        <v/>
      </c>
    </row>
    <row r="177" spans="1:32" ht="15.75" customHeight="1" x14ac:dyDescent="0.2">
      <c r="A177" s="42"/>
      <c r="B177" s="44"/>
      <c r="C177" s="41"/>
      <c r="D177" s="41"/>
      <c r="E177" s="41"/>
      <c r="F177" s="11"/>
      <c r="G177" s="11"/>
      <c r="H177" s="43"/>
      <c r="K177" s="25"/>
      <c r="L177" s="2"/>
      <c r="M177" s="31"/>
      <c r="N177" s="31"/>
      <c r="O177" s="35"/>
      <c r="P177" s="3"/>
      <c r="Q177" s="6" t="str">
        <f>IF($F177&lt;&gt;"",RIGHT(Tabela1[[#This Row],[Ref.]],2),"")</f>
        <v/>
      </c>
      <c r="R177" s="6" t="str">
        <f t="shared" si="12"/>
        <v/>
      </c>
      <c r="S177" s="4" t="str">
        <f>IF($F177&lt;&gt;"",_xlfn.XLOOKUP(F177,Naturezas!B:B,Naturezas!E:E,"",0,1),"")</f>
        <v/>
      </c>
      <c r="T177" s="4" t="str">
        <f>IF($F177&lt;&gt;"",_xlfn.XLOOKUP($F177,Naturezas!B:B,Naturezas!D:D,"",0,1),"")</f>
        <v/>
      </c>
      <c r="U177" s="5" t="str">
        <f>IF(F177&lt;&gt;"",IF(OR(F177=Naturezas!$B$3,F177=Naturezas!$B$4,F177=Naturezas!$B$5,F177=Naturezas!$B$17,F177=Naturezas!$B$18,F177=Naturezas!$B$19),H177,-H177),"")</f>
        <v/>
      </c>
      <c r="V177" s="4" t="str">
        <f t="shared" si="13"/>
        <v/>
      </c>
      <c r="W177" s="4"/>
      <c r="X177" s="4" t="str">
        <f t="shared" si="14"/>
        <v/>
      </c>
      <c r="Y177" s="6" t="str">
        <f>IF(F177&lt;&gt;"",Tabela1[[#This Row],[Iniciais]],"")</f>
        <v/>
      </c>
      <c r="AA177" s="6" t="str">
        <f>IF($F177&lt;&gt;"",RIGHT(Tabela1[[#This Row],[Ref.]],2),"")</f>
        <v/>
      </c>
      <c r="AB177" s="46" t="str">
        <f>IF($F177&lt;&gt;"",DATE(LEFT(Tabela1[[#This Row],[Ref.]],4),RIGHT(Tabela1[[#This Row],[Ref.]],2),1),"")</f>
        <v/>
      </c>
      <c r="AC177" s="4" t="str">
        <f t="shared" si="15"/>
        <v/>
      </c>
      <c r="AD177" s="5" t="str">
        <f t="shared" si="16"/>
        <v/>
      </c>
      <c r="AE177" s="4"/>
      <c r="AF177" s="6" t="str">
        <f t="shared" si="17"/>
        <v/>
      </c>
    </row>
    <row r="178" spans="1:32" ht="15.75" customHeight="1" x14ac:dyDescent="0.2">
      <c r="A178" s="42"/>
      <c r="B178" s="44"/>
      <c r="C178" s="41"/>
      <c r="D178" s="41"/>
      <c r="E178" s="41"/>
      <c r="F178" s="11"/>
      <c r="G178" s="11"/>
      <c r="H178" s="43"/>
      <c r="K178" s="25"/>
      <c r="L178" s="2"/>
      <c r="M178" s="31"/>
      <c r="N178" s="31"/>
      <c r="O178" s="35"/>
      <c r="P178" s="3"/>
      <c r="Q178" s="6" t="str">
        <f>IF($F178&lt;&gt;"",RIGHT(Tabela1[[#This Row],[Ref.]],2),"")</f>
        <v/>
      </c>
      <c r="R178" s="6" t="str">
        <f t="shared" si="12"/>
        <v/>
      </c>
      <c r="S178" s="4" t="str">
        <f>IF($F178&lt;&gt;"",_xlfn.XLOOKUP(F178,Naturezas!B:B,Naturezas!E:E,"",0,1),"")</f>
        <v/>
      </c>
      <c r="T178" s="4" t="str">
        <f>IF($F178&lt;&gt;"",_xlfn.XLOOKUP($F178,Naturezas!B:B,Naturezas!D:D,"",0,1),"")</f>
        <v/>
      </c>
      <c r="U178" s="5" t="str">
        <f>IF(F178&lt;&gt;"",IF(OR(F178=Naturezas!$B$3,F178=Naturezas!$B$4,F178=Naturezas!$B$5,F178=Naturezas!$B$17,F178=Naturezas!$B$18,F178=Naturezas!$B$19),H178,-H178),"")</f>
        <v/>
      </c>
      <c r="V178" s="4" t="str">
        <f t="shared" si="13"/>
        <v/>
      </c>
      <c r="W178" s="4"/>
      <c r="X178" s="4" t="str">
        <f t="shared" si="14"/>
        <v/>
      </c>
      <c r="Y178" s="6" t="str">
        <f>IF(F178&lt;&gt;"",Tabela1[[#This Row],[Iniciais]],"")</f>
        <v/>
      </c>
      <c r="AA178" s="6" t="str">
        <f>IF($F178&lt;&gt;"",RIGHT(Tabela1[[#This Row],[Ref.]],2),"")</f>
        <v/>
      </c>
      <c r="AB178" s="46" t="str">
        <f>IF($F178&lt;&gt;"",DATE(LEFT(Tabela1[[#This Row],[Ref.]],4),RIGHT(Tabela1[[#This Row],[Ref.]],2),1),"")</f>
        <v/>
      </c>
      <c r="AC178" s="4" t="str">
        <f t="shared" si="15"/>
        <v/>
      </c>
      <c r="AD178" s="5" t="str">
        <f t="shared" si="16"/>
        <v/>
      </c>
      <c r="AE178" s="4"/>
      <c r="AF178" s="6" t="str">
        <f t="shared" si="17"/>
        <v/>
      </c>
    </row>
    <row r="179" spans="1:32" ht="15.75" customHeight="1" x14ac:dyDescent="0.2">
      <c r="A179" s="42"/>
      <c r="B179" s="44"/>
      <c r="C179" s="41"/>
      <c r="D179" s="41"/>
      <c r="E179" s="41"/>
      <c r="F179" s="11"/>
      <c r="G179" s="11"/>
      <c r="H179" s="43"/>
      <c r="K179" s="25"/>
      <c r="L179" s="2"/>
      <c r="M179" s="31"/>
      <c r="N179" s="31"/>
      <c r="O179" s="35"/>
      <c r="P179" s="3"/>
      <c r="Q179" s="6" t="str">
        <f>IF($F179&lt;&gt;"",RIGHT(Tabela1[[#This Row],[Ref.]],2),"")</f>
        <v/>
      </c>
      <c r="R179" s="6" t="str">
        <f t="shared" si="12"/>
        <v/>
      </c>
      <c r="S179" s="4" t="str">
        <f>IF($F179&lt;&gt;"",_xlfn.XLOOKUP(F179,Naturezas!B:B,Naturezas!E:E,"",0,1),"")</f>
        <v/>
      </c>
      <c r="T179" s="4" t="str">
        <f>IF($F179&lt;&gt;"",_xlfn.XLOOKUP($F179,Naturezas!B:B,Naturezas!D:D,"",0,1),"")</f>
        <v/>
      </c>
      <c r="U179" s="5" t="str">
        <f>IF(F179&lt;&gt;"",IF(OR(F179=Naturezas!$B$3,F179=Naturezas!$B$4,F179=Naturezas!$B$5,F179=Naturezas!$B$17,F179=Naturezas!$B$18,F179=Naturezas!$B$19),H179,-H179),"")</f>
        <v/>
      </c>
      <c r="V179" s="4" t="str">
        <f t="shared" si="13"/>
        <v/>
      </c>
      <c r="W179" s="4"/>
      <c r="X179" s="4" t="str">
        <f t="shared" si="14"/>
        <v/>
      </c>
      <c r="Y179" s="6" t="str">
        <f>IF(F179&lt;&gt;"",Tabela1[[#This Row],[Iniciais]],"")</f>
        <v/>
      </c>
      <c r="AA179" s="6" t="str">
        <f>IF($F179&lt;&gt;"",RIGHT(Tabela1[[#This Row],[Ref.]],2),"")</f>
        <v/>
      </c>
      <c r="AB179" s="46" t="str">
        <f>IF($F179&lt;&gt;"",DATE(LEFT(Tabela1[[#This Row],[Ref.]],4),RIGHT(Tabela1[[#This Row],[Ref.]],2),1),"")</f>
        <v/>
      </c>
      <c r="AC179" s="4" t="str">
        <f t="shared" si="15"/>
        <v/>
      </c>
      <c r="AD179" s="5" t="str">
        <f t="shared" si="16"/>
        <v/>
      </c>
      <c r="AE179" s="4"/>
      <c r="AF179" s="6" t="str">
        <f t="shared" si="17"/>
        <v/>
      </c>
    </row>
    <row r="180" spans="1:32" ht="15.75" customHeight="1" x14ac:dyDescent="0.2">
      <c r="A180" s="42"/>
      <c r="B180" s="44"/>
      <c r="C180" s="41"/>
      <c r="D180" s="41"/>
      <c r="E180" s="41"/>
      <c r="F180" s="11"/>
      <c r="G180" s="11"/>
      <c r="H180" s="43"/>
      <c r="K180" s="25"/>
      <c r="L180" s="2"/>
      <c r="M180" s="31"/>
      <c r="N180" s="31"/>
      <c r="O180" s="35"/>
      <c r="P180" s="3"/>
      <c r="Q180" s="6" t="str">
        <f>IF($F180&lt;&gt;"",RIGHT(Tabela1[[#This Row],[Ref.]],2),"")</f>
        <v/>
      </c>
      <c r="R180" s="6" t="str">
        <f t="shared" si="12"/>
        <v/>
      </c>
      <c r="S180" s="4" t="str">
        <f>IF($F180&lt;&gt;"",_xlfn.XLOOKUP(F180,Naturezas!B:B,Naturezas!E:E,"",0,1),"")</f>
        <v/>
      </c>
      <c r="T180" s="4" t="str">
        <f>IF($F180&lt;&gt;"",_xlfn.XLOOKUP($F180,Naturezas!B:B,Naturezas!D:D,"",0,1),"")</f>
        <v/>
      </c>
      <c r="U180" s="5" t="str">
        <f>IF(F180&lt;&gt;"",IF(OR(F180=Naturezas!$B$3,F180=Naturezas!$B$4,F180=Naturezas!$B$5,F180=Naturezas!$B$17,F180=Naturezas!$B$18,F180=Naturezas!$B$19),H180,-H180),"")</f>
        <v/>
      </c>
      <c r="V180" s="4" t="str">
        <f t="shared" si="13"/>
        <v/>
      </c>
      <c r="W180" s="4"/>
      <c r="X180" s="4" t="str">
        <f t="shared" si="14"/>
        <v/>
      </c>
      <c r="Y180" s="6" t="str">
        <f>IF(F180&lt;&gt;"",Tabela1[[#This Row],[Iniciais]],"")</f>
        <v/>
      </c>
      <c r="AA180" s="6" t="str">
        <f>IF($F180&lt;&gt;"",RIGHT(Tabela1[[#This Row],[Ref.]],2),"")</f>
        <v/>
      </c>
      <c r="AB180" s="46" t="str">
        <f>IF($F180&lt;&gt;"",DATE(LEFT(Tabela1[[#This Row],[Ref.]],4),RIGHT(Tabela1[[#This Row],[Ref.]],2),1),"")</f>
        <v/>
      </c>
      <c r="AC180" s="4" t="str">
        <f t="shared" si="15"/>
        <v/>
      </c>
      <c r="AD180" s="5" t="str">
        <f t="shared" si="16"/>
        <v/>
      </c>
      <c r="AE180" s="4"/>
      <c r="AF180" s="6" t="str">
        <f t="shared" si="17"/>
        <v/>
      </c>
    </row>
    <row r="181" spans="1:32" ht="15.75" customHeight="1" x14ac:dyDescent="0.2">
      <c r="A181" s="42"/>
      <c r="B181" s="44"/>
      <c r="C181" s="41"/>
      <c r="D181" s="41"/>
      <c r="E181" s="41"/>
      <c r="F181" s="11"/>
      <c r="G181" s="11"/>
      <c r="H181" s="43"/>
      <c r="K181" s="25"/>
      <c r="L181" s="2"/>
      <c r="M181" s="31"/>
      <c r="N181" s="31"/>
      <c r="O181" s="35"/>
      <c r="P181" s="3"/>
      <c r="Q181" s="6" t="str">
        <f>IF($F181&lt;&gt;"",RIGHT(Tabela1[[#This Row],[Ref.]],2),"")</f>
        <v/>
      </c>
      <c r="R181" s="6" t="str">
        <f t="shared" si="12"/>
        <v/>
      </c>
      <c r="S181" s="4" t="str">
        <f>IF($F181&lt;&gt;"",_xlfn.XLOOKUP(F181,Naturezas!B:B,Naturezas!E:E,"",0,1),"")</f>
        <v/>
      </c>
      <c r="T181" s="4" t="str">
        <f>IF($F181&lt;&gt;"",_xlfn.XLOOKUP($F181,Naturezas!B:B,Naturezas!D:D,"",0,1),"")</f>
        <v/>
      </c>
      <c r="U181" s="5" t="str">
        <f>IF(F181&lt;&gt;"",IF(OR(F181=Naturezas!$B$3,F181=Naturezas!$B$4,F181=Naturezas!$B$5,F181=Naturezas!$B$17,F181=Naturezas!$B$18,F181=Naturezas!$B$19),H181,-H181),"")</f>
        <v/>
      </c>
      <c r="V181" s="4" t="str">
        <f t="shared" si="13"/>
        <v/>
      </c>
      <c r="W181" s="4"/>
      <c r="X181" s="4" t="str">
        <f t="shared" si="14"/>
        <v/>
      </c>
      <c r="Y181" s="6" t="str">
        <f>IF(F181&lt;&gt;"",Tabela1[[#This Row],[Iniciais]],"")</f>
        <v/>
      </c>
      <c r="AA181" s="6" t="str">
        <f>IF($F181&lt;&gt;"",RIGHT(Tabela1[[#This Row],[Ref.]],2),"")</f>
        <v/>
      </c>
      <c r="AB181" s="46" t="str">
        <f>IF($F181&lt;&gt;"",DATE(LEFT(Tabela1[[#This Row],[Ref.]],4),RIGHT(Tabela1[[#This Row],[Ref.]],2),1),"")</f>
        <v/>
      </c>
      <c r="AC181" s="4" t="str">
        <f t="shared" si="15"/>
        <v/>
      </c>
      <c r="AD181" s="5" t="str">
        <f t="shared" si="16"/>
        <v/>
      </c>
      <c r="AE181" s="4"/>
      <c r="AF181" s="6" t="str">
        <f t="shared" si="17"/>
        <v/>
      </c>
    </row>
    <row r="182" spans="1:32" ht="15.75" customHeight="1" x14ac:dyDescent="0.2">
      <c r="A182" s="42"/>
      <c r="B182" s="44"/>
      <c r="C182" s="41"/>
      <c r="D182" s="41"/>
      <c r="E182" s="41"/>
      <c r="F182" s="11"/>
      <c r="G182" s="11"/>
      <c r="H182" s="43"/>
      <c r="K182" s="25"/>
      <c r="L182" s="2"/>
      <c r="M182" s="31"/>
      <c r="N182" s="31"/>
      <c r="O182" s="35"/>
      <c r="P182" s="3"/>
      <c r="Q182" s="6" t="str">
        <f>IF($F182&lt;&gt;"",RIGHT(Tabela1[[#This Row],[Ref.]],2),"")</f>
        <v/>
      </c>
      <c r="R182" s="6" t="str">
        <f t="shared" si="12"/>
        <v/>
      </c>
      <c r="S182" s="4" t="str">
        <f>IF($F182&lt;&gt;"",_xlfn.XLOOKUP(F182,Naturezas!B:B,Naturezas!E:E,"",0,1),"")</f>
        <v/>
      </c>
      <c r="T182" s="4" t="str">
        <f>IF($F182&lt;&gt;"",_xlfn.XLOOKUP($F182,Naturezas!B:B,Naturezas!D:D,"",0,1),"")</f>
        <v/>
      </c>
      <c r="U182" s="5" t="str">
        <f>IF(F182&lt;&gt;"",IF(OR(F182=Naturezas!$B$3,F182=Naturezas!$B$4,F182=Naturezas!$B$5,F182=Naturezas!$B$17,F182=Naturezas!$B$18,F182=Naturezas!$B$19),H182,-H182),"")</f>
        <v/>
      </c>
      <c r="V182" s="4" t="str">
        <f t="shared" si="13"/>
        <v/>
      </c>
      <c r="W182" s="4"/>
      <c r="X182" s="4" t="str">
        <f t="shared" si="14"/>
        <v/>
      </c>
      <c r="Y182" s="6" t="str">
        <f>IF(F182&lt;&gt;"",Tabela1[[#This Row],[Iniciais]],"")</f>
        <v/>
      </c>
      <c r="AA182" s="6" t="str">
        <f>IF($F182&lt;&gt;"",RIGHT(Tabela1[[#This Row],[Ref.]],2),"")</f>
        <v/>
      </c>
      <c r="AB182" s="46" t="str">
        <f>IF($F182&lt;&gt;"",DATE(LEFT(Tabela1[[#This Row],[Ref.]],4),RIGHT(Tabela1[[#This Row],[Ref.]],2),1),"")</f>
        <v/>
      </c>
      <c r="AC182" s="4" t="str">
        <f t="shared" si="15"/>
        <v/>
      </c>
      <c r="AD182" s="5" t="str">
        <f t="shared" si="16"/>
        <v/>
      </c>
      <c r="AE182" s="4"/>
      <c r="AF182" s="6" t="str">
        <f t="shared" si="17"/>
        <v/>
      </c>
    </row>
    <row r="183" spans="1:32" ht="15.75" customHeight="1" x14ac:dyDescent="0.2">
      <c r="A183" s="42"/>
      <c r="B183" s="44"/>
      <c r="C183" s="41"/>
      <c r="D183" s="41"/>
      <c r="E183" s="41"/>
      <c r="F183" s="11"/>
      <c r="G183" s="11"/>
      <c r="H183" s="43"/>
      <c r="K183" s="25"/>
      <c r="L183" s="2"/>
      <c r="M183" s="31"/>
      <c r="N183" s="31"/>
      <c r="O183" s="35"/>
      <c r="P183" s="3"/>
      <c r="Q183" s="6" t="str">
        <f>IF($F183&lt;&gt;"",RIGHT(Tabela1[[#This Row],[Ref.]],2),"")</f>
        <v/>
      </c>
      <c r="R183" s="6" t="str">
        <f t="shared" si="12"/>
        <v/>
      </c>
      <c r="S183" s="4" t="str">
        <f>IF($F183&lt;&gt;"",_xlfn.XLOOKUP(F183,Naturezas!B:B,Naturezas!E:E,"",0,1),"")</f>
        <v/>
      </c>
      <c r="T183" s="4" t="str">
        <f>IF($F183&lt;&gt;"",_xlfn.XLOOKUP($F183,Naturezas!B:B,Naturezas!D:D,"",0,1),"")</f>
        <v/>
      </c>
      <c r="U183" s="5" t="str">
        <f>IF(F183&lt;&gt;"",IF(OR(F183=Naturezas!$B$3,F183=Naturezas!$B$4,F183=Naturezas!$B$5,F183=Naturezas!$B$17,F183=Naturezas!$B$18,F183=Naturezas!$B$19),H183,-H183),"")</f>
        <v/>
      </c>
      <c r="V183" s="4" t="str">
        <f t="shared" si="13"/>
        <v/>
      </c>
      <c r="W183" s="4"/>
      <c r="X183" s="4" t="str">
        <f t="shared" si="14"/>
        <v/>
      </c>
      <c r="Y183" s="6" t="str">
        <f>IF(F183&lt;&gt;"",Tabela1[[#This Row],[Iniciais]],"")</f>
        <v/>
      </c>
      <c r="AA183" s="6" t="str">
        <f>IF($F183&lt;&gt;"",RIGHT(Tabela1[[#This Row],[Ref.]],2),"")</f>
        <v/>
      </c>
      <c r="AB183" s="46" t="str">
        <f>IF($F183&lt;&gt;"",DATE(LEFT(Tabela1[[#This Row],[Ref.]],4),RIGHT(Tabela1[[#This Row],[Ref.]],2),1),"")</f>
        <v/>
      </c>
      <c r="AC183" s="4" t="str">
        <f t="shared" si="15"/>
        <v/>
      </c>
      <c r="AD183" s="5" t="str">
        <f t="shared" si="16"/>
        <v/>
      </c>
      <c r="AE183" s="4"/>
      <c r="AF183" s="6" t="str">
        <f t="shared" si="17"/>
        <v/>
      </c>
    </row>
    <row r="184" spans="1:32" ht="15.75" customHeight="1" x14ac:dyDescent="0.2">
      <c r="A184" s="42"/>
      <c r="B184" s="44"/>
      <c r="C184" s="41"/>
      <c r="D184" s="41"/>
      <c r="E184" s="41"/>
      <c r="F184" s="11"/>
      <c r="G184" s="11"/>
      <c r="H184" s="43"/>
      <c r="K184" s="25"/>
      <c r="L184" s="2"/>
      <c r="M184" s="31"/>
      <c r="N184" s="31"/>
      <c r="O184" s="35"/>
      <c r="P184" s="3"/>
      <c r="Q184" s="6" t="str">
        <f>IF($F184&lt;&gt;"",RIGHT(Tabela1[[#This Row],[Ref.]],2),"")</f>
        <v/>
      </c>
      <c r="R184" s="6" t="str">
        <f t="shared" si="12"/>
        <v/>
      </c>
      <c r="S184" s="4" t="str">
        <f>IF($F184&lt;&gt;"",_xlfn.XLOOKUP(F184,Naturezas!B:B,Naturezas!E:E,"",0,1),"")</f>
        <v/>
      </c>
      <c r="T184" s="4" t="str">
        <f>IF($F184&lt;&gt;"",_xlfn.XLOOKUP($F184,Naturezas!B:B,Naturezas!D:D,"",0,1),"")</f>
        <v/>
      </c>
      <c r="U184" s="5" t="str">
        <f>IF(F184&lt;&gt;"",IF(OR(F184=Naturezas!$B$3,F184=Naturezas!$B$4,F184=Naturezas!$B$5,F184=Naturezas!$B$17,F184=Naturezas!$B$18,F184=Naturezas!$B$19),H184,-H184),"")</f>
        <v/>
      </c>
      <c r="V184" s="4" t="str">
        <f t="shared" si="13"/>
        <v/>
      </c>
      <c r="W184" s="4"/>
      <c r="X184" s="4" t="str">
        <f t="shared" si="14"/>
        <v/>
      </c>
      <c r="Y184" s="6" t="str">
        <f>IF(F184&lt;&gt;"",Tabela1[[#This Row],[Iniciais]],"")</f>
        <v/>
      </c>
      <c r="AA184" s="6" t="str">
        <f>IF($F184&lt;&gt;"",RIGHT(Tabela1[[#This Row],[Ref.]],2),"")</f>
        <v/>
      </c>
      <c r="AB184" s="46" t="str">
        <f>IF($F184&lt;&gt;"",DATE(LEFT(Tabela1[[#This Row],[Ref.]],4),RIGHT(Tabela1[[#This Row],[Ref.]],2),1),"")</f>
        <v/>
      </c>
      <c r="AC184" s="4" t="str">
        <f t="shared" si="15"/>
        <v/>
      </c>
      <c r="AD184" s="5" t="str">
        <f t="shared" si="16"/>
        <v/>
      </c>
      <c r="AE184" s="4"/>
      <c r="AF184" s="6" t="str">
        <f t="shared" si="17"/>
        <v/>
      </c>
    </row>
    <row r="185" spans="1:32" ht="15.75" customHeight="1" x14ac:dyDescent="0.2">
      <c r="A185" s="42"/>
      <c r="B185" s="44"/>
      <c r="C185" s="41"/>
      <c r="D185" s="41"/>
      <c r="E185" s="41"/>
      <c r="F185" s="11"/>
      <c r="G185" s="11"/>
      <c r="H185" s="43"/>
      <c r="K185" s="25"/>
      <c r="L185" s="2"/>
      <c r="M185" s="31"/>
      <c r="N185" s="31"/>
      <c r="O185" s="35"/>
      <c r="P185" s="3"/>
      <c r="Q185" s="6" t="str">
        <f>IF($F185&lt;&gt;"",RIGHT(Tabela1[[#This Row],[Ref.]],2),"")</f>
        <v/>
      </c>
      <c r="R185" s="6" t="str">
        <f t="shared" si="12"/>
        <v/>
      </c>
      <c r="S185" s="4" t="str">
        <f>IF($F185&lt;&gt;"",_xlfn.XLOOKUP(F185,Naturezas!B:B,Naturezas!E:E,"",0,1),"")</f>
        <v/>
      </c>
      <c r="T185" s="4" t="str">
        <f>IF($F185&lt;&gt;"",_xlfn.XLOOKUP($F185,Naturezas!B:B,Naturezas!D:D,"",0,1),"")</f>
        <v/>
      </c>
      <c r="U185" s="5" t="str">
        <f>IF(F185&lt;&gt;"",IF(OR(F185=Naturezas!$B$3,F185=Naturezas!$B$4,F185=Naturezas!$B$5,F185=Naturezas!$B$17,F185=Naturezas!$B$18,F185=Naturezas!$B$19),H185,-H185),"")</f>
        <v/>
      </c>
      <c r="V185" s="4" t="str">
        <f t="shared" si="13"/>
        <v/>
      </c>
      <c r="W185" s="4"/>
      <c r="X185" s="4" t="str">
        <f t="shared" si="14"/>
        <v/>
      </c>
      <c r="Y185" s="6" t="str">
        <f>IF(F185&lt;&gt;"",Tabela1[[#This Row],[Iniciais]],"")</f>
        <v/>
      </c>
      <c r="AA185" s="6" t="str">
        <f>IF($F185&lt;&gt;"",RIGHT(Tabela1[[#This Row],[Ref.]],2),"")</f>
        <v/>
      </c>
      <c r="AB185" s="46" t="str">
        <f>IF($F185&lt;&gt;"",DATE(LEFT(Tabela1[[#This Row],[Ref.]],4),RIGHT(Tabela1[[#This Row],[Ref.]],2),1),"")</f>
        <v/>
      </c>
      <c r="AC185" s="4" t="str">
        <f t="shared" si="15"/>
        <v/>
      </c>
      <c r="AD185" s="5" t="str">
        <f t="shared" si="16"/>
        <v/>
      </c>
      <c r="AE185" s="4"/>
      <c r="AF185" s="6" t="str">
        <f t="shared" si="17"/>
        <v/>
      </c>
    </row>
    <row r="186" spans="1:32" ht="15.75" customHeight="1" x14ac:dyDescent="0.2">
      <c r="A186" s="42"/>
      <c r="B186" s="44"/>
      <c r="C186" s="41"/>
      <c r="D186" s="41"/>
      <c r="E186" s="41"/>
      <c r="F186" s="11"/>
      <c r="G186" s="11"/>
      <c r="H186" s="43"/>
      <c r="K186" s="25"/>
      <c r="L186" s="2"/>
      <c r="M186" s="31"/>
      <c r="N186" s="31"/>
      <c r="O186" s="35"/>
      <c r="P186" s="3"/>
      <c r="Q186" s="6" t="str">
        <f>IF($F186&lt;&gt;"",RIGHT(Tabela1[[#This Row],[Ref.]],2),"")</f>
        <v/>
      </c>
      <c r="R186" s="6" t="str">
        <f t="shared" si="12"/>
        <v/>
      </c>
      <c r="S186" s="4" t="str">
        <f>IF($F186&lt;&gt;"",_xlfn.XLOOKUP(F186,Naturezas!B:B,Naturezas!E:E,"",0,1),"")</f>
        <v/>
      </c>
      <c r="T186" s="4" t="str">
        <f>IF($F186&lt;&gt;"",_xlfn.XLOOKUP($F186,Naturezas!B:B,Naturezas!D:D,"",0,1),"")</f>
        <v/>
      </c>
      <c r="U186" s="5" t="str">
        <f>IF(F186&lt;&gt;"",IF(OR(F186=Naturezas!$B$3,F186=Naturezas!$B$4,F186=Naturezas!$B$5,F186=Naturezas!$B$17,F186=Naturezas!$B$18,F186=Naturezas!$B$19),H186,-H186),"")</f>
        <v/>
      </c>
      <c r="V186" s="4" t="str">
        <f t="shared" si="13"/>
        <v/>
      </c>
      <c r="W186" s="4"/>
      <c r="X186" s="4" t="str">
        <f t="shared" si="14"/>
        <v/>
      </c>
      <c r="Y186" s="6" t="str">
        <f>IF(F186&lt;&gt;"",Tabela1[[#This Row],[Iniciais]],"")</f>
        <v/>
      </c>
      <c r="AA186" s="6" t="str">
        <f>IF($F186&lt;&gt;"",RIGHT(Tabela1[[#This Row],[Ref.]],2),"")</f>
        <v/>
      </c>
      <c r="AB186" s="46" t="str">
        <f>IF($F186&lt;&gt;"",DATE(LEFT(Tabela1[[#This Row],[Ref.]],4),RIGHT(Tabela1[[#This Row],[Ref.]],2),1),"")</f>
        <v/>
      </c>
      <c r="AC186" s="4" t="str">
        <f t="shared" si="15"/>
        <v/>
      </c>
      <c r="AD186" s="5" t="str">
        <f t="shared" si="16"/>
        <v/>
      </c>
      <c r="AE186" s="4"/>
      <c r="AF186" s="6" t="str">
        <f t="shared" si="17"/>
        <v/>
      </c>
    </row>
    <row r="187" spans="1:32" ht="15.75" customHeight="1" x14ac:dyDescent="0.2">
      <c r="A187" s="42"/>
      <c r="B187" s="44"/>
      <c r="C187" s="41"/>
      <c r="D187" s="41"/>
      <c r="E187" s="41"/>
      <c r="F187" s="11"/>
      <c r="G187" s="11"/>
      <c r="H187" s="43"/>
      <c r="K187" s="25"/>
      <c r="L187" s="2"/>
      <c r="M187" s="31"/>
      <c r="N187" s="31"/>
      <c r="O187" s="35"/>
      <c r="P187" s="3"/>
      <c r="Q187" s="6" t="str">
        <f>IF($F187&lt;&gt;"",RIGHT(Tabela1[[#This Row],[Ref.]],2),"")</f>
        <v/>
      </c>
      <c r="R187" s="6" t="str">
        <f t="shared" si="12"/>
        <v/>
      </c>
      <c r="S187" s="4" t="str">
        <f>IF($F187&lt;&gt;"",_xlfn.XLOOKUP(F187,Naturezas!B:B,Naturezas!E:E,"",0,1),"")</f>
        <v/>
      </c>
      <c r="T187" s="4" t="str">
        <f>IF($F187&lt;&gt;"",_xlfn.XLOOKUP($F187,Naturezas!B:B,Naturezas!D:D,"",0,1),"")</f>
        <v/>
      </c>
      <c r="U187" s="5" t="str">
        <f>IF(F187&lt;&gt;"",IF(OR(F187=Naturezas!$B$3,F187=Naturezas!$B$4,F187=Naturezas!$B$5,F187=Naturezas!$B$17,F187=Naturezas!$B$18,F187=Naturezas!$B$19),H187,-H187),"")</f>
        <v/>
      </c>
      <c r="V187" s="4" t="str">
        <f t="shared" si="13"/>
        <v/>
      </c>
      <c r="W187" s="4"/>
      <c r="X187" s="4" t="str">
        <f t="shared" si="14"/>
        <v/>
      </c>
      <c r="Y187" s="6" t="str">
        <f>IF(F187&lt;&gt;"",Tabela1[[#This Row],[Iniciais]],"")</f>
        <v/>
      </c>
      <c r="AA187" s="6" t="str">
        <f>IF($F187&lt;&gt;"",RIGHT(Tabela1[[#This Row],[Ref.]],2),"")</f>
        <v/>
      </c>
      <c r="AB187" s="46" t="str">
        <f>IF($F187&lt;&gt;"",DATE(LEFT(Tabela1[[#This Row],[Ref.]],4),RIGHT(Tabela1[[#This Row],[Ref.]],2),1),"")</f>
        <v/>
      </c>
      <c r="AC187" s="4" t="str">
        <f t="shared" si="15"/>
        <v/>
      </c>
      <c r="AD187" s="5" t="str">
        <f t="shared" si="16"/>
        <v/>
      </c>
      <c r="AE187" s="4"/>
      <c r="AF187" s="6" t="str">
        <f t="shared" si="17"/>
        <v/>
      </c>
    </row>
    <row r="188" spans="1:32" ht="15.75" customHeight="1" x14ac:dyDescent="0.2">
      <c r="A188" s="42"/>
      <c r="B188" s="44"/>
      <c r="C188" s="41"/>
      <c r="D188" s="41"/>
      <c r="E188" s="41"/>
      <c r="F188" s="11"/>
      <c r="G188" s="11"/>
      <c r="H188" s="43"/>
      <c r="K188" s="25"/>
      <c r="L188" s="2"/>
      <c r="M188" s="31"/>
      <c r="N188" s="31"/>
      <c r="O188" s="35"/>
      <c r="P188" s="3"/>
      <c r="Q188" s="6" t="str">
        <f>IF($F188&lt;&gt;"",RIGHT(Tabela1[[#This Row],[Ref.]],2),"")</f>
        <v/>
      </c>
      <c r="R188" s="6" t="str">
        <f t="shared" si="12"/>
        <v/>
      </c>
      <c r="S188" s="4" t="str">
        <f>IF($F188&lt;&gt;"",_xlfn.XLOOKUP(F188,Naturezas!B:B,Naturezas!E:E,"",0,1),"")</f>
        <v/>
      </c>
      <c r="T188" s="4" t="str">
        <f>IF($F188&lt;&gt;"",_xlfn.XLOOKUP($F188,Naturezas!B:B,Naturezas!D:D,"",0,1),"")</f>
        <v/>
      </c>
      <c r="U188" s="5" t="str">
        <f>IF(F188&lt;&gt;"",IF(OR(F188=Naturezas!$B$3,F188=Naturezas!$B$4,F188=Naturezas!$B$5,F188=Naturezas!$B$17,F188=Naturezas!$B$18,F188=Naturezas!$B$19),H188,-H188),"")</f>
        <v/>
      </c>
      <c r="V188" s="4" t="str">
        <f t="shared" si="13"/>
        <v/>
      </c>
      <c r="W188" s="4"/>
      <c r="X188" s="4" t="str">
        <f t="shared" si="14"/>
        <v/>
      </c>
      <c r="Y188" s="6" t="str">
        <f>IF(F188&lt;&gt;"",Tabela1[[#This Row],[Iniciais]],"")</f>
        <v/>
      </c>
      <c r="AA188" s="6" t="str">
        <f>IF($F188&lt;&gt;"",RIGHT(Tabela1[[#This Row],[Ref.]],2),"")</f>
        <v/>
      </c>
      <c r="AB188" s="46" t="str">
        <f>IF($F188&lt;&gt;"",DATE(LEFT(Tabela1[[#This Row],[Ref.]],4),RIGHT(Tabela1[[#This Row],[Ref.]],2),1),"")</f>
        <v/>
      </c>
      <c r="AC188" s="4" t="str">
        <f t="shared" si="15"/>
        <v/>
      </c>
      <c r="AD188" s="5" t="str">
        <f t="shared" si="16"/>
        <v/>
      </c>
      <c r="AE188" s="4"/>
      <c r="AF188" s="6" t="str">
        <f t="shared" si="17"/>
        <v/>
      </c>
    </row>
    <row r="189" spans="1:32" ht="15.75" customHeight="1" x14ac:dyDescent="0.2">
      <c r="A189" s="42"/>
      <c r="B189" s="44"/>
      <c r="C189" s="41"/>
      <c r="D189" s="41"/>
      <c r="E189" s="41"/>
      <c r="F189" s="11"/>
      <c r="G189" s="11"/>
      <c r="H189" s="43"/>
      <c r="K189" s="25"/>
      <c r="L189" s="2"/>
      <c r="M189" s="31"/>
      <c r="N189" s="31"/>
      <c r="O189" s="35"/>
      <c r="P189" s="3"/>
      <c r="Q189" s="6" t="str">
        <f>IF($F189&lt;&gt;"",RIGHT(Tabela1[[#This Row],[Ref.]],2),"")</f>
        <v/>
      </c>
      <c r="R189" s="6" t="str">
        <f t="shared" si="12"/>
        <v/>
      </c>
      <c r="S189" s="4" t="str">
        <f>IF($F189&lt;&gt;"",_xlfn.XLOOKUP(F189,Naturezas!B:B,Naturezas!E:E,"",0,1),"")</f>
        <v/>
      </c>
      <c r="T189" s="4" t="str">
        <f>IF($F189&lt;&gt;"",_xlfn.XLOOKUP($F189,Naturezas!B:B,Naturezas!D:D,"",0,1),"")</f>
        <v/>
      </c>
      <c r="U189" s="5" t="str">
        <f>IF(F189&lt;&gt;"",IF(OR(F189=Naturezas!$B$3,F189=Naturezas!$B$4,F189=Naturezas!$B$5,F189=Naturezas!$B$17,F189=Naturezas!$B$18,F189=Naturezas!$B$19),H189,-H189),"")</f>
        <v/>
      </c>
      <c r="V189" s="4" t="str">
        <f t="shared" si="13"/>
        <v/>
      </c>
      <c r="W189" s="4"/>
      <c r="X189" s="4" t="str">
        <f t="shared" si="14"/>
        <v/>
      </c>
      <c r="Y189" s="6" t="str">
        <f>IF(F189&lt;&gt;"",Tabela1[[#This Row],[Iniciais]],"")</f>
        <v/>
      </c>
      <c r="AA189" s="6" t="str">
        <f>IF($F189&lt;&gt;"",RIGHT(Tabela1[[#This Row],[Ref.]],2),"")</f>
        <v/>
      </c>
      <c r="AB189" s="46" t="str">
        <f>IF($F189&lt;&gt;"",DATE(LEFT(Tabela1[[#This Row],[Ref.]],4),RIGHT(Tabela1[[#This Row],[Ref.]],2),1),"")</f>
        <v/>
      </c>
      <c r="AC189" s="4" t="str">
        <f t="shared" si="15"/>
        <v/>
      </c>
      <c r="AD189" s="5" t="str">
        <f t="shared" si="16"/>
        <v/>
      </c>
      <c r="AE189" s="4"/>
      <c r="AF189" s="6" t="str">
        <f t="shared" si="17"/>
        <v/>
      </c>
    </row>
    <row r="190" spans="1:32" ht="15.75" customHeight="1" x14ac:dyDescent="0.2">
      <c r="A190" s="42"/>
      <c r="B190" s="44"/>
      <c r="C190" s="41"/>
      <c r="D190" s="41"/>
      <c r="E190" s="41"/>
      <c r="F190" s="11"/>
      <c r="G190" s="11"/>
      <c r="H190" s="43"/>
      <c r="K190" s="25"/>
      <c r="L190" s="2"/>
      <c r="M190" s="31"/>
      <c r="N190" s="31"/>
      <c r="O190" s="35"/>
      <c r="P190" s="3"/>
      <c r="Q190" s="6" t="str">
        <f>IF($F190&lt;&gt;"",RIGHT(Tabela1[[#This Row],[Ref.]],2),"")</f>
        <v/>
      </c>
      <c r="R190" s="6" t="str">
        <f t="shared" si="12"/>
        <v/>
      </c>
      <c r="S190" s="4" t="str">
        <f>IF($F190&lt;&gt;"",_xlfn.XLOOKUP(F190,Naturezas!B:B,Naturezas!E:E,"",0,1),"")</f>
        <v/>
      </c>
      <c r="T190" s="4" t="str">
        <f>IF($F190&lt;&gt;"",_xlfn.XLOOKUP($F190,Naturezas!B:B,Naturezas!D:D,"",0,1),"")</f>
        <v/>
      </c>
      <c r="U190" s="5" t="str">
        <f>IF(F190&lt;&gt;"",IF(OR(F190=Naturezas!$B$3,F190=Naturezas!$B$4,F190=Naturezas!$B$5,F190=Naturezas!$B$17,F190=Naturezas!$B$18,F190=Naturezas!$B$19),H190,-H190),"")</f>
        <v/>
      </c>
      <c r="V190" s="4" t="str">
        <f t="shared" si="13"/>
        <v/>
      </c>
      <c r="W190" s="4"/>
      <c r="X190" s="4" t="str">
        <f t="shared" si="14"/>
        <v/>
      </c>
      <c r="Y190" s="6" t="str">
        <f>IF(F190&lt;&gt;"",Tabela1[[#This Row],[Iniciais]],"")</f>
        <v/>
      </c>
      <c r="AA190" s="6" t="str">
        <f>IF($F190&lt;&gt;"",RIGHT(Tabela1[[#This Row],[Ref.]],2),"")</f>
        <v/>
      </c>
      <c r="AB190" s="46" t="str">
        <f>IF($F190&lt;&gt;"",DATE(LEFT(Tabela1[[#This Row],[Ref.]],4),RIGHT(Tabela1[[#This Row],[Ref.]],2),1),"")</f>
        <v/>
      </c>
      <c r="AC190" s="4" t="str">
        <f t="shared" si="15"/>
        <v/>
      </c>
      <c r="AD190" s="5" t="str">
        <f t="shared" si="16"/>
        <v/>
      </c>
      <c r="AE190" s="4"/>
      <c r="AF190" s="6" t="str">
        <f t="shared" si="17"/>
        <v/>
      </c>
    </row>
    <row r="191" spans="1:32" ht="15.75" customHeight="1" x14ac:dyDescent="0.2">
      <c r="A191" s="42"/>
      <c r="B191" s="44"/>
      <c r="C191" s="41"/>
      <c r="D191" s="41"/>
      <c r="E191" s="41"/>
      <c r="F191" s="11"/>
      <c r="G191" s="11"/>
      <c r="H191" s="43"/>
      <c r="K191" s="25"/>
      <c r="L191" s="2"/>
      <c r="M191" s="31"/>
      <c r="N191" s="31"/>
      <c r="O191" s="35"/>
      <c r="P191" s="3"/>
      <c r="Q191" s="6" t="str">
        <f>IF($F191&lt;&gt;"",RIGHT(Tabela1[[#This Row],[Ref.]],2),"")</f>
        <v/>
      </c>
      <c r="R191" s="6" t="str">
        <f t="shared" si="12"/>
        <v/>
      </c>
      <c r="S191" s="4" t="str">
        <f>IF($F191&lt;&gt;"",_xlfn.XLOOKUP(F191,Naturezas!B:B,Naturezas!E:E,"",0,1),"")</f>
        <v/>
      </c>
      <c r="T191" s="4" t="str">
        <f>IF($F191&lt;&gt;"",_xlfn.XLOOKUP($F191,Naturezas!B:B,Naturezas!D:D,"",0,1),"")</f>
        <v/>
      </c>
      <c r="U191" s="5" t="str">
        <f>IF(F191&lt;&gt;"",IF(OR(F191=Naturezas!$B$3,F191=Naturezas!$B$4,F191=Naturezas!$B$5,F191=Naturezas!$B$17,F191=Naturezas!$B$18,F191=Naturezas!$B$19),H191,-H191),"")</f>
        <v/>
      </c>
      <c r="V191" s="4" t="str">
        <f t="shared" si="13"/>
        <v/>
      </c>
      <c r="W191" s="4"/>
      <c r="X191" s="4" t="str">
        <f t="shared" si="14"/>
        <v/>
      </c>
      <c r="Y191" s="6" t="str">
        <f>IF(F191&lt;&gt;"",Tabela1[[#This Row],[Iniciais]],"")</f>
        <v/>
      </c>
      <c r="AA191" s="6" t="str">
        <f>IF($F191&lt;&gt;"",RIGHT(Tabela1[[#This Row],[Ref.]],2),"")</f>
        <v/>
      </c>
      <c r="AB191" s="46" t="str">
        <f>IF($F191&lt;&gt;"",DATE(LEFT(Tabela1[[#This Row],[Ref.]],4),RIGHT(Tabela1[[#This Row],[Ref.]],2),1),"")</f>
        <v/>
      </c>
      <c r="AC191" s="4" t="str">
        <f t="shared" si="15"/>
        <v/>
      </c>
      <c r="AD191" s="5" t="str">
        <f t="shared" si="16"/>
        <v/>
      </c>
      <c r="AE191" s="4"/>
      <c r="AF191" s="6" t="str">
        <f t="shared" si="17"/>
        <v/>
      </c>
    </row>
    <row r="192" spans="1:32" ht="15.75" customHeight="1" x14ac:dyDescent="0.2">
      <c r="A192" s="42"/>
      <c r="B192" s="44"/>
      <c r="C192" s="41"/>
      <c r="D192" s="41"/>
      <c r="E192" s="41"/>
      <c r="F192" s="11"/>
      <c r="G192" s="11"/>
      <c r="H192" s="43"/>
      <c r="K192" s="25"/>
      <c r="L192" s="2"/>
      <c r="M192" s="31"/>
      <c r="N192" s="31"/>
      <c r="O192" s="35"/>
      <c r="P192" s="3"/>
      <c r="Q192" s="6" t="str">
        <f>IF($F192&lt;&gt;"",RIGHT(Tabela1[[#This Row],[Ref.]],2),"")</f>
        <v/>
      </c>
      <c r="R192" s="6" t="str">
        <f t="shared" si="12"/>
        <v/>
      </c>
      <c r="S192" s="4" t="str">
        <f>IF($F192&lt;&gt;"",_xlfn.XLOOKUP(F192,Naturezas!B:B,Naturezas!E:E,"",0,1),"")</f>
        <v/>
      </c>
      <c r="T192" s="4" t="str">
        <f>IF($F192&lt;&gt;"",_xlfn.XLOOKUP($F192,Naturezas!B:B,Naturezas!D:D,"",0,1),"")</f>
        <v/>
      </c>
      <c r="U192" s="5" t="str">
        <f>IF(F192&lt;&gt;"",IF(OR(F192=Naturezas!$B$3,F192=Naturezas!$B$4,F192=Naturezas!$B$5,F192=Naturezas!$B$17,F192=Naturezas!$B$18,F192=Naturezas!$B$19),H192,-H192),"")</f>
        <v/>
      </c>
      <c r="V192" s="4" t="str">
        <f t="shared" si="13"/>
        <v/>
      </c>
      <c r="W192" s="4"/>
      <c r="X192" s="4" t="str">
        <f t="shared" si="14"/>
        <v/>
      </c>
      <c r="Y192" s="6" t="str">
        <f>IF(F192&lt;&gt;"",Tabela1[[#This Row],[Iniciais]],"")</f>
        <v/>
      </c>
      <c r="AA192" s="6" t="str">
        <f>IF($F192&lt;&gt;"",RIGHT(Tabela1[[#This Row],[Ref.]],2),"")</f>
        <v/>
      </c>
      <c r="AB192" s="46" t="str">
        <f>IF($F192&lt;&gt;"",DATE(LEFT(Tabela1[[#This Row],[Ref.]],4),RIGHT(Tabela1[[#This Row],[Ref.]],2),1),"")</f>
        <v/>
      </c>
      <c r="AC192" s="4" t="str">
        <f t="shared" si="15"/>
        <v/>
      </c>
      <c r="AD192" s="5" t="str">
        <f t="shared" si="16"/>
        <v/>
      </c>
      <c r="AE192" s="4"/>
      <c r="AF192" s="6" t="str">
        <f t="shared" si="17"/>
        <v/>
      </c>
    </row>
    <row r="193" spans="1:32" ht="15.75" customHeight="1" x14ac:dyDescent="0.2">
      <c r="A193" s="42"/>
      <c r="B193" s="44"/>
      <c r="C193" s="41"/>
      <c r="D193" s="41"/>
      <c r="E193" s="41"/>
      <c r="F193" s="11"/>
      <c r="G193" s="11"/>
      <c r="H193" s="43"/>
      <c r="K193" s="25"/>
      <c r="L193" s="2"/>
      <c r="M193" s="31"/>
      <c r="N193" s="31"/>
      <c r="O193" s="35"/>
      <c r="P193" s="3"/>
      <c r="Q193" s="6" t="str">
        <f>IF($F193&lt;&gt;"",RIGHT(Tabela1[[#This Row],[Ref.]],2),"")</f>
        <v/>
      </c>
      <c r="R193" s="6" t="str">
        <f t="shared" si="12"/>
        <v/>
      </c>
      <c r="S193" s="4" t="str">
        <f>IF($F193&lt;&gt;"",_xlfn.XLOOKUP(F193,Naturezas!B:B,Naturezas!E:E,"",0,1),"")</f>
        <v/>
      </c>
      <c r="T193" s="4" t="str">
        <f>IF($F193&lt;&gt;"",_xlfn.XLOOKUP($F193,Naturezas!B:B,Naturezas!D:D,"",0,1),"")</f>
        <v/>
      </c>
      <c r="U193" s="5" t="str">
        <f>IF(F193&lt;&gt;"",IF(OR(F193=Naturezas!$B$3,F193=Naturezas!$B$4,F193=Naturezas!$B$5,F193=Naturezas!$B$17,F193=Naturezas!$B$18,F193=Naturezas!$B$19),H193,-H193),"")</f>
        <v/>
      </c>
      <c r="V193" s="4" t="str">
        <f t="shared" si="13"/>
        <v/>
      </c>
      <c r="W193" s="4"/>
      <c r="X193" s="4" t="str">
        <f t="shared" si="14"/>
        <v/>
      </c>
      <c r="Y193" s="6" t="str">
        <f>IF(F193&lt;&gt;"",Tabela1[[#This Row],[Iniciais]],"")</f>
        <v/>
      </c>
      <c r="AA193" s="6" t="str">
        <f>IF($F193&lt;&gt;"",RIGHT(Tabela1[[#This Row],[Ref.]],2),"")</f>
        <v/>
      </c>
      <c r="AB193" s="46" t="str">
        <f>IF($F193&lt;&gt;"",DATE(LEFT(Tabela1[[#This Row],[Ref.]],4),RIGHT(Tabela1[[#This Row],[Ref.]],2),1),"")</f>
        <v/>
      </c>
      <c r="AC193" s="4" t="str">
        <f t="shared" si="15"/>
        <v/>
      </c>
      <c r="AD193" s="5" t="str">
        <f t="shared" si="16"/>
        <v/>
      </c>
      <c r="AE193" s="4"/>
      <c r="AF193" s="6" t="str">
        <f t="shared" si="17"/>
        <v/>
      </c>
    </row>
    <row r="194" spans="1:32" ht="15.75" customHeight="1" x14ac:dyDescent="0.2">
      <c r="A194" s="42"/>
      <c r="B194" s="44"/>
      <c r="C194" s="41"/>
      <c r="D194" s="41"/>
      <c r="E194" s="41"/>
      <c r="F194" s="11"/>
      <c r="G194" s="11"/>
      <c r="H194" s="43"/>
      <c r="K194" s="25"/>
      <c r="L194" s="2"/>
      <c r="M194" s="31"/>
      <c r="N194" s="31"/>
      <c r="O194" s="35"/>
      <c r="P194" s="3"/>
      <c r="Q194" s="6" t="str">
        <f>IF($F194&lt;&gt;"",RIGHT(Tabela1[[#This Row],[Ref.]],2),"")</f>
        <v/>
      </c>
      <c r="R194" s="6" t="str">
        <f t="shared" si="12"/>
        <v/>
      </c>
      <c r="S194" s="4" t="str">
        <f>IF($F194&lt;&gt;"",_xlfn.XLOOKUP(F194,Naturezas!B:B,Naturezas!E:E,"",0,1),"")</f>
        <v/>
      </c>
      <c r="T194" s="4" t="str">
        <f>IF($F194&lt;&gt;"",_xlfn.XLOOKUP($F194,Naturezas!B:B,Naturezas!D:D,"",0,1),"")</f>
        <v/>
      </c>
      <c r="U194" s="5" t="str">
        <f>IF(F194&lt;&gt;"",IF(OR(F194=Naturezas!$B$3,F194=Naturezas!$B$4,F194=Naturezas!$B$5,F194=Naturezas!$B$17,F194=Naturezas!$B$18,F194=Naturezas!$B$19),H194,-H194),"")</f>
        <v/>
      </c>
      <c r="V194" s="4" t="str">
        <f t="shared" si="13"/>
        <v/>
      </c>
      <c r="W194" s="4"/>
      <c r="X194" s="4" t="str">
        <f t="shared" si="14"/>
        <v/>
      </c>
      <c r="Y194" s="6" t="str">
        <f>IF(F194&lt;&gt;"",Tabela1[[#This Row],[Iniciais]],"")</f>
        <v/>
      </c>
      <c r="AA194" s="6" t="str">
        <f>IF($F194&lt;&gt;"",RIGHT(Tabela1[[#This Row],[Ref.]],2),"")</f>
        <v/>
      </c>
      <c r="AB194" s="46" t="str">
        <f>IF($F194&lt;&gt;"",DATE(LEFT(Tabela1[[#This Row],[Ref.]],4),RIGHT(Tabela1[[#This Row],[Ref.]],2),1),"")</f>
        <v/>
      </c>
      <c r="AC194" s="4" t="str">
        <f t="shared" si="15"/>
        <v/>
      </c>
      <c r="AD194" s="5" t="str">
        <f t="shared" si="16"/>
        <v/>
      </c>
      <c r="AE194" s="4"/>
      <c r="AF194" s="6" t="str">
        <f t="shared" si="17"/>
        <v/>
      </c>
    </row>
    <row r="195" spans="1:32" ht="15.75" customHeight="1" x14ac:dyDescent="0.2">
      <c r="A195" s="42"/>
      <c r="B195" s="44"/>
      <c r="C195" s="41"/>
      <c r="D195" s="41"/>
      <c r="E195" s="41"/>
      <c r="F195" s="11"/>
      <c r="G195" s="11"/>
      <c r="H195" s="43"/>
      <c r="K195" s="25"/>
      <c r="L195" s="2"/>
      <c r="M195" s="31"/>
      <c r="N195" s="31"/>
      <c r="O195" s="35"/>
      <c r="P195" s="3"/>
      <c r="Q195" s="6" t="str">
        <f>IF($F195&lt;&gt;"",RIGHT(Tabela1[[#This Row],[Ref.]],2),"")</f>
        <v/>
      </c>
      <c r="R195" s="6" t="str">
        <f t="shared" si="12"/>
        <v/>
      </c>
      <c r="S195" s="4" t="str">
        <f>IF($F195&lt;&gt;"",_xlfn.XLOOKUP(F195,Naturezas!B:B,Naturezas!E:E,"",0,1),"")</f>
        <v/>
      </c>
      <c r="T195" s="4" t="str">
        <f>IF($F195&lt;&gt;"",_xlfn.XLOOKUP($F195,Naturezas!B:B,Naturezas!D:D,"",0,1),"")</f>
        <v/>
      </c>
      <c r="U195" s="5" t="str">
        <f>IF(F195&lt;&gt;"",IF(OR(F195=Naturezas!$B$3,F195=Naturezas!$B$4,F195=Naturezas!$B$5,F195=Naturezas!$B$17,F195=Naturezas!$B$18,F195=Naturezas!$B$19),H195,-H195),"")</f>
        <v/>
      </c>
      <c r="V195" s="4" t="str">
        <f t="shared" si="13"/>
        <v/>
      </c>
      <c r="W195" s="4"/>
      <c r="X195" s="4" t="str">
        <f t="shared" si="14"/>
        <v/>
      </c>
      <c r="Y195" s="6" t="str">
        <f>IF(F195&lt;&gt;"",Tabela1[[#This Row],[Iniciais]],"")</f>
        <v/>
      </c>
      <c r="AA195" s="6" t="str">
        <f>IF($F195&lt;&gt;"",RIGHT(Tabela1[[#This Row],[Ref.]],2),"")</f>
        <v/>
      </c>
      <c r="AB195" s="46" t="str">
        <f>IF($F195&lt;&gt;"",DATE(LEFT(Tabela1[[#This Row],[Ref.]],4),RIGHT(Tabela1[[#This Row],[Ref.]],2),1),"")</f>
        <v/>
      </c>
      <c r="AC195" s="4" t="str">
        <f t="shared" si="15"/>
        <v/>
      </c>
      <c r="AD195" s="5" t="str">
        <f t="shared" si="16"/>
        <v/>
      </c>
      <c r="AE195" s="4"/>
      <c r="AF195" s="6" t="str">
        <f t="shared" si="17"/>
        <v/>
      </c>
    </row>
    <row r="196" spans="1:32" ht="15.75" customHeight="1" x14ac:dyDescent="0.2">
      <c r="A196" s="42"/>
      <c r="B196" s="44"/>
      <c r="C196" s="41"/>
      <c r="D196" s="41"/>
      <c r="E196" s="41"/>
      <c r="F196" s="11"/>
      <c r="G196" s="11"/>
      <c r="H196" s="43"/>
      <c r="K196" s="25"/>
      <c r="L196" s="2"/>
      <c r="M196" s="31"/>
      <c r="N196" s="31"/>
      <c r="O196" s="35"/>
      <c r="P196" s="3"/>
      <c r="Q196" s="6" t="str">
        <f>IF($F196&lt;&gt;"",RIGHT(Tabela1[[#This Row],[Ref.]],2),"")</f>
        <v/>
      </c>
      <c r="R196" s="6" t="str">
        <f t="shared" si="12"/>
        <v/>
      </c>
      <c r="S196" s="4" t="str">
        <f>IF($F196&lt;&gt;"",_xlfn.XLOOKUP(F196,Naturezas!B:B,Naturezas!E:E,"",0,1),"")</f>
        <v/>
      </c>
      <c r="T196" s="4" t="str">
        <f>IF($F196&lt;&gt;"",_xlfn.XLOOKUP($F196,Naturezas!B:B,Naturezas!D:D,"",0,1),"")</f>
        <v/>
      </c>
      <c r="U196" s="5" t="str">
        <f>IF(F196&lt;&gt;"",IF(OR(F196=Naturezas!$B$3,F196=Naturezas!$B$4,F196=Naturezas!$B$5,F196=Naturezas!$B$17,F196=Naturezas!$B$18,F196=Naturezas!$B$19),H196,-H196),"")</f>
        <v/>
      </c>
      <c r="V196" s="4" t="str">
        <f t="shared" si="13"/>
        <v/>
      </c>
      <c r="W196" s="4"/>
      <c r="X196" s="4" t="str">
        <f t="shared" si="14"/>
        <v/>
      </c>
      <c r="Y196" s="6" t="str">
        <f>IF(F196&lt;&gt;"",Tabela1[[#This Row],[Iniciais]],"")</f>
        <v/>
      </c>
      <c r="AA196" s="6" t="str">
        <f>IF($F196&lt;&gt;"",RIGHT(Tabela1[[#This Row],[Ref.]],2),"")</f>
        <v/>
      </c>
      <c r="AB196" s="46" t="str">
        <f>IF($F196&lt;&gt;"",DATE(LEFT(Tabela1[[#This Row],[Ref.]],4),RIGHT(Tabela1[[#This Row],[Ref.]],2),1),"")</f>
        <v/>
      </c>
      <c r="AC196" s="4" t="str">
        <f t="shared" si="15"/>
        <v/>
      </c>
      <c r="AD196" s="5" t="str">
        <f t="shared" si="16"/>
        <v/>
      </c>
      <c r="AE196" s="4"/>
      <c r="AF196" s="6" t="str">
        <f t="shared" si="17"/>
        <v/>
      </c>
    </row>
    <row r="197" spans="1:32" ht="15.75" customHeight="1" x14ac:dyDescent="0.2">
      <c r="A197" s="42"/>
      <c r="B197" s="44"/>
      <c r="C197" s="41"/>
      <c r="D197" s="41"/>
      <c r="E197" s="41"/>
      <c r="F197" s="11"/>
      <c r="G197" s="11"/>
      <c r="H197" s="43"/>
      <c r="K197" s="25"/>
      <c r="L197" s="2"/>
      <c r="M197" s="31"/>
      <c r="N197" s="31"/>
      <c r="O197" s="35"/>
      <c r="P197" s="3"/>
      <c r="Q197" s="6" t="str">
        <f>IF($F197&lt;&gt;"",RIGHT(Tabela1[[#This Row],[Ref.]],2),"")</f>
        <v/>
      </c>
      <c r="R197" s="6" t="str">
        <f t="shared" si="12"/>
        <v/>
      </c>
      <c r="S197" s="4" t="str">
        <f>IF($F197&lt;&gt;"",_xlfn.XLOOKUP(F197,Naturezas!B:B,Naturezas!E:E,"",0,1),"")</f>
        <v/>
      </c>
      <c r="T197" s="4" t="str">
        <f>IF($F197&lt;&gt;"",_xlfn.XLOOKUP($F197,Naturezas!B:B,Naturezas!D:D,"",0,1),"")</f>
        <v/>
      </c>
      <c r="U197" s="5" t="str">
        <f>IF(F197&lt;&gt;"",IF(OR(F197=Naturezas!$B$3,F197=Naturezas!$B$4,F197=Naturezas!$B$5,F197=Naturezas!$B$17,F197=Naturezas!$B$18,F197=Naturezas!$B$19),H197,-H197),"")</f>
        <v/>
      </c>
      <c r="V197" s="4" t="str">
        <f t="shared" si="13"/>
        <v/>
      </c>
      <c r="W197" s="4"/>
      <c r="X197" s="4" t="str">
        <f t="shared" si="14"/>
        <v/>
      </c>
      <c r="Y197" s="6" t="str">
        <f>IF(F197&lt;&gt;"",Tabela1[[#This Row],[Iniciais]],"")</f>
        <v/>
      </c>
      <c r="AA197" s="6" t="str">
        <f>IF($F197&lt;&gt;"",RIGHT(Tabela1[[#This Row],[Ref.]],2),"")</f>
        <v/>
      </c>
      <c r="AB197" s="46" t="str">
        <f>IF($F197&lt;&gt;"",DATE(LEFT(Tabela1[[#This Row],[Ref.]],4),RIGHT(Tabela1[[#This Row],[Ref.]],2),1),"")</f>
        <v/>
      </c>
      <c r="AC197" s="4" t="str">
        <f t="shared" si="15"/>
        <v/>
      </c>
      <c r="AD197" s="5" t="str">
        <f t="shared" si="16"/>
        <v/>
      </c>
      <c r="AE197" s="4"/>
      <c r="AF197" s="6" t="str">
        <f t="shared" si="17"/>
        <v/>
      </c>
    </row>
    <row r="198" spans="1:32" ht="15.75" customHeight="1" x14ac:dyDescent="0.2">
      <c r="A198" s="42"/>
      <c r="B198" s="44"/>
      <c r="C198" s="41"/>
      <c r="D198" s="41"/>
      <c r="E198" s="41"/>
      <c r="F198" s="11"/>
      <c r="G198" s="11"/>
      <c r="H198" s="43"/>
      <c r="K198" s="25"/>
      <c r="L198" s="2"/>
      <c r="M198" s="31"/>
      <c r="N198" s="31"/>
      <c r="O198" s="35"/>
      <c r="P198" s="3"/>
      <c r="Q198" s="6" t="str">
        <f>IF($F198&lt;&gt;"",RIGHT(Tabela1[[#This Row],[Ref.]],2),"")</f>
        <v/>
      </c>
      <c r="R198" s="6" t="str">
        <f t="shared" si="12"/>
        <v/>
      </c>
      <c r="S198" s="4" t="str">
        <f>IF($F198&lt;&gt;"",_xlfn.XLOOKUP(F198,Naturezas!B:B,Naturezas!E:E,"",0,1),"")</f>
        <v/>
      </c>
      <c r="T198" s="4" t="str">
        <f>IF($F198&lt;&gt;"",_xlfn.XLOOKUP($F198,Naturezas!B:B,Naturezas!D:D,"",0,1),"")</f>
        <v/>
      </c>
      <c r="U198" s="5" t="str">
        <f>IF(F198&lt;&gt;"",IF(OR(F198=Naturezas!$B$3,F198=Naturezas!$B$4,F198=Naturezas!$B$5,F198=Naturezas!$B$17,F198=Naturezas!$B$18,F198=Naturezas!$B$19),H198,-H198),"")</f>
        <v/>
      </c>
      <c r="V198" s="4" t="str">
        <f t="shared" si="13"/>
        <v/>
      </c>
      <c r="W198" s="4"/>
      <c r="X198" s="4" t="str">
        <f t="shared" si="14"/>
        <v/>
      </c>
      <c r="Y198" s="6" t="str">
        <f>IF(F198&lt;&gt;"",Tabela1[[#This Row],[Iniciais]],"")</f>
        <v/>
      </c>
      <c r="AA198" s="6" t="str">
        <f>IF($F198&lt;&gt;"",RIGHT(Tabela1[[#This Row],[Ref.]],2),"")</f>
        <v/>
      </c>
      <c r="AB198" s="46" t="str">
        <f>IF($F198&lt;&gt;"",DATE(LEFT(Tabela1[[#This Row],[Ref.]],4),RIGHT(Tabela1[[#This Row],[Ref.]],2),1),"")</f>
        <v/>
      </c>
      <c r="AC198" s="4" t="str">
        <f t="shared" si="15"/>
        <v/>
      </c>
      <c r="AD198" s="5" t="str">
        <f t="shared" si="16"/>
        <v/>
      </c>
      <c r="AE198" s="4"/>
      <c r="AF198" s="6" t="str">
        <f t="shared" si="17"/>
        <v/>
      </c>
    </row>
    <row r="199" spans="1:32" ht="15.75" customHeight="1" x14ac:dyDescent="0.2">
      <c r="A199" s="42"/>
      <c r="B199" s="44"/>
      <c r="C199" s="41"/>
      <c r="D199" s="41"/>
      <c r="E199" s="41"/>
      <c r="F199" s="11"/>
      <c r="G199" s="11"/>
      <c r="H199" s="43"/>
      <c r="K199" s="25"/>
      <c r="L199" s="2"/>
      <c r="M199" s="31"/>
      <c r="N199" s="31"/>
      <c r="O199" s="35"/>
      <c r="P199" s="3"/>
      <c r="Q199" s="6" t="str">
        <f>IF($F199&lt;&gt;"",RIGHT(Tabela1[[#This Row],[Ref.]],2),"")</f>
        <v/>
      </c>
      <c r="R199" s="6" t="str">
        <f t="shared" si="12"/>
        <v/>
      </c>
      <c r="S199" s="4" t="str">
        <f>IF($F199&lt;&gt;"",_xlfn.XLOOKUP(F199,Naturezas!B:B,Naturezas!E:E,"",0,1),"")</f>
        <v/>
      </c>
      <c r="T199" s="4" t="str">
        <f>IF($F199&lt;&gt;"",_xlfn.XLOOKUP($F199,Naturezas!B:B,Naturezas!D:D,"",0,1),"")</f>
        <v/>
      </c>
      <c r="U199" s="5" t="str">
        <f>IF(F199&lt;&gt;"",IF(OR(F199=Naturezas!$B$3,F199=Naturezas!$B$4,F199=Naturezas!$B$5,F199=Naturezas!$B$17,F199=Naturezas!$B$18,F199=Naturezas!$B$19),H199,-H199),"")</f>
        <v/>
      </c>
      <c r="V199" s="4" t="str">
        <f t="shared" si="13"/>
        <v/>
      </c>
      <c r="W199" s="4"/>
      <c r="X199" s="4" t="str">
        <f t="shared" si="14"/>
        <v/>
      </c>
      <c r="Y199" s="6" t="str">
        <f>IF(F199&lt;&gt;"",Tabela1[[#This Row],[Iniciais]],"")</f>
        <v/>
      </c>
      <c r="AA199" s="6" t="str">
        <f>IF($F199&lt;&gt;"",RIGHT(Tabela1[[#This Row],[Ref.]],2),"")</f>
        <v/>
      </c>
      <c r="AB199" s="46" t="str">
        <f>IF($F199&lt;&gt;"",DATE(LEFT(Tabela1[[#This Row],[Ref.]],4),RIGHT(Tabela1[[#This Row],[Ref.]],2),1),"")</f>
        <v/>
      </c>
      <c r="AC199" s="4" t="str">
        <f t="shared" si="15"/>
        <v/>
      </c>
      <c r="AD199" s="5" t="str">
        <f t="shared" si="16"/>
        <v/>
      </c>
      <c r="AE199" s="4"/>
      <c r="AF199" s="6" t="str">
        <f t="shared" si="17"/>
        <v/>
      </c>
    </row>
    <row r="200" spans="1:32" ht="15.75" customHeight="1" x14ac:dyDescent="0.2">
      <c r="A200" s="42"/>
      <c r="B200" s="44"/>
      <c r="C200" s="41"/>
      <c r="D200" s="41"/>
      <c r="E200" s="41"/>
      <c r="F200" s="11"/>
      <c r="G200" s="11"/>
      <c r="H200" s="43"/>
      <c r="K200" s="25"/>
      <c r="L200" s="2"/>
      <c r="M200" s="31"/>
      <c r="N200" s="31"/>
      <c r="O200" s="35"/>
      <c r="P200" s="3"/>
      <c r="Q200" s="6" t="str">
        <f>IF($F200&lt;&gt;"",RIGHT(Tabela1[[#This Row],[Ref.]],2),"")</f>
        <v/>
      </c>
      <c r="R200" s="6" t="str">
        <f t="shared" si="12"/>
        <v/>
      </c>
      <c r="S200" s="4" t="str">
        <f>IF($F200&lt;&gt;"",_xlfn.XLOOKUP(F200,Naturezas!B:B,Naturezas!E:E,"",0,1),"")</f>
        <v/>
      </c>
      <c r="T200" s="4" t="str">
        <f>IF($F200&lt;&gt;"",_xlfn.XLOOKUP($F200,Naturezas!B:B,Naturezas!D:D,"",0,1),"")</f>
        <v/>
      </c>
      <c r="U200" s="5" t="str">
        <f>IF(F200&lt;&gt;"",IF(OR(F200=Naturezas!$B$3,F200=Naturezas!$B$4,F200=Naturezas!$B$5,F200=Naturezas!$B$17,F200=Naturezas!$B$18,F200=Naturezas!$B$19),H200,-H200),"")</f>
        <v/>
      </c>
      <c r="V200" s="4" t="str">
        <f t="shared" si="13"/>
        <v/>
      </c>
      <c r="W200" s="4"/>
      <c r="X200" s="4" t="str">
        <f t="shared" si="14"/>
        <v/>
      </c>
      <c r="Y200" s="6" t="str">
        <f>IF(F200&lt;&gt;"",Tabela1[[#This Row],[Iniciais]],"")</f>
        <v/>
      </c>
      <c r="AA200" s="6" t="str">
        <f>IF($F200&lt;&gt;"",RIGHT(Tabela1[[#This Row],[Ref.]],2),"")</f>
        <v/>
      </c>
      <c r="AB200" s="46" t="str">
        <f>IF($F200&lt;&gt;"",DATE(LEFT(Tabela1[[#This Row],[Ref.]],4),RIGHT(Tabela1[[#This Row],[Ref.]],2),1),"")</f>
        <v/>
      </c>
      <c r="AC200" s="4" t="str">
        <f t="shared" si="15"/>
        <v/>
      </c>
      <c r="AD200" s="5" t="str">
        <f t="shared" si="16"/>
        <v/>
      </c>
      <c r="AE200" s="4"/>
      <c r="AF200" s="6" t="str">
        <f t="shared" si="17"/>
        <v/>
      </c>
    </row>
    <row r="201" spans="1:32" ht="15.75" customHeight="1" x14ac:dyDescent="0.2">
      <c r="A201" s="42"/>
      <c r="B201" s="44"/>
      <c r="C201" s="41"/>
      <c r="D201" s="41"/>
      <c r="E201" s="41"/>
      <c r="F201" s="11"/>
      <c r="G201" s="11"/>
      <c r="H201" s="43"/>
      <c r="K201" s="25"/>
      <c r="L201" s="2"/>
      <c r="M201" s="31"/>
      <c r="N201" s="31"/>
      <c r="O201" s="35"/>
      <c r="P201" s="3"/>
      <c r="Q201" s="6" t="str">
        <f>IF($F201&lt;&gt;"",RIGHT(Tabela1[[#This Row],[Ref.]],2),"")</f>
        <v/>
      </c>
      <c r="R201" s="6" t="str">
        <f t="shared" si="12"/>
        <v/>
      </c>
      <c r="S201" s="4" t="str">
        <f>IF($F201&lt;&gt;"",_xlfn.XLOOKUP(F201,Naturezas!B:B,Naturezas!E:E,"",0,1),"")</f>
        <v/>
      </c>
      <c r="T201" s="4" t="str">
        <f>IF($F201&lt;&gt;"",_xlfn.XLOOKUP($F201,Naturezas!B:B,Naturezas!D:D,"",0,1),"")</f>
        <v/>
      </c>
      <c r="U201" s="5" t="str">
        <f>IF(F201&lt;&gt;"",IF(OR(F201=Naturezas!$B$3,F201=Naturezas!$B$4,F201=Naturezas!$B$5,F201=Naturezas!$B$17,F201=Naturezas!$B$18,F201=Naturezas!$B$19),H201,-H201),"")</f>
        <v/>
      </c>
      <c r="V201" s="4" t="str">
        <f t="shared" si="13"/>
        <v/>
      </c>
      <c r="W201" s="4"/>
      <c r="X201" s="4" t="str">
        <f t="shared" si="14"/>
        <v/>
      </c>
      <c r="Y201" s="6" t="str">
        <f>IF(F201&lt;&gt;"",Tabela1[[#This Row],[Iniciais]],"")</f>
        <v/>
      </c>
      <c r="AA201" s="6" t="str">
        <f>IF($F201&lt;&gt;"",RIGHT(Tabela1[[#This Row],[Ref.]],2),"")</f>
        <v/>
      </c>
      <c r="AB201" s="46" t="str">
        <f>IF($F201&lt;&gt;"",DATE(LEFT(Tabela1[[#This Row],[Ref.]],4),RIGHT(Tabela1[[#This Row],[Ref.]],2),1),"")</f>
        <v/>
      </c>
      <c r="AC201" s="4" t="str">
        <f t="shared" si="15"/>
        <v/>
      </c>
      <c r="AD201" s="5" t="str">
        <f t="shared" si="16"/>
        <v/>
      </c>
      <c r="AE201" s="4"/>
      <c r="AF201" s="6" t="str">
        <f t="shared" si="17"/>
        <v/>
      </c>
    </row>
    <row r="202" spans="1:32" ht="15.75" customHeight="1" x14ac:dyDescent="0.2">
      <c r="A202" s="42"/>
      <c r="B202" s="44"/>
      <c r="C202" s="41"/>
      <c r="D202" s="41"/>
      <c r="E202" s="41"/>
      <c r="F202" s="11"/>
      <c r="G202" s="11"/>
      <c r="H202" s="43"/>
      <c r="K202" s="25"/>
      <c r="L202" s="2"/>
      <c r="M202" s="31"/>
      <c r="N202" s="31"/>
      <c r="O202" s="35"/>
      <c r="P202" s="3"/>
      <c r="Q202" s="6" t="str">
        <f>IF($F202&lt;&gt;"",RIGHT(Tabela1[[#This Row],[Ref.]],2),"")</f>
        <v/>
      </c>
      <c r="R202" s="6" t="str">
        <f t="shared" ref="R202:R265" si="18">IF($F202&lt;&gt;"",1,"")</f>
        <v/>
      </c>
      <c r="S202" s="4" t="str">
        <f>IF($F202&lt;&gt;"",_xlfn.XLOOKUP(F202,Naturezas!B:B,Naturezas!E:E,"",0,1),"")</f>
        <v/>
      </c>
      <c r="T202" s="4" t="str">
        <f>IF($F202&lt;&gt;"",_xlfn.XLOOKUP($F202,Naturezas!B:B,Naturezas!D:D,"",0,1),"")</f>
        <v/>
      </c>
      <c r="U202" s="5" t="str">
        <f>IF(F202&lt;&gt;"",IF(OR(F202=Naturezas!$B$3,F202=Naturezas!$B$4,F202=Naturezas!$B$5,F202=Naturezas!$B$17,F202=Naturezas!$B$18,F202=Naturezas!$B$19),H202,-H202),"")</f>
        <v/>
      </c>
      <c r="V202" s="4" t="str">
        <f t="shared" ref="V202:V265" si="19">IF(F202&lt;&gt;"",F202,"")</f>
        <v/>
      </c>
      <c r="W202" s="4"/>
      <c r="X202" s="4" t="str">
        <f t="shared" ref="X202:X265" si="20">IF(F202&lt;&gt;"",G202,"")</f>
        <v/>
      </c>
      <c r="Y202" s="6" t="str">
        <f>IF(F202&lt;&gt;"",Tabela1[[#This Row],[Iniciais]],"")</f>
        <v/>
      </c>
      <c r="AA202" s="6" t="str">
        <f>IF($F202&lt;&gt;"",RIGHT(Tabela1[[#This Row],[Ref.]],2),"")</f>
        <v/>
      </c>
      <c r="AB202" s="46" t="str">
        <f>IF($F202&lt;&gt;"",DATE(LEFT(Tabela1[[#This Row],[Ref.]],4),RIGHT(Tabela1[[#This Row],[Ref.]],2),1),"")</f>
        <v/>
      </c>
      <c r="AC202" s="4" t="str">
        <f t="shared" ref="AC202:AC265" si="21">IF($F202&lt;&gt;"",$G202,"")</f>
        <v/>
      </c>
      <c r="AD202" s="5" t="str">
        <f t="shared" ref="AD202:AD265" si="22">IF($F202&lt;&gt;"",$H202,"")</f>
        <v/>
      </c>
      <c r="AE202" s="4"/>
      <c r="AF202" s="6" t="str">
        <f t="shared" ref="AF202:AF265" si="23">IF($F202&lt;&gt;"",$B$2,"")</f>
        <v/>
      </c>
    </row>
    <row r="203" spans="1:32" ht="15.75" customHeight="1" x14ac:dyDescent="0.2">
      <c r="A203" s="42"/>
      <c r="B203" s="44"/>
      <c r="C203" s="41"/>
      <c r="D203" s="41"/>
      <c r="E203" s="41"/>
      <c r="F203" s="11"/>
      <c r="G203" s="11"/>
      <c r="H203" s="43"/>
      <c r="K203" s="25"/>
      <c r="L203" s="2"/>
      <c r="M203" s="31"/>
      <c r="N203" s="31"/>
      <c r="O203" s="35"/>
      <c r="P203" s="3"/>
      <c r="Q203" s="6" t="str">
        <f>IF($F203&lt;&gt;"",RIGHT(Tabela1[[#This Row],[Ref.]],2),"")</f>
        <v/>
      </c>
      <c r="R203" s="6" t="str">
        <f t="shared" si="18"/>
        <v/>
      </c>
      <c r="S203" s="4" t="str">
        <f>IF($F203&lt;&gt;"",_xlfn.XLOOKUP(F203,Naturezas!B:B,Naturezas!E:E,"",0,1),"")</f>
        <v/>
      </c>
      <c r="T203" s="4" t="str">
        <f>IF($F203&lt;&gt;"",_xlfn.XLOOKUP($F203,Naturezas!B:B,Naturezas!D:D,"",0,1),"")</f>
        <v/>
      </c>
      <c r="U203" s="5" t="str">
        <f>IF(F203&lt;&gt;"",IF(OR(F203=Naturezas!$B$3,F203=Naturezas!$B$4,F203=Naturezas!$B$5,F203=Naturezas!$B$17,F203=Naturezas!$B$18,F203=Naturezas!$B$19),H203,-H203),"")</f>
        <v/>
      </c>
      <c r="V203" s="4" t="str">
        <f t="shared" si="19"/>
        <v/>
      </c>
      <c r="W203" s="4"/>
      <c r="X203" s="4" t="str">
        <f t="shared" si="20"/>
        <v/>
      </c>
      <c r="Y203" s="6" t="str">
        <f>IF(F203&lt;&gt;"",Tabela1[[#This Row],[Iniciais]],"")</f>
        <v/>
      </c>
      <c r="AA203" s="6" t="str">
        <f>IF($F203&lt;&gt;"",RIGHT(Tabela1[[#This Row],[Ref.]],2),"")</f>
        <v/>
      </c>
      <c r="AB203" s="46" t="str">
        <f>IF($F203&lt;&gt;"",DATE(LEFT(Tabela1[[#This Row],[Ref.]],4),RIGHT(Tabela1[[#This Row],[Ref.]],2),1),"")</f>
        <v/>
      </c>
      <c r="AC203" s="4" t="str">
        <f t="shared" si="21"/>
        <v/>
      </c>
      <c r="AD203" s="5" t="str">
        <f t="shared" si="22"/>
        <v/>
      </c>
      <c r="AE203" s="4"/>
      <c r="AF203" s="6" t="str">
        <f t="shared" si="23"/>
        <v/>
      </c>
    </row>
    <row r="204" spans="1:32" ht="15.75" customHeight="1" x14ac:dyDescent="0.2">
      <c r="A204" s="42"/>
      <c r="B204" s="44"/>
      <c r="C204" s="41"/>
      <c r="D204" s="41"/>
      <c r="E204" s="41"/>
      <c r="F204" s="11"/>
      <c r="G204" s="11"/>
      <c r="H204" s="43"/>
      <c r="K204" s="25"/>
      <c r="L204" s="2"/>
      <c r="M204" s="31"/>
      <c r="N204" s="31"/>
      <c r="O204" s="35"/>
      <c r="P204" s="3"/>
      <c r="Q204" s="6" t="str">
        <f>IF($F204&lt;&gt;"",RIGHT(Tabela1[[#This Row],[Ref.]],2),"")</f>
        <v/>
      </c>
      <c r="R204" s="6" t="str">
        <f t="shared" si="18"/>
        <v/>
      </c>
      <c r="S204" s="4" t="str">
        <f>IF($F204&lt;&gt;"",_xlfn.XLOOKUP(F204,Naturezas!B:B,Naturezas!E:E,"",0,1),"")</f>
        <v/>
      </c>
      <c r="T204" s="4" t="str">
        <f>IF($F204&lt;&gt;"",_xlfn.XLOOKUP($F204,Naturezas!B:B,Naturezas!D:D,"",0,1),"")</f>
        <v/>
      </c>
      <c r="U204" s="5" t="str">
        <f>IF(F204&lt;&gt;"",IF(OR(F204=Naturezas!$B$3,F204=Naturezas!$B$4,F204=Naturezas!$B$5,F204=Naturezas!$B$17,F204=Naturezas!$B$18,F204=Naturezas!$B$19),H204,-H204),"")</f>
        <v/>
      </c>
      <c r="V204" s="4" t="str">
        <f t="shared" si="19"/>
        <v/>
      </c>
      <c r="W204" s="4"/>
      <c r="X204" s="4" t="str">
        <f t="shared" si="20"/>
        <v/>
      </c>
      <c r="Y204" s="6" t="str">
        <f>IF(F204&lt;&gt;"",Tabela1[[#This Row],[Iniciais]],"")</f>
        <v/>
      </c>
      <c r="AA204" s="6" t="str">
        <f>IF($F204&lt;&gt;"",RIGHT(Tabela1[[#This Row],[Ref.]],2),"")</f>
        <v/>
      </c>
      <c r="AB204" s="46" t="str">
        <f>IF($F204&lt;&gt;"",DATE(LEFT(Tabela1[[#This Row],[Ref.]],4),RIGHT(Tabela1[[#This Row],[Ref.]],2),1),"")</f>
        <v/>
      </c>
      <c r="AC204" s="4" t="str">
        <f t="shared" si="21"/>
        <v/>
      </c>
      <c r="AD204" s="5" t="str">
        <f t="shared" si="22"/>
        <v/>
      </c>
      <c r="AE204" s="4"/>
      <c r="AF204" s="6" t="str">
        <f t="shared" si="23"/>
        <v/>
      </c>
    </row>
    <row r="205" spans="1:32" ht="15.75" customHeight="1" x14ac:dyDescent="0.2">
      <c r="A205" s="42"/>
      <c r="B205" s="44"/>
      <c r="C205" s="41"/>
      <c r="D205" s="41"/>
      <c r="E205" s="41"/>
      <c r="F205" s="11"/>
      <c r="G205" s="11"/>
      <c r="H205" s="43"/>
      <c r="K205" s="25"/>
      <c r="L205" s="2"/>
      <c r="M205" s="31"/>
      <c r="N205" s="31"/>
      <c r="O205" s="35"/>
      <c r="P205" s="3"/>
      <c r="Q205" s="6" t="str">
        <f>IF($F205&lt;&gt;"",RIGHT(Tabela1[[#This Row],[Ref.]],2),"")</f>
        <v/>
      </c>
      <c r="R205" s="6" t="str">
        <f t="shared" si="18"/>
        <v/>
      </c>
      <c r="S205" s="4" t="str">
        <f>IF($F205&lt;&gt;"",_xlfn.XLOOKUP(F205,Naturezas!B:B,Naturezas!E:E,"",0,1),"")</f>
        <v/>
      </c>
      <c r="T205" s="4" t="str">
        <f>IF($F205&lt;&gt;"",_xlfn.XLOOKUP($F205,Naturezas!B:B,Naturezas!D:D,"",0,1),"")</f>
        <v/>
      </c>
      <c r="U205" s="5" t="str">
        <f>IF(F205&lt;&gt;"",IF(OR(F205=Naturezas!$B$3,F205=Naturezas!$B$4,F205=Naturezas!$B$5,F205=Naturezas!$B$17,F205=Naturezas!$B$18,F205=Naturezas!$B$19),H205,-H205),"")</f>
        <v/>
      </c>
      <c r="V205" s="4" t="str">
        <f t="shared" si="19"/>
        <v/>
      </c>
      <c r="W205" s="4"/>
      <c r="X205" s="4" t="str">
        <f t="shared" si="20"/>
        <v/>
      </c>
      <c r="Y205" s="6" t="str">
        <f>IF(F205&lt;&gt;"",Tabela1[[#This Row],[Iniciais]],"")</f>
        <v/>
      </c>
      <c r="AA205" s="6" t="str">
        <f>IF($F205&lt;&gt;"",RIGHT(Tabela1[[#This Row],[Ref.]],2),"")</f>
        <v/>
      </c>
      <c r="AB205" s="46" t="str">
        <f>IF($F205&lt;&gt;"",DATE(LEFT(Tabela1[[#This Row],[Ref.]],4),RIGHT(Tabela1[[#This Row],[Ref.]],2),1),"")</f>
        <v/>
      </c>
      <c r="AC205" s="4" t="str">
        <f t="shared" si="21"/>
        <v/>
      </c>
      <c r="AD205" s="5" t="str">
        <f t="shared" si="22"/>
        <v/>
      </c>
      <c r="AE205" s="4"/>
      <c r="AF205" s="6" t="str">
        <f t="shared" si="23"/>
        <v/>
      </c>
    </row>
    <row r="206" spans="1:32" ht="15.75" customHeight="1" x14ac:dyDescent="0.2">
      <c r="A206" s="42"/>
      <c r="B206" s="44"/>
      <c r="C206" s="41"/>
      <c r="D206" s="41"/>
      <c r="E206" s="41"/>
      <c r="F206" s="11"/>
      <c r="G206" s="11"/>
      <c r="H206" s="43"/>
      <c r="K206" s="25"/>
      <c r="L206" s="2"/>
      <c r="M206" s="31"/>
      <c r="N206" s="31"/>
      <c r="O206" s="35"/>
      <c r="P206" s="3"/>
      <c r="Q206" s="6" t="str">
        <f>IF($F206&lt;&gt;"",RIGHT(Tabela1[[#This Row],[Ref.]],2),"")</f>
        <v/>
      </c>
      <c r="R206" s="6" t="str">
        <f t="shared" si="18"/>
        <v/>
      </c>
      <c r="S206" s="4" t="str">
        <f>IF($F206&lt;&gt;"",_xlfn.XLOOKUP(F206,Naturezas!B:B,Naturezas!E:E,"",0,1),"")</f>
        <v/>
      </c>
      <c r="T206" s="4" t="str">
        <f>IF($F206&lt;&gt;"",_xlfn.XLOOKUP($F206,Naturezas!B:B,Naturezas!D:D,"",0,1),"")</f>
        <v/>
      </c>
      <c r="U206" s="5" t="str">
        <f>IF(F206&lt;&gt;"",IF(OR(F206=Naturezas!$B$3,F206=Naturezas!$B$4,F206=Naturezas!$B$5,F206=Naturezas!$B$17,F206=Naturezas!$B$18,F206=Naturezas!$B$19),H206,-H206),"")</f>
        <v/>
      </c>
      <c r="V206" s="4" t="str">
        <f t="shared" si="19"/>
        <v/>
      </c>
      <c r="W206" s="4"/>
      <c r="X206" s="4" t="str">
        <f t="shared" si="20"/>
        <v/>
      </c>
      <c r="Y206" s="6" t="str">
        <f>IF(F206&lt;&gt;"",Tabela1[[#This Row],[Iniciais]],"")</f>
        <v/>
      </c>
      <c r="AA206" s="6" t="str">
        <f>IF($F206&lt;&gt;"",RIGHT(Tabela1[[#This Row],[Ref.]],2),"")</f>
        <v/>
      </c>
      <c r="AB206" s="46" t="str">
        <f>IF($F206&lt;&gt;"",DATE(LEFT(Tabela1[[#This Row],[Ref.]],4),RIGHT(Tabela1[[#This Row],[Ref.]],2),1),"")</f>
        <v/>
      </c>
      <c r="AC206" s="4" t="str">
        <f t="shared" si="21"/>
        <v/>
      </c>
      <c r="AD206" s="5" t="str">
        <f t="shared" si="22"/>
        <v/>
      </c>
      <c r="AE206" s="4"/>
      <c r="AF206" s="6" t="str">
        <f t="shared" si="23"/>
        <v/>
      </c>
    </row>
    <row r="207" spans="1:32" ht="15.75" customHeight="1" x14ac:dyDescent="0.2">
      <c r="A207" s="42"/>
      <c r="B207" s="44"/>
      <c r="C207" s="41"/>
      <c r="D207" s="41"/>
      <c r="E207" s="41"/>
      <c r="F207" s="11"/>
      <c r="G207" s="11"/>
      <c r="H207" s="43"/>
      <c r="K207" s="25"/>
      <c r="L207" s="2"/>
      <c r="M207" s="31"/>
      <c r="N207" s="31"/>
      <c r="O207" s="35"/>
      <c r="P207" s="3"/>
      <c r="Q207" s="6" t="str">
        <f>IF($F207&lt;&gt;"",RIGHT(Tabela1[[#This Row],[Ref.]],2),"")</f>
        <v/>
      </c>
      <c r="R207" s="6" t="str">
        <f t="shared" si="18"/>
        <v/>
      </c>
      <c r="S207" s="4" t="str">
        <f>IF($F207&lt;&gt;"",_xlfn.XLOOKUP(F207,Naturezas!B:B,Naturezas!E:E,"",0,1),"")</f>
        <v/>
      </c>
      <c r="T207" s="4" t="str">
        <f>IF($F207&lt;&gt;"",_xlfn.XLOOKUP($F207,Naturezas!B:B,Naturezas!D:D,"",0,1),"")</f>
        <v/>
      </c>
      <c r="U207" s="5" t="str">
        <f>IF(F207&lt;&gt;"",IF(OR(F207=Naturezas!$B$3,F207=Naturezas!$B$4,F207=Naturezas!$B$5,F207=Naturezas!$B$17,F207=Naturezas!$B$18,F207=Naturezas!$B$19),H207,-H207),"")</f>
        <v/>
      </c>
      <c r="V207" s="4" t="str">
        <f t="shared" si="19"/>
        <v/>
      </c>
      <c r="W207" s="4"/>
      <c r="X207" s="4" t="str">
        <f t="shared" si="20"/>
        <v/>
      </c>
      <c r="Y207" s="6" t="str">
        <f>IF(F207&lt;&gt;"",Tabela1[[#This Row],[Iniciais]],"")</f>
        <v/>
      </c>
      <c r="AA207" s="6" t="str">
        <f>IF($F207&lt;&gt;"",RIGHT(Tabela1[[#This Row],[Ref.]],2),"")</f>
        <v/>
      </c>
      <c r="AB207" s="46" t="str">
        <f>IF($F207&lt;&gt;"",DATE(LEFT(Tabela1[[#This Row],[Ref.]],4),RIGHT(Tabela1[[#This Row],[Ref.]],2),1),"")</f>
        <v/>
      </c>
      <c r="AC207" s="4" t="str">
        <f t="shared" si="21"/>
        <v/>
      </c>
      <c r="AD207" s="5" t="str">
        <f t="shared" si="22"/>
        <v/>
      </c>
      <c r="AE207" s="4"/>
      <c r="AF207" s="6" t="str">
        <f t="shared" si="23"/>
        <v/>
      </c>
    </row>
    <row r="208" spans="1:32" ht="15.75" customHeight="1" x14ac:dyDescent="0.2">
      <c r="A208" s="42"/>
      <c r="B208" s="44"/>
      <c r="C208" s="41"/>
      <c r="D208" s="41"/>
      <c r="E208" s="41"/>
      <c r="F208" s="11"/>
      <c r="G208" s="11"/>
      <c r="H208" s="43"/>
      <c r="K208" s="25"/>
      <c r="L208" s="2"/>
      <c r="M208" s="31"/>
      <c r="N208" s="31"/>
      <c r="O208" s="35"/>
      <c r="P208" s="3"/>
      <c r="Q208" s="6" t="str">
        <f>IF($F208&lt;&gt;"",RIGHT(Tabela1[[#This Row],[Ref.]],2),"")</f>
        <v/>
      </c>
      <c r="R208" s="6" t="str">
        <f t="shared" si="18"/>
        <v/>
      </c>
      <c r="S208" s="4" t="str">
        <f>IF($F208&lt;&gt;"",_xlfn.XLOOKUP(F208,Naturezas!B:B,Naturezas!E:E,"",0,1),"")</f>
        <v/>
      </c>
      <c r="T208" s="4" t="str">
        <f>IF($F208&lt;&gt;"",_xlfn.XLOOKUP($F208,Naturezas!B:B,Naturezas!D:D,"",0,1),"")</f>
        <v/>
      </c>
      <c r="U208" s="5" t="str">
        <f>IF(F208&lt;&gt;"",IF(OR(F208=Naturezas!$B$3,F208=Naturezas!$B$4,F208=Naturezas!$B$5,F208=Naturezas!$B$17,F208=Naturezas!$B$18,F208=Naturezas!$B$19),H208,-H208),"")</f>
        <v/>
      </c>
      <c r="V208" s="4" t="str">
        <f t="shared" si="19"/>
        <v/>
      </c>
      <c r="W208" s="4"/>
      <c r="X208" s="4" t="str">
        <f t="shared" si="20"/>
        <v/>
      </c>
      <c r="Y208" s="6" t="str">
        <f>IF(F208&lt;&gt;"",Tabela1[[#This Row],[Iniciais]],"")</f>
        <v/>
      </c>
      <c r="AA208" s="6" t="str">
        <f>IF($F208&lt;&gt;"",RIGHT(Tabela1[[#This Row],[Ref.]],2),"")</f>
        <v/>
      </c>
      <c r="AB208" s="46" t="str">
        <f>IF($F208&lt;&gt;"",DATE(LEFT(Tabela1[[#This Row],[Ref.]],4),RIGHT(Tabela1[[#This Row],[Ref.]],2),1),"")</f>
        <v/>
      </c>
      <c r="AC208" s="4" t="str">
        <f t="shared" si="21"/>
        <v/>
      </c>
      <c r="AD208" s="5" t="str">
        <f t="shared" si="22"/>
        <v/>
      </c>
      <c r="AE208" s="4"/>
      <c r="AF208" s="6" t="str">
        <f t="shared" si="23"/>
        <v/>
      </c>
    </row>
    <row r="209" spans="1:32" ht="15.75" customHeight="1" x14ac:dyDescent="0.2">
      <c r="A209" s="42"/>
      <c r="B209" s="44"/>
      <c r="C209" s="41"/>
      <c r="D209" s="41"/>
      <c r="E209" s="41"/>
      <c r="F209" s="11"/>
      <c r="G209" s="11"/>
      <c r="H209" s="43"/>
      <c r="K209" s="25"/>
      <c r="L209" s="2"/>
      <c r="M209" s="31"/>
      <c r="N209" s="31"/>
      <c r="O209" s="35"/>
      <c r="P209" s="3"/>
      <c r="Q209" s="6" t="str">
        <f>IF($F209&lt;&gt;"",RIGHT(Tabela1[[#This Row],[Ref.]],2),"")</f>
        <v/>
      </c>
      <c r="R209" s="6" t="str">
        <f t="shared" si="18"/>
        <v/>
      </c>
      <c r="S209" s="4" t="str">
        <f>IF($F209&lt;&gt;"",_xlfn.XLOOKUP(F209,Naturezas!B:B,Naturezas!E:E,"",0,1),"")</f>
        <v/>
      </c>
      <c r="T209" s="4" t="str">
        <f>IF($F209&lt;&gt;"",_xlfn.XLOOKUP($F209,Naturezas!B:B,Naturezas!D:D,"",0,1),"")</f>
        <v/>
      </c>
      <c r="U209" s="5" t="str">
        <f>IF(F209&lt;&gt;"",IF(OR(F209=Naturezas!$B$3,F209=Naturezas!$B$4,F209=Naturezas!$B$5,F209=Naturezas!$B$17,F209=Naturezas!$B$18,F209=Naturezas!$B$19),H209,-H209),"")</f>
        <v/>
      </c>
      <c r="V209" s="4" t="str">
        <f t="shared" si="19"/>
        <v/>
      </c>
      <c r="W209" s="4"/>
      <c r="X209" s="4" t="str">
        <f t="shared" si="20"/>
        <v/>
      </c>
      <c r="Y209" s="6" t="str">
        <f>IF(F209&lt;&gt;"",Tabela1[[#This Row],[Iniciais]],"")</f>
        <v/>
      </c>
      <c r="AA209" s="6" t="str">
        <f>IF($F209&lt;&gt;"",RIGHT(Tabela1[[#This Row],[Ref.]],2),"")</f>
        <v/>
      </c>
      <c r="AB209" s="46" t="str">
        <f>IF($F209&lt;&gt;"",DATE(LEFT(Tabela1[[#This Row],[Ref.]],4),RIGHT(Tabela1[[#This Row],[Ref.]],2),1),"")</f>
        <v/>
      </c>
      <c r="AC209" s="4" t="str">
        <f t="shared" si="21"/>
        <v/>
      </c>
      <c r="AD209" s="5" t="str">
        <f t="shared" si="22"/>
        <v/>
      </c>
      <c r="AE209" s="4"/>
      <c r="AF209" s="6" t="str">
        <f t="shared" si="23"/>
        <v/>
      </c>
    </row>
    <row r="210" spans="1:32" ht="15.75" customHeight="1" x14ac:dyDescent="0.2">
      <c r="A210" s="42"/>
      <c r="B210" s="44"/>
      <c r="C210" s="41"/>
      <c r="D210" s="41"/>
      <c r="E210" s="41"/>
      <c r="F210" s="11"/>
      <c r="G210" s="11"/>
      <c r="H210" s="43"/>
      <c r="K210" s="25"/>
      <c r="L210" s="2"/>
      <c r="M210" s="31"/>
      <c r="N210" s="31"/>
      <c r="O210" s="35"/>
      <c r="P210" s="3"/>
      <c r="Q210" s="6" t="str">
        <f>IF($F210&lt;&gt;"",RIGHT(Tabela1[[#This Row],[Ref.]],2),"")</f>
        <v/>
      </c>
      <c r="R210" s="6" t="str">
        <f t="shared" si="18"/>
        <v/>
      </c>
      <c r="S210" s="4" t="str">
        <f>IF($F210&lt;&gt;"",_xlfn.XLOOKUP(F210,Naturezas!B:B,Naturezas!E:E,"",0,1),"")</f>
        <v/>
      </c>
      <c r="T210" s="4" t="str">
        <f>IF($F210&lt;&gt;"",_xlfn.XLOOKUP($F210,Naturezas!B:B,Naturezas!D:D,"",0,1),"")</f>
        <v/>
      </c>
      <c r="U210" s="5" t="str">
        <f>IF(F210&lt;&gt;"",IF(OR(F210=Naturezas!$B$3,F210=Naturezas!$B$4,F210=Naturezas!$B$5,F210=Naturezas!$B$17,F210=Naturezas!$B$18,F210=Naturezas!$B$19),H210,-H210),"")</f>
        <v/>
      </c>
      <c r="V210" s="4" t="str">
        <f t="shared" si="19"/>
        <v/>
      </c>
      <c r="W210" s="4"/>
      <c r="X210" s="4" t="str">
        <f t="shared" si="20"/>
        <v/>
      </c>
      <c r="Y210" s="6" t="str">
        <f>IF(F210&lt;&gt;"",Tabela1[[#This Row],[Iniciais]],"")</f>
        <v/>
      </c>
      <c r="AA210" s="6" t="str">
        <f>IF($F210&lt;&gt;"",RIGHT(Tabela1[[#This Row],[Ref.]],2),"")</f>
        <v/>
      </c>
      <c r="AB210" s="46" t="str">
        <f>IF($F210&lt;&gt;"",DATE(LEFT(Tabela1[[#This Row],[Ref.]],4),RIGHT(Tabela1[[#This Row],[Ref.]],2),1),"")</f>
        <v/>
      </c>
      <c r="AC210" s="4" t="str">
        <f t="shared" si="21"/>
        <v/>
      </c>
      <c r="AD210" s="5" t="str">
        <f t="shared" si="22"/>
        <v/>
      </c>
      <c r="AE210" s="4"/>
      <c r="AF210" s="6" t="str">
        <f t="shared" si="23"/>
        <v/>
      </c>
    </row>
    <row r="211" spans="1:32" ht="15.75" customHeight="1" x14ac:dyDescent="0.2">
      <c r="A211" s="42"/>
      <c r="B211" s="44"/>
      <c r="C211" s="41"/>
      <c r="D211" s="41"/>
      <c r="E211" s="41"/>
      <c r="F211" s="11"/>
      <c r="G211" s="11"/>
      <c r="H211" s="43"/>
      <c r="K211" s="25"/>
      <c r="L211" s="2"/>
      <c r="M211" s="31"/>
      <c r="N211" s="31"/>
      <c r="O211" s="35"/>
      <c r="P211" s="3"/>
      <c r="Q211" s="6" t="str">
        <f>IF($F211&lt;&gt;"",RIGHT(Tabela1[[#This Row],[Ref.]],2),"")</f>
        <v/>
      </c>
      <c r="R211" s="6" t="str">
        <f t="shared" si="18"/>
        <v/>
      </c>
      <c r="S211" s="4" t="str">
        <f>IF($F211&lt;&gt;"",_xlfn.XLOOKUP(F211,Naturezas!B:B,Naturezas!E:E,"",0,1),"")</f>
        <v/>
      </c>
      <c r="T211" s="4" t="str">
        <f>IF($F211&lt;&gt;"",_xlfn.XLOOKUP($F211,Naturezas!B:B,Naturezas!D:D,"",0,1),"")</f>
        <v/>
      </c>
      <c r="U211" s="5" t="str">
        <f>IF(F211&lt;&gt;"",IF(OR(F211=Naturezas!$B$3,F211=Naturezas!$B$4,F211=Naturezas!$B$5,F211=Naturezas!$B$17,F211=Naturezas!$B$18,F211=Naturezas!$B$19),H211,-H211),"")</f>
        <v/>
      </c>
      <c r="V211" s="4" t="str">
        <f t="shared" si="19"/>
        <v/>
      </c>
      <c r="W211" s="4"/>
      <c r="X211" s="4" t="str">
        <f t="shared" si="20"/>
        <v/>
      </c>
      <c r="Y211" s="6" t="str">
        <f>IF(F211&lt;&gt;"",Tabela1[[#This Row],[Iniciais]],"")</f>
        <v/>
      </c>
      <c r="AA211" s="6" t="str">
        <f>IF($F211&lt;&gt;"",RIGHT(Tabela1[[#This Row],[Ref.]],2),"")</f>
        <v/>
      </c>
      <c r="AB211" s="46" t="str">
        <f>IF($F211&lt;&gt;"",DATE(LEFT(Tabela1[[#This Row],[Ref.]],4),RIGHT(Tabela1[[#This Row],[Ref.]],2),1),"")</f>
        <v/>
      </c>
      <c r="AC211" s="4" t="str">
        <f t="shared" si="21"/>
        <v/>
      </c>
      <c r="AD211" s="5" t="str">
        <f t="shared" si="22"/>
        <v/>
      </c>
      <c r="AE211" s="4"/>
      <c r="AF211" s="6" t="str">
        <f t="shared" si="23"/>
        <v/>
      </c>
    </row>
    <row r="212" spans="1:32" ht="15.75" customHeight="1" x14ac:dyDescent="0.2">
      <c r="A212" s="42"/>
      <c r="B212" s="44"/>
      <c r="C212" s="41"/>
      <c r="D212" s="41"/>
      <c r="E212" s="41"/>
      <c r="F212" s="11"/>
      <c r="G212" s="11"/>
      <c r="H212" s="43"/>
      <c r="K212" s="25"/>
      <c r="L212" s="2"/>
      <c r="M212" s="31"/>
      <c r="N212" s="31"/>
      <c r="O212" s="35"/>
      <c r="P212" s="3"/>
      <c r="Q212" s="6" t="str">
        <f>IF($F212&lt;&gt;"",RIGHT(Tabela1[[#This Row],[Ref.]],2),"")</f>
        <v/>
      </c>
      <c r="R212" s="6" t="str">
        <f t="shared" si="18"/>
        <v/>
      </c>
      <c r="S212" s="4" t="str">
        <f>IF($F212&lt;&gt;"",_xlfn.XLOOKUP(F212,Naturezas!B:B,Naturezas!E:E,"",0,1),"")</f>
        <v/>
      </c>
      <c r="T212" s="4" t="str">
        <f>IF($F212&lt;&gt;"",_xlfn.XLOOKUP($F212,Naturezas!B:B,Naturezas!D:D,"",0,1),"")</f>
        <v/>
      </c>
      <c r="U212" s="5" t="str">
        <f>IF(F212&lt;&gt;"",IF(OR(F212=Naturezas!$B$3,F212=Naturezas!$B$4,F212=Naturezas!$B$5,F212=Naturezas!$B$17,F212=Naturezas!$B$18,F212=Naturezas!$B$19),H212,-H212),"")</f>
        <v/>
      </c>
      <c r="V212" s="4" t="str">
        <f t="shared" si="19"/>
        <v/>
      </c>
      <c r="W212" s="4"/>
      <c r="X212" s="4" t="str">
        <f t="shared" si="20"/>
        <v/>
      </c>
      <c r="Y212" s="6" t="str">
        <f>IF(F212&lt;&gt;"",Tabela1[[#This Row],[Iniciais]],"")</f>
        <v/>
      </c>
      <c r="AA212" s="6" t="str">
        <f>IF($F212&lt;&gt;"",RIGHT(Tabela1[[#This Row],[Ref.]],2),"")</f>
        <v/>
      </c>
      <c r="AB212" s="46" t="str">
        <f>IF($F212&lt;&gt;"",DATE(LEFT(Tabela1[[#This Row],[Ref.]],4),RIGHT(Tabela1[[#This Row],[Ref.]],2),1),"")</f>
        <v/>
      </c>
      <c r="AC212" s="4" t="str">
        <f t="shared" si="21"/>
        <v/>
      </c>
      <c r="AD212" s="5" t="str">
        <f t="shared" si="22"/>
        <v/>
      </c>
      <c r="AE212" s="4"/>
      <c r="AF212" s="6" t="str">
        <f t="shared" si="23"/>
        <v/>
      </c>
    </row>
    <row r="213" spans="1:32" ht="15.75" customHeight="1" x14ac:dyDescent="0.2">
      <c r="A213" s="42"/>
      <c r="B213" s="44"/>
      <c r="C213" s="41"/>
      <c r="D213" s="41"/>
      <c r="E213" s="41"/>
      <c r="F213" s="11"/>
      <c r="G213" s="11"/>
      <c r="H213" s="43"/>
      <c r="K213" s="25"/>
      <c r="L213" s="2"/>
      <c r="M213" s="31"/>
      <c r="N213" s="31"/>
      <c r="O213" s="35"/>
      <c r="P213" s="3"/>
      <c r="Q213" s="6" t="str">
        <f>IF($F213&lt;&gt;"",RIGHT(Tabela1[[#This Row],[Ref.]],2),"")</f>
        <v/>
      </c>
      <c r="R213" s="6" t="str">
        <f t="shared" si="18"/>
        <v/>
      </c>
      <c r="S213" s="4" t="str">
        <f>IF($F213&lt;&gt;"",_xlfn.XLOOKUP(F213,Naturezas!B:B,Naturezas!E:E,"",0,1),"")</f>
        <v/>
      </c>
      <c r="T213" s="4" t="str">
        <f>IF($F213&lt;&gt;"",_xlfn.XLOOKUP($F213,Naturezas!B:B,Naturezas!D:D,"",0,1),"")</f>
        <v/>
      </c>
      <c r="U213" s="5" t="str">
        <f>IF(F213&lt;&gt;"",IF(OR(F213=Naturezas!$B$3,F213=Naturezas!$B$4,F213=Naturezas!$B$5,F213=Naturezas!$B$17,F213=Naturezas!$B$18,F213=Naturezas!$B$19),H213,-H213),"")</f>
        <v/>
      </c>
      <c r="V213" s="4" t="str">
        <f t="shared" si="19"/>
        <v/>
      </c>
      <c r="W213" s="4"/>
      <c r="X213" s="4" t="str">
        <f t="shared" si="20"/>
        <v/>
      </c>
      <c r="Y213" s="6" t="str">
        <f>IF(F213&lt;&gt;"",Tabela1[[#This Row],[Iniciais]],"")</f>
        <v/>
      </c>
      <c r="AA213" s="6" t="str">
        <f>IF($F213&lt;&gt;"",RIGHT(Tabela1[[#This Row],[Ref.]],2),"")</f>
        <v/>
      </c>
      <c r="AB213" s="46" t="str">
        <f>IF($F213&lt;&gt;"",DATE(LEFT(Tabela1[[#This Row],[Ref.]],4),RIGHT(Tabela1[[#This Row],[Ref.]],2),1),"")</f>
        <v/>
      </c>
      <c r="AC213" s="4" t="str">
        <f t="shared" si="21"/>
        <v/>
      </c>
      <c r="AD213" s="5" t="str">
        <f t="shared" si="22"/>
        <v/>
      </c>
      <c r="AE213" s="4"/>
      <c r="AF213" s="6" t="str">
        <f t="shared" si="23"/>
        <v/>
      </c>
    </row>
    <row r="214" spans="1:32" ht="15.75" customHeight="1" x14ac:dyDescent="0.2">
      <c r="A214" s="42"/>
      <c r="B214" s="44"/>
      <c r="C214" s="41"/>
      <c r="D214" s="41"/>
      <c r="E214" s="41"/>
      <c r="F214" s="11"/>
      <c r="G214" s="11"/>
      <c r="H214" s="43"/>
      <c r="K214" s="25"/>
      <c r="L214" s="2"/>
      <c r="M214" s="31"/>
      <c r="N214" s="31"/>
      <c r="O214" s="35"/>
      <c r="P214" s="3"/>
      <c r="Q214" s="6" t="str">
        <f>IF($F214&lt;&gt;"",RIGHT(Tabela1[[#This Row],[Ref.]],2),"")</f>
        <v/>
      </c>
      <c r="R214" s="6" t="str">
        <f t="shared" si="18"/>
        <v/>
      </c>
      <c r="S214" s="4" t="str">
        <f>IF($F214&lt;&gt;"",_xlfn.XLOOKUP(F214,Naturezas!B:B,Naturezas!E:E,"",0,1),"")</f>
        <v/>
      </c>
      <c r="T214" s="4" t="str">
        <f>IF($F214&lt;&gt;"",_xlfn.XLOOKUP($F214,Naturezas!B:B,Naturezas!D:D,"",0,1),"")</f>
        <v/>
      </c>
      <c r="U214" s="5" t="str">
        <f>IF(F214&lt;&gt;"",IF(OR(F214=Naturezas!$B$3,F214=Naturezas!$B$4,F214=Naturezas!$B$5,F214=Naturezas!$B$17,F214=Naturezas!$B$18,F214=Naturezas!$B$19),H214,-H214),"")</f>
        <v/>
      </c>
      <c r="V214" s="4" t="str">
        <f t="shared" si="19"/>
        <v/>
      </c>
      <c r="W214" s="4"/>
      <c r="X214" s="4" t="str">
        <f t="shared" si="20"/>
        <v/>
      </c>
      <c r="Y214" s="6" t="str">
        <f>IF(F214&lt;&gt;"",Tabela1[[#This Row],[Iniciais]],"")</f>
        <v/>
      </c>
      <c r="AA214" s="6" t="str">
        <f>IF($F214&lt;&gt;"",RIGHT(Tabela1[[#This Row],[Ref.]],2),"")</f>
        <v/>
      </c>
      <c r="AB214" s="46" t="str">
        <f>IF($F214&lt;&gt;"",DATE(LEFT(Tabela1[[#This Row],[Ref.]],4),RIGHT(Tabela1[[#This Row],[Ref.]],2),1),"")</f>
        <v/>
      </c>
      <c r="AC214" s="4" t="str">
        <f t="shared" si="21"/>
        <v/>
      </c>
      <c r="AD214" s="5" t="str">
        <f t="shared" si="22"/>
        <v/>
      </c>
      <c r="AE214" s="4"/>
      <c r="AF214" s="6" t="str">
        <f t="shared" si="23"/>
        <v/>
      </c>
    </row>
    <row r="215" spans="1:32" ht="15.75" customHeight="1" x14ac:dyDescent="0.2">
      <c r="A215" s="42"/>
      <c r="B215" s="44"/>
      <c r="C215" s="41"/>
      <c r="D215" s="41"/>
      <c r="E215" s="41"/>
      <c r="F215" s="11"/>
      <c r="G215" s="11"/>
      <c r="H215" s="43"/>
      <c r="K215" s="25"/>
      <c r="L215" s="2"/>
      <c r="M215" s="31"/>
      <c r="N215" s="31"/>
      <c r="O215" s="35"/>
      <c r="P215" s="3"/>
      <c r="Q215" s="6" t="str">
        <f>IF($F215&lt;&gt;"",RIGHT(Tabela1[[#This Row],[Ref.]],2),"")</f>
        <v/>
      </c>
      <c r="R215" s="6" t="str">
        <f t="shared" si="18"/>
        <v/>
      </c>
      <c r="S215" s="4" t="str">
        <f>IF($F215&lt;&gt;"",_xlfn.XLOOKUP(F215,Naturezas!B:B,Naturezas!E:E,"",0,1),"")</f>
        <v/>
      </c>
      <c r="T215" s="4" t="str">
        <f>IF($F215&lt;&gt;"",_xlfn.XLOOKUP($F215,Naturezas!B:B,Naturezas!D:D,"",0,1),"")</f>
        <v/>
      </c>
      <c r="U215" s="5" t="str">
        <f>IF(F215&lt;&gt;"",IF(OR(F215=Naturezas!$B$3,F215=Naturezas!$B$4,F215=Naturezas!$B$5,F215=Naturezas!$B$17,F215=Naturezas!$B$18,F215=Naturezas!$B$19),H215,-H215),"")</f>
        <v/>
      </c>
      <c r="V215" s="4" t="str">
        <f t="shared" si="19"/>
        <v/>
      </c>
      <c r="W215" s="4"/>
      <c r="X215" s="4" t="str">
        <f t="shared" si="20"/>
        <v/>
      </c>
      <c r="Y215" s="6" t="str">
        <f>IF(F215&lt;&gt;"",Tabela1[[#This Row],[Iniciais]],"")</f>
        <v/>
      </c>
      <c r="AA215" s="6" t="str">
        <f>IF($F215&lt;&gt;"",RIGHT(Tabela1[[#This Row],[Ref.]],2),"")</f>
        <v/>
      </c>
      <c r="AB215" s="46" t="str">
        <f>IF($F215&lt;&gt;"",DATE(LEFT(Tabela1[[#This Row],[Ref.]],4),RIGHT(Tabela1[[#This Row],[Ref.]],2),1),"")</f>
        <v/>
      </c>
      <c r="AC215" s="4" t="str">
        <f t="shared" si="21"/>
        <v/>
      </c>
      <c r="AD215" s="5" t="str">
        <f t="shared" si="22"/>
        <v/>
      </c>
      <c r="AE215" s="4"/>
      <c r="AF215" s="6" t="str">
        <f t="shared" si="23"/>
        <v/>
      </c>
    </row>
    <row r="216" spans="1:32" ht="15.75" customHeight="1" x14ac:dyDescent="0.2">
      <c r="A216" s="42"/>
      <c r="B216" s="44"/>
      <c r="C216" s="41"/>
      <c r="D216" s="41"/>
      <c r="E216" s="41"/>
      <c r="F216" s="11"/>
      <c r="G216" s="11"/>
      <c r="H216" s="43"/>
      <c r="K216" s="25"/>
      <c r="L216" s="2"/>
      <c r="M216" s="31"/>
      <c r="N216" s="31"/>
      <c r="O216" s="35"/>
      <c r="P216" s="3"/>
      <c r="Q216" s="6" t="str">
        <f>IF($F216&lt;&gt;"",RIGHT(Tabela1[[#This Row],[Ref.]],2),"")</f>
        <v/>
      </c>
      <c r="R216" s="6" t="str">
        <f t="shared" si="18"/>
        <v/>
      </c>
      <c r="S216" s="4" t="str">
        <f>IF($F216&lt;&gt;"",_xlfn.XLOOKUP(F216,Naturezas!B:B,Naturezas!E:E,"",0,1),"")</f>
        <v/>
      </c>
      <c r="T216" s="4" t="str">
        <f>IF($F216&lt;&gt;"",_xlfn.XLOOKUP($F216,Naturezas!B:B,Naturezas!D:D,"",0,1),"")</f>
        <v/>
      </c>
      <c r="U216" s="5" t="str">
        <f>IF(F216&lt;&gt;"",IF(OR(F216=Naturezas!$B$3,F216=Naturezas!$B$4,F216=Naturezas!$B$5,F216=Naturezas!$B$17,F216=Naturezas!$B$18,F216=Naturezas!$B$19),H216,-H216),"")</f>
        <v/>
      </c>
      <c r="V216" s="4" t="str">
        <f t="shared" si="19"/>
        <v/>
      </c>
      <c r="W216" s="4"/>
      <c r="X216" s="4" t="str">
        <f t="shared" si="20"/>
        <v/>
      </c>
      <c r="Y216" s="6" t="str">
        <f>IF(F216&lt;&gt;"",Tabela1[[#This Row],[Iniciais]],"")</f>
        <v/>
      </c>
      <c r="AA216" s="6" t="str">
        <f>IF($F216&lt;&gt;"",RIGHT(Tabela1[[#This Row],[Ref.]],2),"")</f>
        <v/>
      </c>
      <c r="AB216" s="46" t="str">
        <f>IF($F216&lt;&gt;"",DATE(LEFT(Tabela1[[#This Row],[Ref.]],4),RIGHT(Tabela1[[#This Row],[Ref.]],2),1),"")</f>
        <v/>
      </c>
      <c r="AC216" s="4" t="str">
        <f t="shared" si="21"/>
        <v/>
      </c>
      <c r="AD216" s="5" t="str">
        <f t="shared" si="22"/>
        <v/>
      </c>
      <c r="AE216" s="4"/>
      <c r="AF216" s="6" t="str">
        <f t="shared" si="23"/>
        <v/>
      </c>
    </row>
    <row r="217" spans="1:32" ht="15.75" customHeight="1" x14ac:dyDescent="0.2">
      <c r="A217" s="42"/>
      <c r="B217" s="44"/>
      <c r="C217" s="41"/>
      <c r="D217" s="41"/>
      <c r="E217" s="41"/>
      <c r="F217" s="11"/>
      <c r="G217" s="11"/>
      <c r="H217" s="43"/>
      <c r="K217" s="25"/>
      <c r="L217" s="2"/>
      <c r="M217" s="31"/>
      <c r="N217" s="31"/>
      <c r="O217" s="35"/>
      <c r="P217" s="3"/>
      <c r="Q217" s="6" t="str">
        <f>IF($F217&lt;&gt;"",RIGHT(Tabela1[[#This Row],[Ref.]],2),"")</f>
        <v/>
      </c>
      <c r="R217" s="6" t="str">
        <f t="shared" si="18"/>
        <v/>
      </c>
      <c r="S217" s="4" t="str">
        <f>IF($F217&lt;&gt;"",_xlfn.XLOOKUP(F217,Naturezas!B:B,Naturezas!E:E,"",0,1),"")</f>
        <v/>
      </c>
      <c r="T217" s="4" t="str">
        <f>IF($F217&lt;&gt;"",_xlfn.XLOOKUP($F217,Naturezas!B:B,Naturezas!D:D,"",0,1),"")</f>
        <v/>
      </c>
      <c r="U217" s="5" t="str">
        <f>IF(F217&lt;&gt;"",IF(OR(F217=Naturezas!$B$3,F217=Naturezas!$B$4,F217=Naturezas!$B$5,F217=Naturezas!$B$17,F217=Naturezas!$B$18,F217=Naturezas!$B$19),H217,-H217),"")</f>
        <v/>
      </c>
      <c r="V217" s="4" t="str">
        <f t="shared" si="19"/>
        <v/>
      </c>
      <c r="W217" s="4"/>
      <c r="X217" s="4" t="str">
        <f t="shared" si="20"/>
        <v/>
      </c>
      <c r="Y217" s="6" t="str">
        <f>IF(F217&lt;&gt;"",Tabela1[[#This Row],[Iniciais]],"")</f>
        <v/>
      </c>
      <c r="AA217" s="6" t="str">
        <f>IF($F217&lt;&gt;"",RIGHT(Tabela1[[#This Row],[Ref.]],2),"")</f>
        <v/>
      </c>
      <c r="AB217" s="46" t="str">
        <f>IF($F217&lt;&gt;"",DATE(LEFT(Tabela1[[#This Row],[Ref.]],4),RIGHT(Tabela1[[#This Row],[Ref.]],2),1),"")</f>
        <v/>
      </c>
      <c r="AC217" s="4" t="str">
        <f t="shared" si="21"/>
        <v/>
      </c>
      <c r="AD217" s="5" t="str">
        <f t="shared" si="22"/>
        <v/>
      </c>
      <c r="AE217" s="4"/>
      <c r="AF217" s="6" t="str">
        <f t="shared" si="23"/>
        <v/>
      </c>
    </row>
    <row r="218" spans="1:32" ht="15.75" customHeight="1" x14ac:dyDescent="0.2">
      <c r="A218" s="42"/>
      <c r="B218" s="44"/>
      <c r="C218" s="41"/>
      <c r="D218" s="41"/>
      <c r="E218" s="41"/>
      <c r="F218" s="11"/>
      <c r="G218" s="11"/>
      <c r="H218" s="43"/>
      <c r="K218" s="25"/>
      <c r="L218" s="2"/>
      <c r="M218" s="31"/>
      <c r="N218" s="31"/>
      <c r="O218" s="35"/>
      <c r="P218" s="3"/>
      <c r="Q218" s="6" t="str">
        <f>IF($F218&lt;&gt;"",RIGHT(Tabela1[[#This Row],[Ref.]],2),"")</f>
        <v/>
      </c>
      <c r="R218" s="6" t="str">
        <f t="shared" si="18"/>
        <v/>
      </c>
      <c r="S218" s="4" t="str">
        <f>IF($F218&lt;&gt;"",_xlfn.XLOOKUP(F218,Naturezas!B:B,Naturezas!E:E,"",0,1),"")</f>
        <v/>
      </c>
      <c r="T218" s="4" t="str">
        <f>IF($F218&lt;&gt;"",_xlfn.XLOOKUP($F218,Naturezas!B:B,Naturezas!D:D,"",0,1),"")</f>
        <v/>
      </c>
      <c r="U218" s="5" t="str">
        <f>IF(F218&lt;&gt;"",IF(OR(F218=Naturezas!$B$3,F218=Naturezas!$B$4,F218=Naturezas!$B$5,F218=Naturezas!$B$17,F218=Naturezas!$B$18,F218=Naturezas!$B$19),H218,-H218),"")</f>
        <v/>
      </c>
      <c r="V218" s="4" t="str">
        <f t="shared" si="19"/>
        <v/>
      </c>
      <c r="W218" s="4"/>
      <c r="X218" s="4" t="str">
        <f t="shared" si="20"/>
        <v/>
      </c>
      <c r="Y218" s="6" t="str">
        <f>IF(F218&lt;&gt;"",Tabela1[[#This Row],[Iniciais]],"")</f>
        <v/>
      </c>
      <c r="AA218" s="6" t="str">
        <f>IF($F218&lt;&gt;"",RIGHT(Tabela1[[#This Row],[Ref.]],2),"")</f>
        <v/>
      </c>
      <c r="AB218" s="46" t="str">
        <f>IF($F218&lt;&gt;"",DATE(LEFT(Tabela1[[#This Row],[Ref.]],4),RIGHT(Tabela1[[#This Row],[Ref.]],2),1),"")</f>
        <v/>
      </c>
      <c r="AC218" s="4" t="str">
        <f t="shared" si="21"/>
        <v/>
      </c>
      <c r="AD218" s="5" t="str">
        <f t="shared" si="22"/>
        <v/>
      </c>
      <c r="AE218" s="4"/>
      <c r="AF218" s="6" t="str">
        <f t="shared" si="23"/>
        <v/>
      </c>
    </row>
    <row r="219" spans="1:32" ht="15.75" customHeight="1" x14ac:dyDescent="0.2">
      <c r="A219" s="42"/>
      <c r="B219" s="44"/>
      <c r="C219" s="41"/>
      <c r="D219" s="41"/>
      <c r="E219" s="41"/>
      <c r="F219" s="11"/>
      <c r="G219" s="11"/>
      <c r="H219" s="43"/>
      <c r="K219" s="25"/>
      <c r="M219" s="31"/>
      <c r="N219" s="31"/>
      <c r="O219" s="33"/>
      <c r="Q219" s="6" t="str">
        <f>IF($F219&lt;&gt;"",RIGHT(Tabela1[[#This Row],[Ref.]],2),"")</f>
        <v/>
      </c>
      <c r="R219" s="6" t="str">
        <f t="shared" si="18"/>
        <v/>
      </c>
      <c r="S219" s="4" t="str">
        <f>IF($F219&lt;&gt;"",_xlfn.XLOOKUP(F219,Naturezas!B:B,Naturezas!E:E,"",0,1),"")</f>
        <v/>
      </c>
      <c r="T219" s="4" t="str">
        <f>IF($F219&lt;&gt;"",_xlfn.XLOOKUP($F219,Naturezas!B:B,Naturezas!D:D,"",0,1),"")</f>
        <v/>
      </c>
      <c r="U219" s="5" t="str">
        <f>IF(F219&lt;&gt;"",IF(OR(F219=Naturezas!$B$3,F219=Naturezas!$B$4,F219=Naturezas!$B$5,F219=Naturezas!$B$17,F219=Naturezas!$B$18,F219=Naturezas!$B$19),H219,-H219),"")</f>
        <v/>
      </c>
      <c r="V219" s="4" t="str">
        <f t="shared" si="19"/>
        <v/>
      </c>
      <c r="W219" s="4"/>
      <c r="X219" s="4" t="str">
        <f t="shared" si="20"/>
        <v/>
      </c>
      <c r="Y219" s="6" t="str">
        <f>IF(F219&lt;&gt;"",Tabela1[[#This Row],[Iniciais]],"")</f>
        <v/>
      </c>
      <c r="AA219" s="6" t="str">
        <f>IF($F219&lt;&gt;"",RIGHT(Tabela1[[#This Row],[Ref.]],2),"")</f>
        <v/>
      </c>
      <c r="AB219" s="46" t="str">
        <f>IF($F219&lt;&gt;"",DATE(LEFT(Tabela1[[#This Row],[Ref.]],4),RIGHT(Tabela1[[#This Row],[Ref.]],2),1),"")</f>
        <v/>
      </c>
      <c r="AC219" s="4" t="str">
        <f t="shared" si="21"/>
        <v/>
      </c>
      <c r="AD219" s="5" t="str">
        <f t="shared" si="22"/>
        <v/>
      </c>
      <c r="AE219" s="4"/>
      <c r="AF219" s="6" t="str">
        <f t="shared" si="23"/>
        <v/>
      </c>
    </row>
    <row r="220" spans="1:32" ht="15.75" customHeight="1" x14ac:dyDescent="0.2">
      <c r="A220" s="42"/>
      <c r="B220" s="44"/>
      <c r="C220" s="41"/>
      <c r="D220" s="41"/>
      <c r="E220" s="41"/>
      <c r="F220" s="11"/>
      <c r="G220" s="11"/>
      <c r="H220" s="43"/>
      <c r="K220" s="25"/>
      <c r="M220" s="31"/>
      <c r="N220" s="31"/>
      <c r="O220" s="33"/>
      <c r="Q220" s="6" t="str">
        <f>IF($F220&lt;&gt;"",RIGHT(Tabela1[[#This Row],[Ref.]],2),"")</f>
        <v/>
      </c>
      <c r="R220" s="6" t="str">
        <f t="shared" si="18"/>
        <v/>
      </c>
      <c r="S220" s="4" t="str">
        <f>IF($F220&lt;&gt;"",_xlfn.XLOOKUP(F220,Naturezas!B:B,Naturezas!E:E,"",0,1),"")</f>
        <v/>
      </c>
      <c r="T220" s="4" t="str">
        <f>IF($F220&lt;&gt;"",_xlfn.XLOOKUP($F220,Naturezas!B:B,Naturezas!D:D,"",0,1),"")</f>
        <v/>
      </c>
      <c r="U220" s="5" t="str">
        <f>IF(F220&lt;&gt;"",IF(OR(F220=Naturezas!$B$3,F220=Naturezas!$B$4,F220=Naturezas!$B$5,F220=Naturezas!$B$17,F220=Naturezas!$B$18,F220=Naturezas!$B$19),H220,-H220),"")</f>
        <v/>
      </c>
      <c r="V220" s="4" t="str">
        <f t="shared" si="19"/>
        <v/>
      </c>
      <c r="W220" s="4"/>
      <c r="X220" s="4" t="str">
        <f t="shared" si="20"/>
        <v/>
      </c>
      <c r="Y220" s="6" t="str">
        <f>IF(F220&lt;&gt;"",Tabela1[[#This Row],[Iniciais]],"")</f>
        <v/>
      </c>
      <c r="AA220" s="6" t="str">
        <f>IF($F220&lt;&gt;"",RIGHT(Tabela1[[#This Row],[Ref.]],2),"")</f>
        <v/>
      </c>
      <c r="AB220" s="46" t="str">
        <f>IF($F220&lt;&gt;"",DATE(LEFT(Tabela1[[#This Row],[Ref.]],4),RIGHT(Tabela1[[#This Row],[Ref.]],2),1),"")</f>
        <v/>
      </c>
      <c r="AC220" s="4" t="str">
        <f t="shared" si="21"/>
        <v/>
      </c>
      <c r="AD220" s="5" t="str">
        <f t="shared" si="22"/>
        <v/>
      </c>
      <c r="AE220" s="4"/>
      <c r="AF220" s="6" t="str">
        <f t="shared" si="23"/>
        <v/>
      </c>
    </row>
    <row r="221" spans="1:32" ht="15.75" customHeight="1" x14ac:dyDescent="0.2">
      <c r="A221" s="42"/>
      <c r="B221" s="44"/>
      <c r="C221" s="41"/>
      <c r="D221" s="41"/>
      <c r="E221" s="41"/>
      <c r="F221" s="11"/>
      <c r="G221" s="11"/>
      <c r="H221" s="43"/>
      <c r="K221" s="25"/>
      <c r="M221" s="31"/>
      <c r="N221" s="31"/>
      <c r="O221" s="33"/>
      <c r="Q221" s="6" t="str">
        <f>IF($F221&lt;&gt;"",RIGHT(Tabela1[[#This Row],[Ref.]],2),"")</f>
        <v/>
      </c>
      <c r="R221" s="6" t="str">
        <f t="shared" si="18"/>
        <v/>
      </c>
      <c r="S221" s="4" t="str">
        <f>IF($F221&lt;&gt;"",_xlfn.XLOOKUP(F221,Naturezas!B:B,Naturezas!E:E,"",0,1),"")</f>
        <v/>
      </c>
      <c r="T221" s="4" t="str">
        <f>IF($F221&lt;&gt;"",_xlfn.XLOOKUP($F221,Naturezas!B:B,Naturezas!D:D,"",0,1),"")</f>
        <v/>
      </c>
      <c r="U221" s="5" t="str">
        <f>IF(F221&lt;&gt;"",IF(OR(F221=Naturezas!$B$3,F221=Naturezas!$B$4,F221=Naturezas!$B$5,F221=Naturezas!$B$17,F221=Naturezas!$B$18,F221=Naturezas!$B$19),H221,-H221),"")</f>
        <v/>
      </c>
      <c r="V221" s="4" t="str">
        <f t="shared" si="19"/>
        <v/>
      </c>
      <c r="W221" s="4"/>
      <c r="X221" s="4" t="str">
        <f t="shared" si="20"/>
        <v/>
      </c>
      <c r="Y221" s="6" t="str">
        <f>IF(F221&lt;&gt;"",Tabela1[[#This Row],[Iniciais]],"")</f>
        <v/>
      </c>
      <c r="AA221" s="6" t="str">
        <f>IF($F221&lt;&gt;"",RIGHT(Tabela1[[#This Row],[Ref.]],2),"")</f>
        <v/>
      </c>
      <c r="AB221" s="46" t="str">
        <f>IF($F221&lt;&gt;"",DATE(LEFT(Tabela1[[#This Row],[Ref.]],4),RIGHT(Tabela1[[#This Row],[Ref.]],2),1),"")</f>
        <v/>
      </c>
      <c r="AC221" s="4" t="str">
        <f t="shared" si="21"/>
        <v/>
      </c>
      <c r="AD221" s="5" t="str">
        <f t="shared" si="22"/>
        <v/>
      </c>
      <c r="AE221" s="4"/>
      <c r="AF221" s="6" t="str">
        <f t="shared" si="23"/>
        <v/>
      </c>
    </row>
    <row r="222" spans="1:32" ht="15.75" customHeight="1" x14ac:dyDescent="0.2">
      <c r="A222" s="42"/>
      <c r="B222" s="44"/>
      <c r="C222" s="41"/>
      <c r="D222" s="41"/>
      <c r="E222" s="41"/>
      <c r="F222" s="11"/>
      <c r="G222" s="11"/>
      <c r="H222" s="43"/>
      <c r="K222" s="25"/>
      <c r="M222" s="31"/>
      <c r="N222" s="31"/>
      <c r="O222" s="33"/>
      <c r="Q222" s="6" t="str">
        <f>IF($F222&lt;&gt;"",RIGHT(Tabela1[[#This Row],[Ref.]],2),"")</f>
        <v/>
      </c>
      <c r="R222" s="6" t="str">
        <f t="shared" si="18"/>
        <v/>
      </c>
      <c r="S222" s="4" t="str">
        <f>IF($F222&lt;&gt;"",_xlfn.XLOOKUP(F222,Naturezas!B:B,Naturezas!E:E,"",0,1),"")</f>
        <v/>
      </c>
      <c r="T222" s="4" t="str">
        <f>IF($F222&lt;&gt;"",_xlfn.XLOOKUP($F222,Naturezas!B:B,Naturezas!D:D,"",0,1),"")</f>
        <v/>
      </c>
      <c r="U222" s="5" t="str">
        <f>IF(F222&lt;&gt;"",IF(OR(F222=Naturezas!$B$3,F222=Naturezas!$B$4,F222=Naturezas!$B$5,F222=Naturezas!$B$17,F222=Naturezas!$B$18,F222=Naturezas!$B$19),H222,-H222),"")</f>
        <v/>
      </c>
      <c r="V222" s="4" t="str">
        <f t="shared" si="19"/>
        <v/>
      </c>
      <c r="W222" s="4"/>
      <c r="X222" s="4" t="str">
        <f t="shared" si="20"/>
        <v/>
      </c>
      <c r="Y222" s="6" t="str">
        <f>IF(F222&lt;&gt;"",Tabela1[[#This Row],[Iniciais]],"")</f>
        <v/>
      </c>
      <c r="AA222" s="6" t="str">
        <f>IF($F222&lt;&gt;"",RIGHT(Tabela1[[#This Row],[Ref.]],2),"")</f>
        <v/>
      </c>
      <c r="AB222" s="46" t="str">
        <f>IF($F222&lt;&gt;"",DATE(LEFT(Tabela1[[#This Row],[Ref.]],4),RIGHT(Tabela1[[#This Row],[Ref.]],2),1),"")</f>
        <v/>
      </c>
      <c r="AC222" s="4" t="str">
        <f t="shared" si="21"/>
        <v/>
      </c>
      <c r="AD222" s="5" t="str">
        <f t="shared" si="22"/>
        <v/>
      </c>
      <c r="AE222" s="4"/>
      <c r="AF222" s="6" t="str">
        <f t="shared" si="23"/>
        <v/>
      </c>
    </row>
    <row r="223" spans="1:32" ht="15.75" customHeight="1" x14ac:dyDescent="0.2">
      <c r="A223" s="42"/>
      <c r="B223" s="44"/>
      <c r="C223" s="41"/>
      <c r="D223" s="41"/>
      <c r="E223" s="41"/>
      <c r="F223" s="11"/>
      <c r="G223" s="11"/>
      <c r="H223" s="43"/>
      <c r="K223" s="25"/>
      <c r="M223" s="31"/>
      <c r="N223" s="31"/>
      <c r="O223" s="33"/>
      <c r="Q223" s="6" t="str">
        <f>IF($F223&lt;&gt;"",RIGHT(Tabela1[[#This Row],[Ref.]],2),"")</f>
        <v/>
      </c>
      <c r="R223" s="6" t="str">
        <f t="shared" si="18"/>
        <v/>
      </c>
      <c r="S223" s="4" t="str">
        <f>IF($F223&lt;&gt;"",_xlfn.XLOOKUP(F223,Naturezas!B:B,Naturezas!E:E,"",0,1),"")</f>
        <v/>
      </c>
      <c r="T223" s="4" t="str">
        <f>IF($F223&lt;&gt;"",_xlfn.XLOOKUP($F223,Naturezas!B:B,Naturezas!D:D,"",0,1),"")</f>
        <v/>
      </c>
      <c r="U223" s="5" t="str">
        <f>IF(F223&lt;&gt;"",IF(OR(F223=Naturezas!$B$3,F223=Naturezas!$B$4,F223=Naturezas!$B$5,F223=Naturezas!$B$17,F223=Naturezas!$B$18,F223=Naturezas!$B$19),H223,-H223),"")</f>
        <v/>
      </c>
      <c r="V223" s="4" t="str">
        <f t="shared" si="19"/>
        <v/>
      </c>
      <c r="W223" s="4"/>
      <c r="X223" s="4" t="str">
        <f t="shared" si="20"/>
        <v/>
      </c>
      <c r="Y223" s="6" t="str">
        <f>IF(F223&lt;&gt;"",Tabela1[[#This Row],[Iniciais]],"")</f>
        <v/>
      </c>
      <c r="AA223" s="6" t="str">
        <f>IF($F223&lt;&gt;"",RIGHT(Tabela1[[#This Row],[Ref.]],2),"")</f>
        <v/>
      </c>
      <c r="AB223" s="46" t="str">
        <f>IF($F223&lt;&gt;"",DATE(LEFT(Tabela1[[#This Row],[Ref.]],4),RIGHT(Tabela1[[#This Row],[Ref.]],2),1),"")</f>
        <v/>
      </c>
      <c r="AC223" s="4" t="str">
        <f t="shared" si="21"/>
        <v/>
      </c>
      <c r="AD223" s="5" t="str">
        <f t="shared" si="22"/>
        <v/>
      </c>
      <c r="AE223" s="4"/>
      <c r="AF223" s="6" t="str">
        <f t="shared" si="23"/>
        <v/>
      </c>
    </row>
    <row r="224" spans="1:32" ht="15.75" customHeight="1" x14ac:dyDescent="0.2">
      <c r="A224" s="42"/>
      <c r="B224" s="44"/>
      <c r="C224" s="41"/>
      <c r="D224" s="41"/>
      <c r="E224" s="41"/>
      <c r="F224" s="11"/>
      <c r="G224" s="11"/>
      <c r="H224" s="43"/>
      <c r="K224" s="25"/>
      <c r="M224" s="31"/>
      <c r="N224" s="31"/>
      <c r="O224" s="33"/>
      <c r="Q224" s="6" t="str">
        <f>IF($F224&lt;&gt;"",RIGHT(Tabela1[[#This Row],[Ref.]],2),"")</f>
        <v/>
      </c>
      <c r="R224" s="6" t="str">
        <f t="shared" si="18"/>
        <v/>
      </c>
      <c r="S224" s="4" t="str">
        <f>IF($F224&lt;&gt;"",_xlfn.XLOOKUP(F224,Naturezas!B:B,Naturezas!E:E,"",0,1),"")</f>
        <v/>
      </c>
      <c r="T224" s="4" t="str">
        <f>IF($F224&lt;&gt;"",_xlfn.XLOOKUP($F224,Naturezas!B:B,Naturezas!D:D,"",0,1),"")</f>
        <v/>
      </c>
      <c r="U224" s="5" t="str">
        <f>IF(F224&lt;&gt;"",IF(OR(F224=Naturezas!$B$3,F224=Naturezas!$B$4,F224=Naturezas!$B$5,F224=Naturezas!$B$17,F224=Naturezas!$B$18,F224=Naturezas!$B$19),H224,-H224),"")</f>
        <v/>
      </c>
      <c r="V224" s="4" t="str">
        <f t="shared" si="19"/>
        <v/>
      </c>
      <c r="W224" s="4"/>
      <c r="X224" s="4" t="str">
        <f t="shared" si="20"/>
        <v/>
      </c>
      <c r="Y224" s="6" t="str">
        <f>IF(F224&lt;&gt;"",Tabela1[[#This Row],[Iniciais]],"")</f>
        <v/>
      </c>
      <c r="AA224" s="6" t="str">
        <f>IF($F224&lt;&gt;"",RIGHT(Tabela1[[#This Row],[Ref.]],2),"")</f>
        <v/>
      </c>
      <c r="AB224" s="46" t="str">
        <f>IF($F224&lt;&gt;"",DATE(LEFT(Tabela1[[#This Row],[Ref.]],4),RIGHT(Tabela1[[#This Row],[Ref.]],2),1),"")</f>
        <v/>
      </c>
      <c r="AC224" s="4" t="str">
        <f t="shared" si="21"/>
        <v/>
      </c>
      <c r="AD224" s="5" t="str">
        <f t="shared" si="22"/>
        <v/>
      </c>
      <c r="AE224" s="4"/>
      <c r="AF224" s="6" t="str">
        <f t="shared" si="23"/>
        <v/>
      </c>
    </row>
    <row r="225" spans="1:32" ht="15.75" customHeight="1" x14ac:dyDescent="0.2">
      <c r="A225" s="42"/>
      <c r="B225" s="44"/>
      <c r="C225" s="41"/>
      <c r="D225" s="41"/>
      <c r="E225" s="41"/>
      <c r="F225" s="11"/>
      <c r="G225" s="11"/>
      <c r="H225" s="43"/>
      <c r="K225" s="25"/>
      <c r="M225" s="31"/>
      <c r="N225" s="31"/>
      <c r="O225" s="33"/>
      <c r="Q225" s="6" t="str">
        <f>IF($F225&lt;&gt;"",RIGHT(Tabela1[[#This Row],[Ref.]],2),"")</f>
        <v/>
      </c>
      <c r="R225" s="6" t="str">
        <f t="shared" si="18"/>
        <v/>
      </c>
      <c r="S225" s="4" t="str">
        <f>IF($F225&lt;&gt;"",_xlfn.XLOOKUP(F225,Naturezas!B:B,Naturezas!E:E,"",0,1),"")</f>
        <v/>
      </c>
      <c r="T225" s="4" t="str">
        <f>IF($F225&lt;&gt;"",_xlfn.XLOOKUP($F225,Naturezas!B:B,Naturezas!D:D,"",0,1),"")</f>
        <v/>
      </c>
      <c r="U225" s="5" t="str">
        <f>IF(F225&lt;&gt;"",IF(OR(F225=Naturezas!$B$3,F225=Naturezas!$B$4,F225=Naturezas!$B$5,F225=Naturezas!$B$17,F225=Naturezas!$B$18,F225=Naturezas!$B$19),H225,-H225),"")</f>
        <v/>
      </c>
      <c r="V225" s="4" t="str">
        <f t="shared" si="19"/>
        <v/>
      </c>
      <c r="W225" s="4"/>
      <c r="X225" s="4" t="str">
        <f t="shared" si="20"/>
        <v/>
      </c>
      <c r="Y225" s="6" t="str">
        <f>IF(F225&lt;&gt;"",Tabela1[[#This Row],[Iniciais]],"")</f>
        <v/>
      </c>
      <c r="AA225" s="6" t="str">
        <f>IF($F225&lt;&gt;"",RIGHT(Tabela1[[#This Row],[Ref.]],2),"")</f>
        <v/>
      </c>
      <c r="AB225" s="46" t="str">
        <f>IF($F225&lt;&gt;"",DATE(LEFT(Tabela1[[#This Row],[Ref.]],4),RIGHT(Tabela1[[#This Row],[Ref.]],2),1),"")</f>
        <v/>
      </c>
      <c r="AC225" s="4" t="str">
        <f t="shared" si="21"/>
        <v/>
      </c>
      <c r="AD225" s="5" t="str">
        <f t="shared" si="22"/>
        <v/>
      </c>
      <c r="AE225" s="4"/>
      <c r="AF225" s="6" t="str">
        <f t="shared" si="23"/>
        <v/>
      </c>
    </row>
    <row r="226" spans="1:32" ht="15.75" customHeight="1" x14ac:dyDescent="0.2">
      <c r="A226" s="42"/>
      <c r="B226" s="44"/>
      <c r="C226" s="41"/>
      <c r="D226" s="41"/>
      <c r="E226" s="41"/>
      <c r="F226" s="11"/>
      <c r="G226" s="11"/>
      <c r="H226" s="43"/>
      <c r="K226" s="25"/>
      <c r="M226" s="31"/>
      <c r="N226" s="31"/>
      <c r="O226" s="33"/>
      <c r="Q226" s="6" t="str">
        <f>IF($F226&lt;&gt;"",RIGHT(Tabela1[[#This Row],[Ref.]],2),"")</f>
        <v/>
      </c>
      <c r="R226" s="6" t="str">
        <f t="shared" si="18"/>
        <v/>
      </c>
      <c r="S226" s="4" t="str">
        <f>IF($F226&lt;&gt;"",_xlfn.XLOOKUP(F226,Naturezas!B:B,Naturezas!E:E,"",0,1),"")</f>
        <v/>
      </c>
      <c r="T226" s="4" t="str">
        <f>IF($F226&lt;&gt;"",_xlfn.XLOOKUP($F226,Naturezas!B:B,Naturezas!D:D,"",0,1),"")</f>
        <v/>
      </c>
      <c r="U226" s="5" t="str">
        <f>IF(F226&lt;&gt;"",IF(OR(F226=Naturezas!$B$3,F226=Naturezas!$B$4,F226=Naturezas!$B$5,F226=Naturezas!$B$17,F226=Naturezas!$B$18,F226=Naturezas!$B$19),H226,-H226),"")</f>
        <v/>
      </c>
      <c r="V226" s="4" t="str">
        <f t="shared" si="19"/>
        <v/>
      </c>
      <c r="W226" s="4"/>
      <c r="X226" s="4" t="str">
        <f t="shared" si="20"/>
        <v/>
      </c>
      <c r="Y226" s="6" t="str">
        <f>IF(F226&lt;&gt;"",Tabela1[[#This Row],[Iniciais]],"")</f>
        <v/>
      </c>
      <c r="AA226" s="6" t="str">
        <f>IF($F226&lt;&gt;"",RIGHT(Tabela1[[#This Row],[Ref.]],2),"")</f>
        <v/>
      </c>
      <c r="AB226" s="46" t="str">
        <f>IF($F226&lt;&gt;"",DATE(LEFT(Tabela1[[#This Row],[Ref.]],4),RIGHT(Tabela1[[#This Row],[Ref.]],2),1),"")</f>
        <v/>
      </c>
      <c r="AC226" s="4" t="str">
        <f t="shared" si="21"/>
        <v/>
      </c>
      <c r="AD226" s="5" t="str">
        <f t="shared" si="22"/>
        <v/>
      </c>
      <c r="AE226" s="4"/>
      <c r="AF226" s="6" t="str">
        <f t="shared" si="23"/>
        <v/>
      </c>
    </row>
    <row r="227" spans="1:32" ht="15.75" customHeight="1" x14ac:dyDescent="0.2">
      <c r="A227" s="42"/>
      <c r="B227" s="44"/>
      <c r="C227" s="41"/>
      <c r="D227" s="41"/>
      <c r="E227" s="41"/>
      <c r="F227" s="11"/>
      <c r="G227" s="11"/>
      <c r="H227" s="43"/>
      <c r="K227" s="25"/>
      <c r="M227" s="31"/>
      <c r="N227" s="31"/>
      <c r="O227" s="33"/>
      <c r="Q227" s="6" t="str">
        <f>IF($F227&lt;&gt;"",RIGHT(Tabela1[[#This Row],[Ref.]],2),"")</f>
        <v/>
      </c>
      <c r="R227" s="6" t="str">
        <f t="shared" si="18"/>
        <v/>
      </c>
      <c r="S227" s="4" t="str">
        <f>IF($F227&lt;&gt;"",_xlfn.XLOOKUP(F227,Naturezas!B:B,Naturezas!E:E,"",0,1),"")</f>
        <v/>
      </c>
      <c r="T227" s="4" t="str">
        <f>IF($F227&lt;&gt;"",_xlfn.XLOOKUP($F227,Naturezas!B:B,Naturezas!D:D,"",0,1),"")</f>
        <v/>
      </c>
      <c r="U227" s="5" t="str">
        <f>IF(F227&lt;&gt;"",IF(OR(F227=Naturezas!$B$3,F227=Naturezas!$B$4,F227=Naturezas!$B$5,F227=Naturezas!$B$17,F227=Naturezas!$B$18,F227=Naturezas!$B$19),H227,-H227),"")</f>
        <v/>
      </c>
      <c r="V227" s="4" t="str">
        <f t="shared" si="19"/>
        <v/>
      </c>
      <c r="W227" s="4"/>
      <c r="X227" s="4" t="str">
        <f t="shared" si="20"/>
        <v/>
      </c>
      <c r="Y227" s="6" t="str">
        <f>IF(F227&lt;&gt;"",Tabela1[[#This Row],[Iniciais]],"")</f>
        <v/>
      </c>
      <c r="AA227" s="6" t="str">
        <f>IF($F227&lt;&gt;"",RIGHT(Tabela1[[#This Row],[Ref.]],2),"")</f>
        <v/>
      </c>
      <c r="AB227" s="46" t="str">
        <f>IF($F227&lt;&gt;"",DATE(LEFT(Tabela1[[#This Row],[Ref.]],4),RIGHT(Tabela1[[#This Row],[Ref.]],2),1),"")</f>
        <v/>
      </c>
      <c r="AC227" s="4" t="str">
        <f t="shared" si="21"/>
        <v/>
      </c>
      <c r="AD227" s="5" t="str">
        <f t="shared" si="22"/>
        <v/>
      </c>
      <c r="AE227" s="4"/>
      <c r="AF227" s="6" t="str">
        <f t="shared" si="23"/>
        <v/>
      </c>
    </row>
    <row r="228" spans="1:32" ht="15.75" customHeight="1" x14ac:dyDescent="0.2">
      <c r="A228" s="42"/>
      <c r="B228" s="44"/>
      <c r="C228" s="41"/>
      <c r="D228" s="41"/>
      <c r="E228" s="41"/>
      <c r="F228" s="11"/>
      <c r="G228" s="11"/>
      <c r="H228" s="43"/>
      <c r="K228" s="25"/>
      <c r="M228" s="31"/>
      <c r="N228" s="31"/>
      <c r="O228" s="33"/>
      <c r="Q228" s="6" t="str">
        <f>IF($F228&lt;&gt;"",RIGHT(Tabela1[[#This Row],[Ref.]],2),"")</f>
        <v/>
      </c>
      <c r="R228" s="6" t="str">
        <f t="shared" si="18"/>
        <v/>
      </c>
      <c r="S228" s="4" t="str">
        <f>IF($F228&lt;&gt;"",_xlfn.XLOOKUP(F228,Naturezas!B:B,Naturezas!E:E,"",0,1),"")</f>
        <v/>
      </c>
      <c r="T228" s="4" t="str">
        <f>IF($F228&lt;&gt;"",_xlfn.XLOOKUP($F228,Naturezas!B:B,Naturezas!D:D,"",0,1),"")</f>
        <v/>
      </c>
      <c r="U228" s="5" t="str">
        <f>IF(F228&lt;&gt;"",IF(OR(F228=Naturezas!$B$3,F228=Naturezas!$B$4,F228=Naturezas!$B$5,F228=Naturezas!$B$17,F228=Naturezas!$B$18,F228=Naturezas!$B$19),H228,-H228),"")</f>
        <v/>
      </c>
      <c r="V228" s="4" t="str">
        <f t="shared" si="19"/>
        <v/>
      </c>
      <c r="W228" s="4"/>
      <c r="X228" s="4" t="str">
        <f t="shared" si="20"/>
        <v/>
      </c>
      <c r="Y228" s="6" t="str">
        <f>IF(F228&lt;&gt;"",Tabela1[[#This Row],[Iniciais]],"")</f>
        <v/>
      </c>
      <c r="AA228" s="6" t="str">
        <f>IF($F228&lt;&gt;"",RIGHT(Tabela1[[#This Row],[Ref.]],2),"")</f>
        <v/>
      </c>
      <c r="AB228" s="46" t="str">
        <f>IF($F228&lt;&gt;"",DATE(LEFT(Tabela1[[#This Row],[Ref.]],4),RIGHT(Tabela1[[#This Row],[Ref.]],2),1),"")</f>
        <v/>
      </c>
      <c r="AC228" s="4" t="str">
        <f t="shared" si="21"/>
        <v/>
      </c>
      <c r="AD228" s="5" t="str">
        <f t="shared" si="22"/>
        <v/>
      </c>
      <c r="AE228" s="4"/>
      <c r="AF228" s="6" t="str">
        <f t="shared" si="23"/>
        <v/>
      </c>
    </row>
    <row r="229" spans="1:32" ht="15.75" customHeight="1" x14ac:dyDescent="0.2">
      <c r="A229" s="42"/>
      <c r="B229" s="44"/>
      <c r="C229" s="41"/>
      <c r="D229" s="41"/>
      <c r="E229" s="41"/>
      <c r="F229" s="11"/>
      <c r="G229" s="11"/>
      <c r="H229" s="43"/>
      <c r="K229" s="25"/>
      <c r="M229" s="31"/>
      <c r="N229" s="31"/>
      <c r="O229" s="33"/>
      <c r="Q229" s="6" t="str">
        <f>IF($F229&lt;&gt;"",RIGHT(Tabela1[[#This Row],[Ref.]],2),"")</f>
        <v/>
      </c>
      <c r="R229" s="6" t="str">
        <f t="shared" si="18"/>
        <v/>
      </c>
      <c r="S229" s="4" t="str">
        <f>IF($F229&lt;&gt;"",_xlfn.XLOOKUP(F229,Naturezas!B:B,Naturezas!E:E,"",0,1),"")</f>
        <v/>
      </c>
      <c r="T229" s="4" t="str">
        <f>IF($F229&lt;&gt;"",_xlfn.XLOOKUP($F229,Naturezas!B:B,Naturezas!D:D,"",0,1),"")</f>
        <v/>
      </c>
      <c r="U229" s="5" t="str">
        <f>IF(F229&lt;&gt;"",IF(OR(F229=Naturezas!$B$3,F229=Naturezas!$B$4,F229=Naturezas!$B$5,F229=Naturezas!$B$17,F229=Naturezas!$B$18,F229=Naturezas!$B$19),H229,-H229),"")</f>
        <v/>
      </c>
      <c r="V229" s="4" t="str">
        <f t="shared" si="19"/>
        <v/>
      </c>
      <c r="W229" s="4"/>
      <c r="X229" s="4" t="str">
        <f t="shared" si="20"/>
        <v/>
      </c>
      <c r="Y229" s="6" t="str">
        <f>IF(F229&lt;&gt;"",Tabela1[[#This Row],[Iniciais]],"")</f>
        <v/>
      </c>
      <c r="AA229" s="6" t="str">
        <f>IF($F229&lt;&gt;"",RIGHT(Tabela1[[#This Row],[Ref.]],2),"")</f>
        <v/>
      </c>
      <c r="AB229" s="46" t="str">
        <f>IF($F229&lt;&gt;"",DATE(LEFT(Tabela1[[#This Row],[Ref.]],4),RIGHT(Tabela1[[#This Row],[Ref.]],2),1),"")</f>
        <v/>
      </c>
      <c r="AC229" s="4" t="str">
        <f t="shared" si="21"/>
        <v/>
      </c>
      <c r="AD229" s="5" t="str">
        <f t="shared" si="22"/>
        <v/>
      </c>
      <c r="AE229" s="4"/>
      <c r="AF229" s="6" t="str">
        <f t="shared" si="23"/>
        <v/>
      </c>
    </row>
    <row r="230" spans="1:32" ht="15.75" customHeight="1" x14ac:dyDescent="0.2">
      <c r="A230" s="42"/>
      <c r="B230" s="44"/>
      <c r="C230" s="41"/>
      <c r="D230" s="41"/>
      <c r="E230" s="41"/>
      <c r="F230" s="11"/>
      <c r="G230" s="11"/>
      <c r="H230" s="43"/>
      <c r="K230" s="25"/>
      <c r="M230" s="31"/>
      <c r="N230" s="31"/>
      <c r="O230" s="33"/>
      <c r="Q230" s="6" t="str">
        <f>IF($F230&lt;&gt;"",RIGHT(Tabela1[[#This Row],[Ref.]],2),"")</f>
        <v/>
      </c>
      <c r="R230" s="6" t="str">
        <f t="shared" si="18"/>
        <v/>
      </c>
      <c r="S230" s="4" t="str">
        <f>IF($F230&lt;&gt;"",_xlfn.XLOOKUP(F230,Naturezas!B:B,Naturezas!E:E,"",0,1),"")</f>
        <v/>
      </c>
      <c r="T230" s="4" t="str">
        <f>IF($F230&lt;&gt;"",_xlfn.XLOOKUP($F230,Naturezas!B:B,Naturezas!D:D,"",0,1),"")</f>
        <v/>
      </c>
      <c r="U230" s="5" t="str">
        <f>IF(F230&lt;&gt;"",IF(OR(F230=Naturezas!$B$3,F230=Naturezas!$B$4,F230=Naturezas!$B$5,F230=Naturezas!$B$17,F230=Naturezas!$B$18,F230=Naturezas!$B$19),H230,-H230),"")</f>
        <v/>
      </c>
      <c r="V230" s="4" t="str">
        <f t="shared" si="19"/>
        <v/>
      </c>
      <c r="W230" s="4"/>
      <c r="X230" s="4" t="str">
        <f t="shared" si="20"/>
        <v/>
      </c>
      <c r="Y230" s="6" t="str">
        <f>IF(F230&lt;&gt;"",Tabela1[[#This Row],[Iniciais]],"")</f>
        <v/>
      </c>
      <c r="AA230" s="6" t="str">
        <f>IF($F230&lt;&gt;"",RIGHT(Tabela1[[#This Row],[Ref.]],2),"")</f>
        <v/>
      </c>
      <c r="AB230" s="46" t="str">
        <f>IF($F230&lt;&gt;"",DATE(LEFT(Tabela1[[#This Row],[Ref.]],4),RIGHT(Tabela1[[#This Row],[Ref.]],2),1),"")</f>
        <v/>
      </c>
      <c r="AC230" s="4" t="str">
        <f t="shared" si="21"/>
        <v/>
      </c>
      <c r="AD230" s="5" t="str">
        <f t="shared" si="22"/>
        <v/>
      </c>
      <c r="AE230" s="4"/>
      <c r="AF230" s="6" t="str">
        <f t="shared" si="23"/>
        <v/>
      </c>
    </row>
    <row r="231" spans="1:32" ht="15.75" customHeight="1" x14ac:dyDescent="0.2">
      <c r="A231" s="42"/>
      <c r="B231" s="44"/>
      <c r="C231" s="41"/>
      <c r="D231" s="41"/>
      <c r="E231" s="41"/>
      <c r="F231" s="11"/>
      <c r="G231" s="11"/>
      <c r="H231" s="43"/>
      <c r="K231" s="25"/>
      <c r="M231" s="31"/>
      <c r="N231" s="31"/>
      <c r="O231" s="33"/>
      <c r="Q231" s="6" t="str">
        <f>IF($F231&lt;&gt;"",RIGHT(Tabela1[[#This Row],[Ref.]],2),"")</f>
        <v/>
      </c>
      <c r="R231" s="6" t="str">
        <f t="shared" si="18"/>
        <v/>
      </c>
      <c r="S231" s="4" t="str">
        <f>IF($F231&lt;&gt;"",_xlfn.XLOOKUP(F231,Naturezas!B:B,Naturezas!E:E,"",0,1),"")</f>
        <v/>
      </c>
      <c r="T231" s="4" t="str">
        <f>IF($F231&lt;&gt;"",_xlfn.XLOOKUP($F231,Naturezas!B:B,Naturezas!D:D,"",0,1),"")</f>
        <v/>
      </c>
      <c r="U231" s="5" t="str">
        <f>IF(F231&lt;&gt;"",IF(OR(F231=Naturezas!$B$3,F231=Naturezas!$B$4,F231=Naturezas!$B$5,F231=Naturezas!$B$17,F231=Naturezas!$B$18,F231=Naturezas!$B$19),H231,-H231),"")</f>
        <v/>
      </c>
      <c r="V231" s="4" t="str">
        <f t="shared" si="19"/>
        <v/>
      </c>
      <c r="W231" s="4"/>
      <c r="X231" s="4" t="str">
        <f t="shared" si="20"/>
        <v/>
      </c>
      <c r="Y231" s="6" t="str">
        <f>IF(F231&lt;&gt;"",Tabela1[[#This Row],[Iniciais]],"")</f>
        <v/>
      </c>
      <c r="AA231" s="6" t="str">
        <f>IF($F231&lt;&gt;"",RIGHT(Tabela1[[#This Row],[Ref.]],2),"")</f>
        <v/>
      </c>
      <c r="AB231" s="46" t="str">
        <f>IF($F231&lt;&gt;"",DATE(LEFT(Tabela1[[#This Row],[Ref.]],4),RIGHT(Tabela1[[#This Row],[Ref.]],2),1),"")</f>
        <v/>
      </c>
      <c r="AC231" s="4" t="str">
        <f t="shared" si="21"/>
        <v/>
      </c>
      <c r="AD231" s="5" t="str">
        <f t="shared" si="22"/>
        <v/>
      </c>
      <c r="AE231" s="4"/>
      <c r="AF231" s="6" t="str">
        <f t="shared" si="23"/>
        <v/>
      </c>
    </row>
    <row r="232" spans="1:32" ht="15.75" customHeight="1" x14ac:dyDescent="0.2">
      <c r="A232" s="42"/>
      <c r="B232" s="44"/>
      <c r="C232" s="41"/>
      <c r="D232" s="41"/>
      <c r="E232" s="41"/>
      <c r="F232" s="11"/>
      <c r="G232" s="11"/>
      <c r="H232" s="43"/>
      <c r="K232" s="25"/>
      <c r="M232" s="31"/>
      <c r="N232" s="31"/>
      <c r="O232" s="33"/>
      <c r="Q232" s="6" t="str">
        <f>IF($F232&lt;&gt;"",RIGHT(Tabela1[[#This Row],[Ref.]],2),"")</f>
        <v/>
      </c>
      <c r="R232" s="6" t="str">
        <f t="shared" si="18"/>
        <v/>
      </c>
      <c r="S232" s="4" t="str">
        <f>IF($F232&lt;&gt;"",_xlfn.XLOOKUP(F232,Naturezas!B:B,Naturezas!E:E,"",0,1),"")</f>
        <v/>
      </c>
      <c r="T232" s="4" t="str">
        <f>IF($F232&lt;&gt;"",_xlfn.XLOOKUP($F232,Naturezas!B:B,Naturezas!D:D,"",0,1),"")</f>
        <v/>
      </c>
      <c r="U232" s="5" t="str">
        <f>IF(F232&lt;&gt;"",IF(OR(F232=Naturezas!$B$3,F232=Naturezas!$B$4,F232=Naturezas!$B$5,F232=Naturezas!$B$17,F232=Naturezas!$B$18,F232=Naturezas!$B$19),H232,-H232),"")</f>
        <v/>
      </c>
      <c r="V232" s="4" t="str">
        <f t="shared" si="19"/>
        <v/>
      </c>
      <c r="W232" s="4"/>
      <c r="X232" s="4" t="str">
        <f t="shared" si="20"/>
        <v/>
      </c>
      <c r="Y232" s="6" t="str">
        <f>IF(F232&lt;&gt;"",Tabela1[[#This Row],[Iniciais]],"")</f>
        <v/>
      </c>
      <c r="AA232" s="6" t="str">
        <f>IF($F232&lt;&gt;"",RIGHT(Tabela1[[#This Row],[Ref.]],2),"")</f>
        <v/>
      </c>
      <c r="AB232" s="46" t="str">
        <f>IF($F232&lt;&gt;"",DATE(LEFT(Tabela1[[#This Row],[Ref.]],4),RIGHT(Tabela1[[#This Row],[Ref.]],2),1),"")</f>
        <v/>
      </c>
      <c r="AC232" s="4" t="str">
        <f t="shared" si="21"/>
        <v/>
      </c>
      <c r="AD232" s="5" t="str">
        <f t="shared" si="22"/>
        <v/>
      </c>
      <c r="AE232" s="4"/>
      <c r="AF232" s="6" t="str">
        <f t="shared" si="23"/>
        <v/>
      </c>
    </row>
    <row r="233" spans="1:32" ht="15.75" customHeight="1" x14ac:dyDescent="0.2">
      <c r="A233" s="42"/>
      <c r="B233" s="44"/>
      <c r="C233" s="41"/>
      <c r="D233" s="41"/>
      <c r="E233" s="41"/>
      <c r="F233" s="11"/>
      <c r="G233" s="11"/>
      <c r="H233" s="43"/>
      <c r="K233" s="25"/>
      <c r="M233" s="31"/>
      <c r="N233" s="31"/>
      <c r="O233" s="33"/>
      <c r="Q233" s="6" t="str">
        <f>IF($F233&lt;&gt;"",RIGHT(Tabela1[[#This Row],[Ref.]],2),"")</f>
        <v/>
      </c>
      <c r="R233" s="6" t="str">
        <f t="shared" si="18"/>
        <v/>
      </c>
      <c r="S233" s="4" t="str">
        <f>IF($F233&lt;&gt;"",_xlfn.XLOOKUP(F233,Naturezas!B:B,Naturezas!E:E,"",0,1),"")</f>
        <v/>
      </c>
      <c r="T233" s="4" t="str">
        <f>IF($F233&lt;&gt;"",_xlfn.XLOOKUP($F233,Naturezas!B:B,Naturezas!D:D,"",0,1),"")</f>
        <v/>
      </c>
      <c r="U233" s="5" t="str">
        <f>IF(F233&lt;&gt;"",IF(OR(F233=Naturezas!$B$3,F233=Naturezas!$B$4,F233=Naturezas!$B$5,F233=Naturezas!$B$17,F233=Naturezas!$B$18,F233=Naturezas!$B$19),H233,-H233),"")</f>
        <v/>
      </c>
      <c r="V233" s="4" t="str">
        <f t="shared" si="19"/>
        <v/>
      </c>
      <c r="W233" s="4"/>
      <c r="X233" s="4" t="str">
        <f t="shared" si="20"/>
        <v/>
      </c>
      <c r="Y233" s="6" t="str">
        <f>IF(F233&lt;&gt;"",Tabela1[[#This Row],[Iniciais]],"")</f>
        <v/>
      </c>
      <c r="AA233" s="6" t="str">
        <f>IF($F233&lt;&gt;"",RIGHT(Tabela1[[#This Row],[Ref.]],2),"")</f>
        <v/>
      </c>
      <c r="AB233" s="46" t="str">
        <f>IF($F233&lt;&gt;"",DATE(LEFT(Tabela1[[#This Row],[Ref.]],4),RIGHT(Tabela1[[#This Row],[Ref.]],2),1),"")</f>
        <v/>
      </c>
      <c r="AC233" s="4" t="str">
        <f t="shared" si="21"/>
        <v/>
      </c>
      <c r="AD233" s="5" t="str">
        <f t="shared" si="22"/>
        <v/>
      </c>
      <c r="AE233" s="4"/>
      <c r="AF233" s="6" t="str">
        <f t="shared" si="23"/>
        <v/>
      </c>
    </row>
    <row r="234" spans="1:32" ht="15.75" customHeight="1" x14ac:dyDescent="0.2">
      <c r="A234" s="42"/>
      <c r="B234" s="44"/>
      <c r="C234" s="41"/>
      <c r="D234" s="41"/>
      <c r="E234" s="41"/>
      <c r="F234" s="11"/>
      <c r="G234" s="11"/>
      <c r="H234" s="43"/>
      <c r="K234" s="25"/>
      <c r="M234" s="31"/>
      <c r="N234" s="31"/>
      <c r="O234" s="33"/>
      <c r="Q234" s="6" t="str">
        <f>IF($F234&lt;&gt;"",RIGHT(Tabela1[[#This Row],[Ref.]],2),"")</f>
        <v/>
      </c>
      <c r="R234" s="6" t="str">
        <f t="shared" si="18"/>
        <v/>
      </c>
      <c r="S234" s="4" t="str">
        <f>IF($F234&lt;&gt;"",_xlfn.XLOOKUP(F234,Naturezas!B:B,Naturezas!E:E,"",0,1),"")</f>
        <v/>
      </c>
      <c r="T234" s="4" t="str">
        <f>IF($F234&lt;&gt;"",_xlfn.XLOOKUP($F234,Naturezas!B:B,Naturezas!D:D,"",0,1),"")</f>
        <v/>
      </c>
      <c r="U234" s="5" t="str">
        <f>IF(F234&lt;&gt;"",IF(OR(F234=Naturezas!$B$3,F234=Naturezas!$B$4,F234=Naturezas!$B$5,F234=Naturezas!$B$17,F234=Naturezas!$B$18,F234=Naturezas!$B$19),H234,-H234),"")</f>
        <v/>
      </c>
      <c r="V234" s="4" t="str">
        <f t="shared" si="19"/>
        <v/>
      </c>
      <c r="W234" s="4"/>
      <c r="X234" s="4" t="str">
        <f t="shared" si="20"/>
        <v/>
      </c>
      <c r="Y234" s="6" t="str">
        <f>IF(F234&lt;&gt;"",Tabela1[[#This Row],[Iniciais]],"")</f>
        <v/>
      </c>
      <c r="AA234" s="6" t="str">
        <f>IF($F234&lt;&gt;"",RIGHT(Tabela1[[#This Row],[Ref.]],2),"")</f>
        <v/>
      </c>
      <c r="AB234" s="46" t="str">
        <f>IF($F234&lt;&gt;"",DATE(LEFT(Tabela1[[#This Row],[Ref.]],4),RIGHT(Tabela1[[#This Row],[Ref.]],2),1),"")</f>
        <v/>
      </c>
      <c r="AC234" s="4" t="str">
        <f t="shared" si="21"/>
        <v/>
      </c>
      <c r="AD234" s="5" t="str">
        <f t="shared" si="22"/>
        <v/>
      </c>
      <c r="AE234" s="4"/>
      <c r="AF234" s="6" t="str">
        <f t="shared" si="23"/>
        <v/>
      </c>
    </row>
    <row r="235" spans="1:32" ht="15.75" customHeight="1" x14ac:dyDescent="0.2">
      <c r="A235" s="42"/>
      <c r="B235" s="44"/>
      <c r="C235" s="41"/>
      <c r="D235" s="41"/>
      <c r="E235" s="41"/>
      <c r="F235" s="11"/>
      <c r="G235" s="11"/>
      <c r="H235" s="43"/>
      <c r="K235" s="25"/>
      <c r="M235" s="31"/>
      <c r="N235" s="31"/>
      <c r="O235" s="33"/>
      <c r="Q235" s="6" t="str">
        <f>IF($F235&lt;&gt;"",RIGHT(Tabela1[[#This Row],[Ref.]],2),"")</f>
        <v/>
      </c>
      <c r="R235" s="6" t="str">
        <f t="shared" si="18"/>
        <v/>
      </c>
      <c r="S235" s="4" t="str">
        <f>IF($F235&lt;&gt;"",_xlfn.XLOOKUP(F235,Naturezas!B:B,Naturezas!E:E,"",0,1),"")</f>
        <v/>
      </c>
      <c r="T235" s="4" t="str">
        <f>IF($F235&lt;&gt;"",_xlfn.XLOOKUP($F235,Naturezas!B:B,Naturezas!D:D,"",0,1),"")</f>
        <v/>
      </c>
      <c r="U235" s="5" t="str">
        <f>IF(F235&lt;&gt;"",IF(OR(F235=Naturezas!$B$3,F235=Naturezas!$B$4,F235=Naturezas!$B$5,F235=Naturezas!$B$17,F235=Naturezas!$B$18,F235=Naturezas!$B$19),H235,-H235),"")</f>
        <v/>
      </c>
      <c r="V235" s="4" t="str">
        <f t="shared" si="19"/>
        <v/>
      </c>
      <c r="W235" s="4"/>
      <c r="X235" s="4" t="str">
        <f t="shared" si="20"/>
        <v/>
      </c>
      <c r="Y235" s="6" t="str">
        <f>IF(F235&lt;&gt;"",Tabela1[[#This Row],[Iniciais]],"")</f>
        <v/>
      </c>
      <c r="AA235" s="6" t="str">
        <f>IF($F235&lt;&gt;"",RIGHT(Tabela1[[#This Row],[Ref.]],2),"")</f>
        <v/>
      </c>
      <c r="AB235" s="46" t="str">
        <f>IF($F235&lt;&gt;"",DATE(LEFT(Tabela1[[#This Row],[Ref.]],4),RIGHT(Tabela1[[#This Row],[Ref.]],2),1),"")</f>
        <v/>
      </c>
      <c r="AC235" s="4" t="str">
        <f t="shared" si="21"/>
        <v/>
      </c>
      <c r="AD235" s="5" t="str">
        <f t="shared" si="22"/>
        <v/>
      </c>
      <c r="AE235" s="4"/>
      <c r="AF235" s="6" t="str">
        <f t="shared" si="23"/>
        <v/>
      </c>
    </row>
    <row r="236" spans="1:32" ht="15.75" customHeight="1" x14ac:dyDescent="0.2">
      <c r="A236" s="42"/>
      <c r="B236" s="44"/>
      <c r="C236" s="41"/>
      <c r="D236" s="41"/>
      <c r="E236" s="41"/>
      <c r="F236" s="11"/>
      <c r="G236" s="11"/>
      <c r="H236" s="43"/>
      <c r="K236" s="25"/>
      <c r="M236" s="31"/>
      <c r="N236" s="31"/>
      <c r="O236" s="33"/>
      <c r="Q236" s="6" t="str">
        <f>IF($F236&lt;&gt;"",RIGHT(Tabela1[[#This Row],[Ref.]],2),"")</f>
        <v/>
      </c>
      <c r="R236" s="6" t="str">
        <f t="shared" si="18"/>
        <v/>
      </c>
      <c r="S236" s="4" t="str">
        <f>IF($F236&lt;&gt;"",_xlfn.XLOOKUP(F236,Naturezas!B:B,Naturezas!E:E,"",0,1),"")</f>
        <v/>
      </c>
      <c r="T236" s="4" t="str">
        <f>IF($F236&lt;&gt;"",_xlfn.XLOOKUP($F236,Naturezas!B:B,Naturezas!D:D,"",0,1),"")</f>
        <v/>
      </c>
      <c r="U236" s="5" t="str">
        <f>IF(F236&lt;&gt;"",IF(OR(F236=Naturezas!$B$3,F236=Naturezas!$B$4,F236=Naturezas!$B$5,F236=Naturezas!$B$17,F236=Naturezas!$B$18,F236=Naturezas!$B$19),H236,-H236),"")</f>
        <v/>
      </c>
      <c r="V236" s="4" t="str">
        <f t="shared" si="19"/>
        <v/>
      </c>
      <c r="W236" s="4"/>
      <c r="X236" s="4" t="str">
        <f t="shared" si="20"/>
        <v/>
      </c>
      <c r="Y236" s="6" t="str">
        <f>IF(F236&lt;&gt;"",Tabela1[[#This Row],[Iniciais]],"")</f>
        <v/>
      </c>
      <c r="AA236" s="6" t="str">
        <f>IF($F236&lt;&gt;"",RIGHT(Tabela1[[#This Row],[Ref.]],2),"")</f>
        <v/>
      </c>
      <c r="AB236" s="46" t="str">
        <f>IF($F236&lt;&gt;"",DATE(LEFT(Tabela1[[#This Row],[Ref.]],4),RIGHT(Tabela1[[#This Row],[Ref.]],2),1),"")</f>
        <v/>
      </c>
      <c r="AC236" s="4" t="str">
        <f t="shared" si="21"/>
        <v/>
      </c>
      <c r="AD236" s="5" t="str">
        <f t="shared" si="22"/>
        <v/>
      </c>
      <c r="AE236" s="4"/>
      <c r="AF236" s="6" t="str">
        <f t="shared" si="23"/>
        <v/>
      </c>
    </row>
    <row r="237" spans="1:32" ht="15.75" customHeight="1" x14ac:dyDescent="0.2">
      <c r="A237" s="42"/>
      <c r="B237" s="44"/>
      <c r="C237" s="41"/>
      <c r="D237" s="41"/>
      <c r="E237" s="41"/>
      <c r="F237" s="11"/>
      <c r="G237" s="11"/>
      <c r="H237" s="43"/>
      <c r="K237" s="25"/>
      <c r="M237" s="31"/>
      <c r="N237" s="31"/>
      <c r="O237" s="33"/>
      <c r="Q237" s="6" t="str">
        <f>IF($F237&lt;&gt;"",RIGHT(Tabela1[[#This Row],[Ref.]],2),"")</f>
        <v/>
      </c>
      <c r="R237" s="6" t="str">
        <f t="shared" si="18"/>
        <v/>
      </c>
      <c r="S237" s="4" t="str">
        <f>IF($F237&lt;&gt;"",_xlfn.XLOOKUP(F237,Naturezas!B:B,Naturezas!E:E,"",0,1),"")</f>
        <v/>
      </c>
      <c r="T237" s="4" t="str">
        <f>IF($F237&lt;&gt;"",_xlfn.XLOOKUP($F237,Naturezas!B:B,Naturezas!D:D,"",0,1),"")</f>
        <v/>
      </c>
      <c r="U237" s="5" t="str">
        <f>IF(F237&lt;&gt;"",IF(OR(F237=Naturezas!$B$3,F237=Naturezas!$B$4,F237=Naturezas!$B$5,F237=Naturezas!$B$17,F237=Naturezas!$B$18,F237=Naturezas!$B$19),H237,-H237),"")</f>
        <v/>
      </c>
      <c r="V237" s="4" t="str">
        <f t="shared" si="19"/>
        <v/>
      </c>
      <c r="W237" s="4"/>
      <c r="X237" s="4" t="str">
        <f t="shared" si="20"/>
        <v/>
      </c>
      <c r="Y237" s="6" t="str">
        <f>IF(F237&lt;&gt;"",Tabela1[[#This Row],[Iniciais]],"")</f>
        <v/>
      </c>
      <c r="AA237" s="6" t="str">
        <f>IF($F237&lt;&gt;"",RIGHT(Tabela1[[#This Row],[Ref.]],2),"")</f>
        <v/>
      </c>
      <c r="AB237" s="46" t="str">
        <f>IF($F237&lt;&gt;"",DATE(LEFT(Tabela1[[#This Row],[Ref.]],4),RIGHT(Tabela1[[#This Row],[Ref.]],2),1),"")</f>
        <v/>
      </c>
      <c r="AC237" s="4" t="str">
        <f t="shared" si="21"/>
        <v/>
      </c>
      <c r="AD237" s="5" t="str">
        <f t="shared" si="22"/>
        <v/>
      </c>
      <c r="AE237" s="4"/>
      <c r="AF237" s="6" t="str">
        <f t="shared" si="23"/>
        <v/>
      </c>
    </row>
    <row r="238" spans="1:32" ht="15.75" customHeight="1" x14ac:dyDescent="0.2">
      <c r="A238" s="42"/>
      <c r="B238" s="44"/>
      <c r="C238" s="41"/>
      <c r="D238" s="41"/>
      <c r="E238" s="41"/>
      <c r="F238" s="11"/>
      <c r="G238" s="11"/>
      <c r="H238" s="43"/>
      <c r="K238" s="25"/>
      <c r="M238" s="31"/>
      <c r="N238" s="31"/>
      <c r="O238" s="33"/>
      <c r="Q238" s="6" t="str">
        <f>IF($F238&lt;&gt;"",RIGHT(Tabela1[[#This Row],[Ref.]],2),"")</f>
        <v/>
      </c>
      <c r="R238" s="6" t="str">
        <f t="shared" si="18"/>
        <v/>
      </c>
      <c r="S238" s="4" t="str">
        <f>IF($F238&lt;&gt;"",_xlfn.XLOOKUP(F238,Naturezas!B:B,Naturezas!E:E,"",0,1),"")</f>
        <v/>
      </c>
      <c r="T238" s="4" t="str">
        <f>IF($F238&lt;&gt;"",_xlfn.XLOOKUP($F238,Naturezas!B:B,Naturezas!D:D,"",0,1),"")</f>
        <v/>
      </c>
      <c r="U238" s="5" t="str">
        <f>IF(F238&lt;&gt;"",IF(OR(F238=Naturezas!$B$3,F238=Naturezas!$B$4,F238=Naturezas!$B$5,F238=Naturezas!$B$17,F238=Naturezas!$B$18,F238=Naturezas!$B$19),H238,-H238),"")</f>
        <v/>
      </c>
      <c r="V238" s="4" t="str">
        <f t="shared" si="19"/>
        <v/>
      </c>
      <c r="W238" s="4"/>
      <c r="X238" s="4" t="str">
        <f t="shared" si="20"/>
        <v/>
      </c>
      <c r="Y238" s="6" t="str">
        <f>IF(F238&lt;&gt;"",Tabela1[[#This Row],[Iniciais]],"")</f>
        <v/>
      </c>
      <c r="AA238" s="6" t="str">
        <f>IF($F238&lt;&gt;"",RIGHT(Tabela1[[#This Row],[Ref.]],2),"")</f>
        <v/>
      </c>
      <c r="AB238" s="46" t="str">
        <f>IF($F238&lt;&gt;"",DATE(LEFT(Tabela1[[#This Row],[Ref.]],4),RIGHT(Tabela1[[#This Row],[Ref.]],2),1),"")</f>
        <v/>
      </c>
      <c r="AC238" s="4" t="str">
        <f t="shared" si="21"/>
        <v/>
      </c>
      <c r="AD238" s="5" t="str">
        <f t="shared" si="22"/>
        <v/>
      </c>
      <c r="AE238" s="4"/>
      <c r="AF238" s="6" t="str">
        <f t="shared" si="23"/>
        <v/>
      </c>
    </row>
    <row r="239" spans="1:32" ht="15.75" customHeight="1" x14ac:dyDescent="0.2">
      <c r="A239" s="42"/>
      <c r="B239" s="44"/>
      <c r="C239" s="41"/>
      <c r="D239" s="41"/>
      <c r="E239" s="41"/>
      <c r="F239" s="11"/>
      <c r="G239" s="11"/>
      <c r="H239" s="43"/>
      <c r="K239" s="25"/>
      <c r="M239" s="31"/>
      <c r="N239" s="31"/>
      <c r="O239" s="33"/>
      <c r="Q239" s="6" t="str">
        <f>IF($F239&lt;&gt;"",RIGHT(Tabela1[[#This Row],[Ref.]],2),"")</f>
        <v/>
      </c>
      <c r="R239" s="6" t="str">
        <f t="shared" si="18"/>
        <v/>
      </c>
      <c r="S239" s="4" t="str">
        <f>IF($F239&lt;&gt;"",_xlfn.XLOOKUP(F239,Naturezas!B:B,Naturezas!E:E,"",0,1),"")</f>
        <v/>
      </c>
      <c r="T239" s="4" t="str">
        <f>IF($F239&lt;&gt;"",_xlfn.XLOOKUP($F239,Naturezas!B:B,Naturezas!D:D,"",0,1),"")</f>
        <v/>
      </c>
      <c r="U239" s="5" t="str">
        <f>IF(F239&lt;&gt;"",IF(OR(F239=Naturezas!$B$3,F239=Naturezas!$B$4,F239=Naturezas!$B$5,F239=Naturezas!$B$17,F239=Naturezas!$B$18,F239=Naturezas!$B$19),H239,-H239),"")</f>
        <v/>
      </c>
      <c r="V239" s="4" t="str">
        <f t="shared" si="19"/>
        <v/>
      </c>
      <c r="W239" s="4"/>
      <c r="X239" s="4" t="str">
        <f t="shared" si="20"/>
        <v/>
      </c>
      <c r="Y239" s="6" t="str">
        <f>IF(F239&lt;&gt;"",Tabela1[[#This Row],[Iniciais]],"")</f>
        <v/>
      </c>
      <c r="AA239" s="6" t="str">
        <f>IF($F239&lt;&gt;"",RIGHT(Tabela1[[#This Row],[Ref.]],2),"")</f>
        <v/>
      </c>
      <c r="AB239" s="46" t="str">
        <f>IF($F239&lt;&gt;"",DATE(LEFT(Tabela1[[#This Row],[Ref.]],4),RIGHT(Tabela1[[#This Row],[Ref.]],2),1),"")</f>
        <v/>
      </c>
      <c r="AC239" s="4" t="str">
        <f t="shared" si="21"/>
        <v/>
      </c>
      <c r="AD239" s="5" t="str">
        <f t="shared" si="22"/>
        <v/>
      </c>
      <c r="AE239" s="4"/>
      <c r="AF239" s="6" t="str">
        <f t="shared" si="23"/>
        <v/>
      </c>
    </row>
    <row r="240" spans="1:32" ht="15.75" customHeight="1" x14ac:dyDescent="0.2">
      <c r="A240" s="42"/>
      <c r="B240" s="44"/>
      <c r="C240" s="41"/>
      <c r="D240" s="41"/>
      <c r="E240" s="41"/>
      <c r="F240" s="11"/>
      <c r="G240" s="11"/>
      <c r="H240" s="43"/>
      <c r="K240" s="25"/>
      <c r="M240" s="31"/>
      <c r="N240" s="31"/>
      <c r="O240" s="33"/>
      <c r="Q240" s="6" t="str">
        <f>IF($F240&lt;&gt;"",RIGHT(Tabela1[[#This Row],[Ref.]],2),"")</f>
        <v/>
      </c>
      <c r="R240" s="6" t="str">
        <f t="shared" si="18"/>
        <v/>
      </c>
      <c r="S240" s="4" t="str">
        <f>IF($F240&lt;&gt;"",_xlfn.XLOOKUP(F240,Naturezas!B:B,Naturezas!E:E,"",0,1),"")</f>
        <v/>
      </c>
      <c r="T240" s="4" t="str">
        <f>IF($F240&lt;&gt;"",_xlfn.XLOOKUP($F240,Naturezas!B:B,Naturezas!D:D,"",0,1),"")</f>
        <v/>
      </c>
      <c r="U240" s="5" t="str">
        <f>IF(F240&lt;&gt;"",IF(OR(F240=Naturezas!$B$3,F240=Naturezas!$B$4,F240=Naturezas!$B$5,F240=Naturezas!$B$17,F240=Naturezas!$B$18,F240=Naturezas!$B$19),H240,-H240),"")</f>
        <v/>
      </c>
      <c r="V240" s="4" t="str">
        <f t="shared" si="19"/>
        <v/>
      </c>
      <c r="W240" s="4"/>
      <c r="X240" s="4" t="str">
        <f t="shared" si="20"/>
        <v/>
      </c>
      <c r="Y240" s="6" t="str">
        <f>IF(F240&lt;&gt;"",Tabela1[[#This Row],[Iniciais]],"")</f>
        <v/>
      </c>
      <c r="AA240" s="6" t="str">
        <f>IF($F240&lt;&gt;"",RIGHT(Tabela1[[#This Row],[Ref.]],2),"")</f>
        <v/>
      </c>
      <c r="AB240" s="46" t="str">
        <f>IF($F240&lt;&gt;"",DATE(LEFT(Tabela1[[#This Row],[Ref.]],4),RIGHT(Tabela1[[#This Row],[Ref.]],2),1),"")</f>
        <v/>
      </c>
      <c r="AC240" s="4" t="str">
        <f t="shared" si="21"/>
        <v/>
      </c>
      <c r="AD240" s="5" t="str">
        <f t="shared" si="22"/>
        <v/>
      </c>
      <c r="AE240" s="4"/>
      <c r="AF240" s="6" t="str">
        <f t="shared" si="23"/>
        <v/>
      </c>
    </row>
    <row r="241" spans="1:32" ht="15.75" customHeight="1" x14ac:dyDescent="0.2">
      <c r="A241" s="42"/>
      <c r="B241" s="44"/>
      <c r="C241" s="41"/>
      <c r="D241" s="41"/>
      <c r="E241" s="41"/>
      <c r="F241" s="11"/>
      <c r="G241" s="11"/>
      <c r="H241" s="43"/>
      <c r="K241" s="25"/>
      <c r="M241" s="31"/>
      <c r="N241" s="31"/>
      <c r="O241" s="33"/>
      <c r="Q241" s="6" t="str">
        <f>IF($F241&lt;&gt;"",RIGHT(Tabela1[[#This Row],[Ref.]],2),"")</f>
        <v/>
      </c>
      <c r="R241" s="6" t="str">
        <f t="shared" si="18"/>
        <v/>
      </c>
      <c r="S241" s="4" t="str">
        <f>IF($F241&lt;&gt;"",_xlfn.XLOOKUP(F241,Naturezas!B:B,Naturezas!E:E,"",0,1),"")</f>
        <v/>
      </c>
      <c r="T241" s="4" t="str">
        <f>IF($F241&lt;&gt;"",_xlfn.XLOOKUP($F241,Naturezas!B:B,Naturezas!D:D,"",0,1),"")</f>
        <v/>
      </c>
      <c r="U241" s="5" t="str">
        <f>IF(F241&lt;&gt;"",IF(OR(F241=Naturezas!$B$3,F241=Naturezas!$B$4,F241=Naturezas!$B$5,F241=Naturezas!$B$17,F241=Naturezas!$B$18,F241=Naturezas!$B$19),H241,-H241),"")</f>
        <v/>
      </c>
      <c r="V241" s="4" t="str">
        <f t="shared" si="19"/>
        <v/>
      </c>
      <c r="W241" s="4"/>
      <c r="X241" s="4" t="str">
        <f t="shared" si="20"/>
        <v/>
      </c>
      <c r="Y241" s="6" t="str">
        <f>IF(F241&lt;&gt;"",Tabela1[[#This Row],[Iniciais]],"")</f>
        <v/>
      </c>
      <c r="AA241" s="6" t="str">
        <f>IF($F241&lt;&gt;"",RIGHT(Tabela1[[#This Row],[Ref.]],2),"")</f>
        <v/>
      </c>
      <c r="AB241" s="46" t="str">
        <f>IF($F241&lt;&gt;"",DATE(LEFT(Tabela1[[#This Row],[Ref.]],4),RIGHT(Tabela1[[#This Row],[Ref.]],2),1),"")</f>
        <v/>
      </c>
      <c r="AC241" s="4" t="str">
        <f t="shared" si="21"/>
        <v/>
      </c>
      <c r="AD241" s="5" t="str">
        <f t="shared" si="22"/>
        <v/>
      </c>
      <c r="AE241" s="4"/>
      <c r="AF241" s="6" t="str">
        <f t="shared" si="23"/>
        <v/>
      </c>
    </row>
    <row r="242" spans="1:32" ht="15.75" customHeight="1" x14ac:dyDescent="0.2">
      <c r="A242" s="42"/>
      <c r="B242" s="44"/>
      <c r="C242" s="41"/>
      <c r="D242" s="41"/>
      <c r="E242" s="41"/>
      <c r="F242" s="11"/>
      <c r="G242" s="11"/>
      <c r="H242" s="43"/>
      <c r="K242" s="25"/>
      <c r="M242" s="31"/>
      <c r="N242" s="31"/>
      <c r="O242" s="33"/>
      <c r="Q242" s="6" t="str">
        <f>IF($F242&lt;&gt;"",RIGHT(Tabela1[[#This Row],[Ref.]],2),"")</f>
        <v/>
      </c>
      <c r="R242" s="6" t="str">
        <f t="shared" si="18"/>
        <v/>
      </c>
      <c r="S242" s="4" t="str">
        <f>IF($F242&lt;&gt;"",_xlfn.XLOOKUP(F242,Naturezas!B:B,Naturezas!E:E,"",0,1),"")</f>
        <v/>
      </c>
      <c r="T242" s="4" t="str">
        <f>IF($F242&lt;&gt;"",_xlfn.XLOOKUP($F242,Naturezas!B:B,Naturezas!D:D,"",0,1),"")</f>
        <v/>
      </c>
      <c r="U242" s="5" t="str">
        <f>IF(F242&lt;&gt;"",IF(OR(F242=Naturezas!$B$3,F242=Naturezas!$B$4,F242=Naturezas!$B$5,F242=Naturezas!$B$17,F242=Naturezas!$B$18,F242=Naturezas!$B$19),H242,-H242),"")</f>
        <v/>
      </c>
      <c r="V242" s="4" t="str">
        <f t="shared" si="19"/>
        <v/>
      </c>
      <c r="W242" s="4"/>
      <c r="X242" s="4" t="str">
        <f t="shared" si="20"/>
        <v/>
      </c>
      <c r="Y242" s="6" t="str">
        <f>IF(F242&lt;&gt;"",Tabela1[[#This Row],[Iniciais]],"")</f>
        <v/>
      </c>
      <c r="AA242" s="6" t="str">
        <f>IF($F242&lt;&gt;"",RIGHT(Tabela1[[#This Row],[Ref.]],2),"")</f>
        <v/>
      </c>
      <c r="AB242" s="46" t="str">
        <f>IF($F242&lt;&gt;"",DATE(LEFT(Tabela1[[#This Row],[Ref.]],4),RIGHT(Tabela1[[#This Row],[Ref.]],2),1),"")</f>
        <v/>
      </c>
      <c r="AC242" s="4" t="str">
        <f t="shared" si="21"/>
        <v/>
      </c>
      <c r="AD242" s="5" t="str">
        <f t="shared" si="22"/>
        <v/>
      </c>
      <c r="AE242" s="4"/>
      <c r="AF242" s="6" t="str">
        <f t="shared" si="23"/>
        <v/>
      </c>
    </row>
    <row r="243" spans="1:32" ht="15.75" customHeight="1" x14ac:dyDescent="0.2">
      <c r="A243" s="42"/>
      <c r="B243" s="44"/>
      <c r="C243" s="41"/>
      <c r="D243" s="41"/>
      <c r="E243" s="41"/>
      <c r="F243" s="11"/>
      <c r="G243" s="11"/>
      <c r="H243" s="43"/>
      <c r="K243" s="25"/>
      <c r="M243" s="31"/>
      <c r="N243" s="31"/>
      <c r="O243" s="33"/>
      <c r="Q243" s="6" t="str">
        <f>IF($F243&lt;&gt;"",RIGHT(Tabela1[[#This Row],[Ref.]],2),"")</f>
        <v/>
      </c>
      <c r="R243" s="6" t="str">
        <f t="shared" si="18"/>
        <v/>
      </c>
      <c r="S243" s="4" t="str">
        <f>IF($F243&lt;&gt;"",_xlfn.XLOOKUP(F243,Naturezas!B:B,Naturezas!E:E,"",0,1),"")</f>
        <v/>
      </c>
      <c r="T243" s="4" t="str">
        <f>IF($F243&lt;&gt;"",_xlfn.XLOOKUP($F243,Naturezas!B:B,Naturezas!D:D,"",0,1),"")</f>
        <v/>
      </c>
      <c r="U243" s="5" t="str">
        <f>IF(F243&lt;&gt;"",IF(OR(F243=Naturezas!$B$3,F243=Naturezas!$B$4,F243=Naturezas!$B$5,F243=Naturezas!$B$17,F243=Naturezas!$B$18,F243=Naturezas!$B$19),H243,-H243),"")</f>
        <v/>
      </c>
      <c r="V243" s="4" t="str">
        <f t="shared" si="19"/>
        <v/>
      </c>
      <c r="W243" s="4"/>
      <c r="X243" s="4" t="str">
        <f t="shared" si="20"/>
        <v/>
      </c>
      <c r="Y243" s="6" t="str">
        <f>IF(F243&lt;&gt;"",Tabela1[[#This Row],[Iniciais]],"")</f>
        <v/>
      </c>
      <c r="AA243" s="6" t="str">
        <f>IF($F243&lt;&gt;"",RIGHT(Tabela1[[#This Row],[Ref.]],2),"")</f>
        <v/>
      </c>
      <c r="AB243" s="46" t="str">
        <f>IF($F243&lt;&gt;"",DATE(LEFT(Tabela1[[#This Row],[Ref.]],4),RIGHT(Tabela1[[#This Row],[Ref.]],2),1),"")</f>
        <v/>
      </c>
      <c r="AC243" s="4" t="str">
        <f t="shared" si="21"/>
        <v/>
      </c>
      <c r="AD243" s="5" t="str">
        <f t="shared" si="22"/>
        <v/>
      </c>
      <c r="AE243" s="4"/>
      <c r="AF243" s="6" t="str">
        <f t="shared" si="23"/>
        <v/>
      </c>
    </row>
    <row r="244" spans="1:32" ht="15.75" customHeight="1" x14ac:dyDescent="0.2">
      <c r="A244" s="42"/>
      <c r="B244" s="44"/>
      <c r="C244" s="41"/>
      <c r="D244" s="41"/>
      <c r="E244" s="41"/>
      <c r="F244" s="11"/>
      <c r="G244" s="11"/>
      <c r="H244" s="43"/>
      <c r="K244" s="25"/>
      <c r="M244" s="31"/>
      <c r="N244" s="31"/>
      <c r="O244" s="33"/>
      <c r="Q244" s="6" t="str">
        <f>IF($F244&lt;&gt;"",RIGHT(Tabela1[[#This Row],[Ref.]],2),"")</f>
        <v/>
      </c>
      <c r="R244" s="6" t="str">
        <f t="shared" si="18"/>
        <v/>
      </c>
      <c r="S244" s="4" t="str">
        <f>IF($F244&lt;&gt;"",_xlfn.XLOOKUP(F244,Naturezas!B:B,Naturezas!E:E,"",0,1),"")</f>
        <v/>
      </c>
      <c r="T244" s="4" t="str">
        <f>IF($F244&lt;&gt;"",_xlfn.XLOOKUP($F244,Naturezas!B:B,Naturezas!D:D,"",0,1),"")</f>
        <v/>
      </c>
      <c r="U244" s="5" t="str">
        <f>IF(F244&lt;&gt;"",IF(OR(F244=Naturezas!$B$3,F244=Naturezas!$B$4,F244=Naturezas!$B$5,F244=Naturezas!$B$17,F244=Naturezas!$B$18,F244=Naturezas!$B$19),H244,-H244),"")</f>
        <v/>
      </c>
      <c r="V244" s="4" t="str">
        <f t="shared" si="19"/>
        <v/>
      </c>
      <c r="W244" s="4"/>
      <c r="X244" s="4" t="str">
        <f t="shared" si="20"/>
        <v/>
      </c>
      <c r="Y244" s="6" t="str">
        <f>IF(F244&lt;&gt;"",Tabela1[[#This Row],[Iniciais]],"")</f>
        <v/>
      </c>
      <c r="AA244" s="6" t="str">
        <f>IF($F244&lt;&gt;"",RIGHT(Tabela1[[#This Row],[Ref.]],2),"")</f>
        <v/>
      </c>
      <c r="AB244" s="46" t="str">
        <f>IF($F244&lt;&gt;"",DATE(LEFT(Tabela1[[#This Row],[Ref.]],4),RIGHT(Tabela1[[#This Row],[Ref.]],2),1),"")</f>
        <v/>
      </c>
      <c r="AC244" s="4" t="str">
        <f t="shared" si="21"/>
        <v/>
      </c>
      <c r="AD244" s="5" t="str">
        <f t="shared" si="22"/>
        <v/>
      </c>
      <c r="AE244" s="4"/>
      <c r="AF244" s="6" t="str">
        <f t="shared" si="23"/>
        <v/>
      </c>
    </row>
    <row r="245" spans="1:32" ht="15.75" customHeight="1" x14ac:dyDescent="0.2">
      <c r="A245" s="42"/>
      <c r="B245" s="44"/>
      <c r="C245" s="41"/>
      <c r="D245" s="41"/>
      <c r="E245" s="41"/>
      <c r="F245" s="11"/>
      <c r="G245" s="11"/>
      <c r="H245" s="43"/>
      <c r="K245" s="25"/>
      <c r="M245" s="31"/>
      <c r="N245" s="31"/>
      <c r="O245" s="33"/>
      <c r="Q245" s="6" t="str">
        <f>IF($F245&lt;&gt;"",RIGHT(Tabela1[[#This Row],[Ref.]],2),"")</f>
        <v/>
      </c>
      <c r="R245" s="6" t="str">
        <f t="shared" si="18"/>
        <v/>
      </c>
      <c r="S245" s="4" t="str">
        <f>IF($F245&lt;&gt;"",_xlfn.XLOOKUP(F245,Naturezas!B:B,Naturezas!E:E,"",0,1),"")</f>
        <v/>
      </c>
      <c r="T245" s="4" t="str">
        <f>IF($F245&lt;&gt;"",_xlfn.XLOOKUP($F245,Naturezas!B:B,Naturezas!D:D,"",0,1),"")</f>
        <v/>
      </c>
      <c r="U245" s="5" t="str">
        <f>IF(F245&lt;&gt;"",IF(OR(F245=Naturezas!$B$3,F245=Naturezas!$B$4,F245=Naturezas!$B$5,F245=Naturezas!$B$17,F245=Naturezas!$B$18,F245=Naturezas!$B$19),H245,-H245),"")</f>
        <v/>
      </c>
      <c r="V245" s="4" t="str">
        <f t="shared" si="19"/>
        <v/>
      </c>
      <c r="W245" s="4"/>
      <c r="X245" s="4" t="str">
        <f t="shared" si="20"/>
        <v/>
      </c>
      <c r="Y245" s="6" t="str">
        <f>IF(F245&lt;&gt;"",Tabela1[[#This Row],[Iniciais]],"")</f>
        <v/>
      </c>
      <c r="AA245" s="6" t="str">
        <f>IF($F245&lt;&gt;"",RIGHT(Tabela1[[#This Row],[Ref.]],2),"")</f>
        <v/>
      </c>
      <c r="AB245" s="46" t="str">
        <f>IF($F245&lt;&gt;"",DATE(LEFT(Tabela1[[#This Row],[Ref.]],4),RIGHT(Tabela1[[#This Row],[Ref.]],2),1),"")</f>
        <v/>
      </c>
      <c r="AC245" s="4" t="str">
        <f t="shared" si="21"/>
        <v/>
      </c>
      <c r="AD245" s="5" t="str">
        <f t="shared" si="22"/>
        <v/>
      </c>
      <c r="AE245" s="4"/>
      <c r="AF245" s="6" t="str">
        <f t="shared" si="23"/>
        <v/>
      </c>
    </row>
    <row r="246" spans="1:32" ht="15.75" customHeight="1" x14ac:dyDescent="0.2">
      <c r="A246" s="42"/>
      <c r="B246" s="44"/>
      <c r="C246" s="41"/>
      <c r="D246" s="41"/>
      <c r="E246" s="41"/>
      <c r="F246" s="11"/>
      <c r="G246" s="11"/>
      <c r="H246" s="43"/>
      <c r="K246" s="25"/>
      <c r="M246" s="31"/>
      <c r="N246" s="31"/>
      <c r="O246" s="33"/>
      <c r="Q246" s="6" t="str">
        <f>IF($F246&lt;&gt;"",RIGHT(Tabela1[[#This Row],[Ref.]],2),"")</f>
        <v/>
      </c>
      <c r="R246" s="6" t="str">
        <f t="shared" si="18"/>
        <v/>
      </c>
      <c r="S246" s="4" t="str">
        <f>IF($F246&lt;&gt;"",_xlfn.XLOOKUP(F246,Naturezas!B:B,Naturezas!E:E,"",0,1),"")</f>
        <v/>
      </c>
      <c r="T246" s="4" t="str">
        <f>IF($F246&lt;&gt;"",_xlfn.XLOOKUP($F246,Naturezas!B:B,Naturezas!D:D,"",0,1),"")</f>
        <v/>
      </c>
      <c r="U246" s="5" t="str">
        <f>IF(F246&lt;&gt;"",IF(OR(F246=Naturezas!$B$3,F246=Naturezas!$B$4,F246=Naturezas!$B$5,F246=Naturezas!$B$17,F246=Naturezas!$B$18,F246=Naturezas!$B$19),H246,-H246),"")</f>
        <v/>
      </c>
      <c r="V246" s="4" t="str">
        <f t="shared" si="19"/>
        <v/>
      </c>
      <c r="W246" s="4"/>
      <c r="X246" s="4" t="str">
        <f t="shared" si="20"/>
        <v/>
      </c>
      <c r="Y246" s="6" t="str">
        <f>IF(F246&lt;&gt;"",Tabela1[[#This Row],[Iniciais]],"")</f>
        <v/>
      </c>
      <c r="AA246" s="6" t="str">
        <f>IF($F246&lt;&gt;"",RIGHT(Tabela1[[#This Row],[Ref.]],2),"")</f>
        <v/>
      </c>
      <c r="AB246" s="46" t="str">
        <f>IF($F246&lt;&gt;"",DATE(LEFT(Tabela1[[#This Row],[Ref.]],4),RIGHT(Tabela1[[#This Row],[Ref.]],2),1),"")</f>
        <v/>
      </c>
      <c r="AC246" s="4" t="str">
        <f t="shared" si="21"/>
        <v/>
      </c>
      <c r="AD246" s="5" t="str">
        <f t="shared" si="22"/>
        <v/>
      </c>
      <c r="AE246" s="4"/>
      <c r="AF246" s="6" t="str">
        <f t="shared" si="23"/>
        <v/>
      </c>
    </row>
    <row r="247" spans="1:32" ht="15.75" customHeight="1" x14ac:dyDescent="0.2">
      <c r="A247" s="42"/>
      <c r="B247" s="44"/>
      <c r="C247" s="41"/>
      <c r="D247" s="41"/>
      <c r="E247" s="41"/>
      <c r="F247" s="11"/>
      <c r="G247" s="11"/>
      <c r="H247" s="43"/>
      <c r="K247" s="25"/>
      <c r="M247" s="31"/>
      <c r="N247" s="31"/>
      <c r="O247" s="33"/>
      <c r="Q247" s="6" t="str">
        <f>IF($F247&lt;&gt;"",RIGHT(Tabela1[[#This Row],[Ref.]],2),"")</f>
        <v/>
      </c>
      <c r="R247" s="6" t="str">
        <f t="shared" si="18"/>
        <v/>
      </c>
      <c r="S247" s="4" t="str">
        <f>IF($F247&lt;&gt;"",_xlfn.XLOOKUP(F247,Naturezas!B:B,Naturezas!E:E,"",0,1),"")</f>
        <v/>
      </c>
      <c r="T247" s="4" t="str">
        <f>IF($F247&lt;&gt;"",_xlfn.XLOOKUP($F247,Naturezas!B:B,Naturezas!D:D,"",0,1),"")</f>
        <v/>
      </c>
      <c r="U247" s="5" t="str">
        <f>IF(F247&lt;&gt;"",IF(OR(F247=Naturezas!$B$3,F247=Naturezas!$B$4,F247=Naturezas!$B$5,F247=Naturezas!$B$17,F247=Naturezas!$B$18,F247=Naturezas!$B$19),H247,-H247),"")</f>
        <v/>
      </c>
      <c r="V247" s="4" t="str">
        <f t="shared" si="19"/>
        <v/>
      </c>
      <c r="W247" s="4"/>
      <c r="X247" s="4" t="str">
        <f t="shared" si="20"/>
        <v/>
      </c>
      <c r="Y247" s="6" t="str">
        <f>IF(F247&lt;&gt;"",Tabela1[[#This Row],[Iniciais]],"")</f>
        <v/>
      </c>
      <c r="AA247" s="6" t="str">
        <f>IF($F247&lt;&gt;"",RIGHT(Tabela1[[#This Row],[Ref.]],2),"")</f>
        <v/>
      </c>
      <c r="AB247" s="46" t="str">
        <f>IF($F247&lt;&gt;"",DATE(LEFT(Tabela1[[#This Row],[Ref.]],4),RIGHT(Tabela1[[#This Row],[Ref.]],2),1),"")</f>
        <v/>
      </c>
      <c r="AC247" s="4" t="str">
        <f t="shared" si="21"/>
        <v/>
      </c>
      <c r="AD247" s="5" t="str">
        <f t="shared" si="22"/>
        <v/>
      </c>
      <c r="AE247" s="4"/>
      <c r="AF247" s="6" t="str">
        <f t="shared" si="23"/>
        <v/>
      </c>
    </row>
    <row r="248" spans="1:32" ht="15.75" customHeight="1" x14ac:dyDescent="0.2">
      <c r="A248" s="42"/>
      <c r="B248" s="44"/>
      <c r="C248" s="41"/>
      <c r="D248" s="41"/>
      <c r="E248" s="41"/>
      <c r="F248" s="11"/>
      <c r="G248" s="11"/>
      <c r="H248" s="43"/>
      <c r="K248" s="25"/>
      <c r="M248" s="31"/>
      <c r="N248" s="31"/>
      <c r="O248" s="33"/>
      <c r="Q248" s="6" t="str">
        <f>IF($F248&lt;&gt;"",RIGHT(Tabela1[[#This Row],[Ref.]],2),"")</f>
        <v/>
      </c>
      <c r="R248" s="6" t="str">
        <f t="shared" si="18"/>
        <v/>
      </c>
      <c r="S248" s="4" t="str">
        <f>IF($F248&lt;&gt;"",_xlfn.XLOOKUP(F248,Naturezas!B:B,Naturezas!E:E,"",0,1),"")</f>
        <v/>
      </c>
      <c r="T248" s="4" t="str">
        <f>IF($F248&lt;&gt;"",_xlfn.XLOOKUP($F248,Naturezas!B:B,Naturezas!D:D,"",0,1),"")</f>
        <v/>
      </c>
      <c r="U248" s="5" t="str">
        <f>IF(F248&lt;&gt;"",IF(OR(F248=Naturezas!$B$3,F248=Naturezas!$B$4,F248=Naturezas!$B$5,F248=Naturezas!$B$17,F248=Naturezas!$B$18,F248=Naturezas!$B$19),H248,-H248),"")</f>
        <v/>
      </c>
      <c r="V248" s="4" t="str">
        <f t="shared" si="19"/>
        <v/>
      </c>
      <c r="W248" s="4"/>
      <c r="X248" s="4" t="str">
        <f t="shared" si="20"/>
        <v/>
      </c>
      <c r="Y248" s="6" t="str">
        <f>IF(F248&lt;&gt;"",Tabela1[[#This Row],[Iniciais]],"")</f>
        <v/>
      </c>
      <c r="AA248" s="6" t="str">
        <f>IF($F248&lt;&gt;"",RIGHT(Tabela1[[#This Row],[Ref.]],2),"")</f>
        <v/>
      </c>
      <c r="AB248" s="46" t="str">
        <f>IF($F248&lt;&gt;"",DATE(LEFT(Tabela1[[#This Row],[Ref.]],4),RIGHT(Tabela1[[#This Row],[Ref.]],2),1),"")</f>
        <v/>
      </c>
      <c r="AC248" s="4" t="str">
        <f t="shared" si="21"/>
        <v/>
      </c>
      <c r="AD248" s="5" t="str">
        <f t="shared" si="22"/>
        <v/>
      </c>
      <c r="AE248" s="4"/>
      <c r="AF248" s="6" t="str">
        <f t="shared" si="23"/>
        <v/>
      </c>
    </row>
    <row r="249" spans="1:32" ht="15.75" customHeight="1" x14ac:dyDescent="0.2">
      <c r="A249" s="42"/>
      <c r="B249" s="44"/>
      <c r="C249" s="41"/>
      <c r="D249" s="41"/>
      <c r="E249" s="41"/>
      <c r="F249" s="11"/>
      <c r="G249" s="11"/>
      <c r="H249" s="43"/>
      <c r="K249" s="25"/>
      <c r="M249" s="31"/>
      <c r="N249" s="31"/>
      <c r="O249" s="33"/>
      <c r="Q249" s="6" t="str">
        <f>IF($F249&lt;&gt;"",RIGHT(Tabela1[[#This Row],[Ref.]],2),"")</f>
        <v/>
      </c>
      <c r="R249" s="6" t="str">
        <f t="shared" si="18"/>
        <v/>
      </c>
      <c r="S249" s="4" t="str">
        <f>IF($F249&lt;&gt;"",_xlfn.XLOOKUP(F249,Naturezas!B:B,Naturezas!E:E,"",0,1),"")</f>
        <v/>
      </c>
      <c r="T249" s="4" t="str">
        <f>IF($F249&lt;&gt;"",_xlfn.XLOOKUP($F249,Naturezas!B:B,Naturezas!D:D,"",0,1),"")</f>
        <v/>
      </c>
      <c r="U249" s="5" t="str">
        <f>IF(F249&lt;&gt;"",IF(OR(F249=Naturezas!$B$3,F249=Naturezas!$B$4,F249=Naturezas!$B$5,F249=Naturezas!$B$17,F249=Naturezas!$B$18,F249=Naturezas!$B$19),H249,-H249),"")</f>
        <v/>
      </c>
      <c r="V249" s="4" t="str">
        <f t="shared" si="19"/>
        <v/>
      </c>
      <c r="W249" s="4"/>
      <c r="X249" s="4" t="str">
        <f t="shared" si="20"/>
        <v/>
      </c>
      <c r="Y249" s="6" t="str">
        <f>IF(F249&lt;&gt;"",Tabela1[[#This Row],[Iniciais]],"")</f>
        <v/>
      </c>
      <c r="AA249" s="6" t="str">
        <f>IF($F249&lt;&gt;"",RIGHT(Tabela1[[#This Row],[Ref.]],2),"")</f>
        <v/>
      </c>
      <c r="AB249" s="46" t="str">
        <f>IF($F249&lt;&gt;"",DATE(LEFT(Tabela1[[#This Row],[Ref.]],4),RIGHT(Tabela1[[#This Row],[Ref.]],2),1),"")</f>
        <v/>
      </c>
      <c r="AC249" s="4" t="str">
        <f t="shared" si="21"/>
        <v/>
      </c>
      <c r="AD249" s="5" t="str">
        <f t="shared" si="22"/>
        <v/>
      </c>
      <c r="AE249" s="4"/>
      <c r="AF249" s="6" t="str">
        <f t="shared" si="23"/>
        <v/>
      </c>
    </row>
    <row r="250" spans="1:32" ht="15.75" customHeight="1" x14ac:dyDescent="0.2">
      <c r="A250" s="42"/>
      <c r="B250" s="44"/>
      <c r="C250" s="41"/>
      <c r="D250" s="41"/>
      <c r="E250" s="41"/>
      <c r="F250" s="11"/>
      <c r="G250" s="11"/>
      <c r="H250" s="43"/>
      <c r="K250" s="25"/>
      <c r="M250" s="31"/>
      <c r="N250" s="31"/>
      <c r="O250" s="33"/>
      <c r="Q250" s="6" t="str">
        <f>IF($F250&lt;&gt;"",RIGHT(Tabela1[[#This Row],[Ref.]],2),"")</f>
        <v/>
      </c>
      <c r="R250" s="6" t="str">
        <f t="shared" si="18"/>
        <v/>
      </c>
      <c r="S250" s="4" t="str">
        <f>IF($F250&lt;&gt;"",_xlfn.XLOOKUP(F250,Naturezas!B:B,Naturezas!E:E,"",0,1),"")</f>
        <v/>
      </c>
      <c r="T250" s="4" t="str">
        <f>IF($F250&lt;&gt;"",_xlfn.XLOOKUP($F250,Naturezas!B:B,Naturezas!D:D,"",0,1),"")</f>
        <v/>
      </c>
      <c r="U250" s="5" t="str">
        <f>IF(F250&lt;&gt;"",IF(OR(F250=Naturezas!$B$3,F250=Naturezas!$B$4,F250=Naturezas!$B$5,F250=Naturezas!$B$17,F250=Naturezas!$B$18,F250=Naturezas!$B$19),H250,-H250),"")</f>
        <v/>
      </c>
      <c r="V250" s="4" t="str">
        <f t="shared" si="19"/>
        <v/>
      </c>
      <c r="W250" s="4"/>
      <c r="X250" s="4" t="str">
        <f t="shared" si="20"/>
        <v/>
      </c>
      <c r="Y250" s="6" t="str">
        <f>IF(F250&lt;&gt;"",Tabela1[[#This Row],[Iniciais]],"")</f>
        <v/>
      </c>
      <c r="AA250" s="6" t="str">
        <f>IF($F250&lt;&gt;"",RIGHT(Tabela1[[#This Row],[Ref.]],2),"")</f>
        <v/>
      </c>
      <c r="AB250" s="46" t="str">
        <f>IF($F250&lt;&gt;"",DATE(LEFT(Tabela1[[#This Row],[Ref.]],4),RIGHT(Tabela1[[#This Row],[Ref.]],2),1),"")</f>
        <v/>
      </c>
      <c r="AC250" s="4" t="str">
        <f t="shared" si="21"/>
        <v/>
      </c>
      <c r="AD250" s="5" t="str">
        <f t="shared" si="22"/>
        <v/>
      </c>
      <c r="AE250" s="4"/>
      <c r="AF250" s="6" t="str">
        <f t="shared" si="23"/>
        <v/>
      </c>
    </row>
    <row r="251" spans="1:32" ht="15.75" customHeight="1" x14ac:dyDescent="0.2">
      <c r="A251" s="42"/>
      <c r="B251" s="44"/>
      <c r="C251" s="41"/>
      <c r="D251" s="41"/>
      <c r="E251" s="41"/>
      <c r="F251" s="11"/>
      <c r="G251" s="11"/>
      <c r="H251" s="43"/>
      <c r="K251" s="25"/>
      <c r="M251" s="31"/>
      <c r="N251" s="31"/>
      <c r="O251" s="33"/>
      <c r="Q251" s="6" t="str">
        <f>IF($F251&lt;&gt;"",RIGHT(Tabela1[[#This Row],[Ref.]],2),"")</f>
        <v/>
      </c>
      <c r="R251" s="6" t="str">
        <f t="shared" si="18"/>
        <v/>
      </c>
      <c r="S251" s="4" t="str">
        <f>IF($F251&lt;&gt;"",_xlfn.XLOOKUP(F251,Naturezas!B:B,Naturezas!E:E,"",0,1),"")</f>
        <v/>
      </c>
      <c r="T251" s="4" t="str">
        <f>IF($F251&lt;&gt;"",_xlfn.XLOOKUP($F251,Naturezas!B:B,Naturezas!D:D,"",0,1),"")</f>
        <v/>
      </c>
      <c r="U251" s="5" t="str">
        <f>IF(F251&lt;&gt;"",IF(OR(F251=Naturezas!$B$3,F251=Naturezas!$B$4,F251=Naturezas!$B$5,F251=Naturezas!$B$17,F251=Naturezas!$B$18,F251=Naturezas!$B$19),H251,-H251),"")</f>
        <v/>
      </c>
      <c r="V251" s="4" t="str">
        <f t="shared" si="19"/>
        <v/>
      </c>
      <c r="W251" s="4"/>
      <c r="X251" s="4" t="str">
        <f t="shared" si="20"/>
        <v/>
      </c>
      <c r="Y251" s="6" t="str">
        <f>IF(F251&lt;&gt;"",Tabela1[[#This Row],[Iniciais]],"")</f>
        <v/>
      </c>
      <c r="AA251" s="6" t="str">
        <f>IF($F251&lt;&gt;"",RIGHT(Tabela1[[#This Row],[Ref.]],2),"")</f>
        <v/>
      </c>
      <c r="AB251" s="46" t="str">
        <f>IF($F251&lt;&gt;"",DATE(LEFT(Tabela1[[#This Row],[Ref.]],4),RIGHT(Tabela1[[#This Row],[Ref.]],2),1),"")</f>
        <v/>
      </c>
      <c r="AC251" s="4" t="str">
        <f t="shared" si="21"/>
        <v/>
      </c>
      <c r="AD251" s="5" t="str">
        <f t="shared" si="22"/>
        <v/>
      </c>
      <c r="AE251" s="4"/>
      <c r="AF251" s="6" t="str">
        <f t="shared" si="23"/>
        <v/>
      </c>
    </row>
    <row r="252" spans="1:32" ht="15.75" customHeight="1" x14ac:dyDescent="0.2">
      <c r="A252" s="42"/>
      <c r="B252" s="44"/>
      <c r="C252" s="41"/>
      <c r="D252" s="41"/>
      <c r="E252" s="41"/>
      <c r="F252" s="11"/>
      <c r="G252" s="11"/>
      <c r="H252" s="43"/>
      <c r="K252" s="25"/>
      <c r="M252" s="31"/>
      <c r="N252" s="31"/>
      <c r="O252" s="33"/>
      <c r="Q252" s="6" t="str">
        <f>IF($F252&lt;&gt;"",RIGHT(Tabela1[[#This Row],[Ref.]],2),"")</f>
        <v/>
      </c>
      <c r="R252" s="6" t="str">
        <f t="shared" si="18"/>
        <v/>
      </c>
      <c r="S252" s="4" t="str">
        <f>IF($F252&lt;&gt;"",_xlfn.XLOOKUP(F252,Naturezas!B:B,Naturezas!E:E,"",0,1),"")</f>
        <v/>
      </c>
      <c r="T252" s="4" t="str">
        <f>IF($F252&lt;&gt;"",_xlfn.XLOOKUP($F252,Naturezas!B:B,Naturezas!D:D,"",0,1),"")</f>
        <v/>
      </c>
      <c r="U252" s="5" t="str">
        <f>IF(F252&lt;&gt;"",IF(OR(F252=Naturezas!$B$3,F252=Naturezas!$B$4,F252=Naturezas!$B$5,F252=Naturezas!$B$17,F252=Naturezas!$B$18,F252=Naturezas!$B$19),H252,-H252),"")</f>
        <v/>
      </c>
      <c r="V252" s="4" t="str">
        <f t="shared" si="19"/>
        <v/>
      </c>
      <c r="W252" s="4"/>
      <c r="X252" s="4" t="str">
        <f t="shared" si="20"/>
        <v/>
      </c>
      <c r="Y252" s="6" t="str">
        <f>IF(F252&lt;&gt;"",Tabela1[[#This Row],[Iniciais]],"")</f>
        <v/>
      </c>
      <c r="AA252" s="6" t="str">
        <f>IF($F252&lt;&gt;"",RIGHT(Tabela1[[#This Row],[Ref.]],2),"")</f>
        <v/>
      </c>
      <c r="AB252" s="46" t="str">
        <f>IF($F252&lt;&gt;"",DATE(LEFT(Tabela1[[#This Row],[Ref.]],4),RIGHT(Tabela1[[#This Row],[Ref.]],2),1),"")</f>
        <v/>
      </c>
      <c r="AC252" s="4" t="str">
        <f t="shared" si="21"/>
        <v/>
      </c>
      <c r="AD252" s="5" t="str">
        <f t="shared" si="22"/>
        <v/>
      </c>
      <c r="AE252" s="4"/>
      <c r="AF252" s="6" t="str">
        <f t="shared" si="23"/>
        <v/>
      </c>
    </row>
    <row r="253" spans="1:32" ht="15.75" customHeight="1" x14ac:dyDescent="0.2">
      <c r="A253" s="42"/>
      <c r="B253" s="44"/>
      <c r="C253" s="41"/>
      <c r="D253" s="41"/>
      <c r="E253" s="41"/>
      <c r="F253" s="11"/>
      <c r="G253" s="11"/>
      <c r="H253" s="43"/>
      <c r="K253" s="25"/>
      <c r="M253" s="31"/>
      <c r="N253" s="31"/>
      <c r="O253" s="33"/>
      <c r="Q253" s="6" t="str">
        <f>IF($F253&lt;&gt;"",RIGHT(Tabela1[[#This Row],[Ref.]],2),"")</f>
        <v/>
      </c>
      <c r="R253" s="6" t="str">
        <f t="shared" si="18"/>
        <v/>
      </c>
      <c r="S253" s="4" t="str">
        <f>IF($F253&lt;&gt;"",_xlfn.XLOOKUP(F253,Naturezas!B:B,Naturezas!E:E,"",0,1),"")</f>
        <v/>
      </c>
      <c r="T253" s="4" t="str">
        <f>IF($F253&lt;&gt;"",_xlfn.XLOOKUP($F253,Naturezas!B:B,Naturezas!D:D,"",0,1),"")</f>
        <v/>
      </c>
      <c r="U253" s="5" t="str">
        <f>IF(F253&lt;&gt;"",IF(OR(F253=Naturezas!$B$3,F253=Naturezas!$B$4,F253=Naturezas!$B$5,F253=Naturezas!$B$17,F253=Naturezas!$B$18,F253=Naturezas!$B$19),H253,-H253),"")</f>
        <v/>
      </c>
      <c r="V253" s="4" t="str">
        <f t="shared" si="19"/>
        <v/>
      </c>
      <c r="W253" s="4"/>
      <c r="X253" s="4" t="str">
        <f t="shared" si="20"/>
        <v/>
      </c>
      <c r="Y253" s="6" t="str">
        <f>IF(F253&lt;&gt;"",Tabela1[[#This Row],[Iniciais]],"")</f>
        <v/>
      </c>
      <c r="AA253" s="6" t="str">
        <f>IF($F253&lt;&gt;"",RIGHT(Tabela1[[#This Row],[Ref.]],2),"")</f>
        <v/>
      </c>
      <c r="AB253" s="46" t="str">
        <f>IF($F253&lt;&gt;"",DATE(LEFT(Tabela1[[#This Row],[Ref.]],4),RIGHT(Tabela1[[#This Row],[Ref.]],2),1),"")</f>
        <v/>
      </c>
      <c r="AC253" s="4" t="str">
        <f t="shared" si="21"/>
        <v/>
      </c>
      <c r="AD253" s="5" t="str">
        <f t="shared" si="22"/>
        <v/>
      </c>
      <c r="AE253" s="4"/>
      <c r="AF253" s="6" t="str">
        <f t="shared" si="23"/>
        <v/>
      </c>
    </row>
    <row r="254" spans="1:32" ht="15.75" customHeight="1" x14ac:dyDescent="0.2">
      <c r="A254" s="42"/>
      <c r="B254" s="44"/>
      <c r="C254" s="41"/>
      <c r="D254" s="41"/>
      <c r="E254" s="41"/>
      <c r="F254" s="11"/>
      <c r="G254" s="11"/>
      <c r="H254" s="43"/>
      <c r="K254" s="25"/>
      <c r="M254" s="31"/>
      <c r="N254" s="31"/>
      <c r="O254" s="33"/>
      <c r="Q254" s="6" t="str">
        <f>IF($F254&lt;&gt;"",RIGHT(Tabela1[[#This Row],[Ref.]],2),"")</f>
        <v/>
      </c>
      <c r="R254" s="6" t="str">
        <f t="shared" si="18"/>
        <v/>
      </c>
      <c r="S254" s="4" t="str">
        <f>IF($F254&lt;&gt;"",_xlfn.XLOOKUP(F254,Naturezas!B:B,Naturezas!E:E,"",0,1),"")</f>
        <v/>
      </c>
      <c r="T254" s="4" t="str">
        <f>IF($F254&lt;&gt;"",_xlfn.XLOOKUP($F254,Naturezas!B:B,Naturezas!D:D,"",0,1),"")</f>
        <v/>
      </c>
      <c r="U254" s="5" t="str">
        <f>IF(F254&lt;&gt;"",IF(OR(F254=Naturezas!$B$3,F254=Naturezas!$B$4,F254=Naturezas!$B$5,F254=Naturezas!$B$17,F254=Naturezas!$B$18,F254=Naturezas!$B$19),H254,-H254),"")</f>
        <v/>
      </c>
      <c r="V254" s="4" t="str">
        <f t="shared" si="19"/>
        <v/>
      </c>
      <c r="W254" s="4"/>
      <c r="X254" s="4" t="str">
        <f t="shared" si="20"/>
        <v/>
      </c>
      <c r="Y254" s="6" t="str">
        <f>IF(F254&lt;&gt;"",Tabela1[[#This Row],[Iniciais]],"")</f>
        <v/>
      </c>
      <c r="AA254" s="6" t="str">
        <f>IF($F254&lt;&gt;"",RIGHT(Tabela1[[#This Row],[Ref.]],2),"")</f>
        <v/>
      </c>
      <c r="AB254" s="46" t="str">
        <f>IF($F254&lt;&gt;"",DATE(LEFT(Tabela1[[#This Row],[Ref.]],4),RIGHT(Tabela1[[#This Row],[Ref.]],2),1),"")</f>
        <v/>
      </c>
      <c r="AC254" s="4" t="str">
        <f t="shared" si="21"/>
        <v/>
      </c>
      <c r="AD254" s="5" t="str">
        <f t="shared" si="22"/>
        <v/>
      </c>
      <c r="AE254" s="4"/>
      <c r="AF254" s="6" t="str">
        <f t="shared" si="23"/>
        <v/>
      </c>
    </row>
    <row r="255" spans="1:32" ht="15.75" customHeight="1" x14ac:dyDescent="0.2">
      <c r="A255" s="42"/>
      <c r="B255" s="44"/>
      <c r="C255" s="41"/>
      <c r="D255" s="41"/>
      <c r="E255" s="41"/>
      <c r="F255" s="11"/>
      <c r="G255" s="11"/>
      <c r="H255" s="43"/>
      <c r="K255" s="25"/>
      <c r="M255" s="31"/>
      <c r="N255" s="31"/>
      <c r="O255" s="33"/>
      <c r="Q255" s="6" t="str">
        <f>IF($F255&lt;&gt;"",RIGHT(Tabela1[[#This Row],[Ref.]],2),"")</f>
        <v/>
      </c>
      <c r="R255" s="6" t="str">
        <f t="shared" si="18"/>
        <v/>
      </c>
      <c r="S255" s="4" t="str">
        <f>IF($F255&lt;&gt;"",_xlfn.XLOOKUP(F255,Naturezas!B:B,Naturezas!E:E,"",0,1),"")</f>
        <v/>
      </c>
      <c r="T255" s="4" t="str">
        <f>IF($F255&lt;&gt;"",_xlfn.XLOOKUP($F255,Naturezas!B:B,Naturezas!D:D,"",0,1),"")</f>
        <v/>
      </c>
      <c r="U255" s="5" t="str">
        <f>IF(F255&lt;&gt;"",IF(OR(F255=Naturezas!$B$3,F255=Naturezas!$B$4,F255=Naturezas!$B$5,F255=Naturezas!$B$17,F255=Naturezas!$B$18,F255=Naturezas!$B$19),H255,-H255),"")</f>
        <v/>
      </c>
      <c r="V255" s="4" t="str">
        <f t="shared" si="19"/>
        <v/>
      </c>
      <c r="W255" s="4"/>
      <c r="X255" s="4" t="str">
        <f t="shared" si="20"/>
        <v/>
      </c>
      <c r="Y255" s="6" t="str">
        <f>IF(F255&lt;&gt;"",Tabela1[[#This Row],[Iniciais]],"")</f>
        <v/>
      </c>
      <c r="AA255" s="6" t="str">
        <f>IF($F255&lt;&gt;"",RIGHT(Tabela1[[#This Row],[Ref.]],2),"")</f>
        <v/>
      </c>
      <c r="AB255" s="46" t="str">
        <f>IF($F255&lt;&gt;"",DATE(LEFT(Tabela1[[#This Row],[Ref.]],4),RIGHT(Tabela1[[#This Row],[Ref.]],2),1),"")</f>
        <v/>
      </c>
      <c r="AC255" s="4" t="str">
        <f t="shared" si="21"/>
        <v/>
      </c>
      <c r="AD255" s="5" t="str">
        <f t="shared" si="22"/>
        <v/>
      </c>
      <c r="AE255" s="4"/>
      <c r="AF255" s="6" t="str">
        <f t="shared" si="23"/>
        <v/>
      </c>
    </row>
    <row r="256" spans="1:32" ht="15.75" customHeight="1" x14ac:dyDescent="0.2">
      <c r="A256" s="42"/>
      <c r="B256" s="44"/>
      <c r="C256" s="41"/>
      <c r="D256" s="41"/>
      <c r="E256" s="41"/>
      <c r="F256" s="11"/>
      <c r="G256" s="11"/>
      <c r="H256" s="43"/>
      <c r="K256" s="25"/>
      <c r="M256" s="31"/>
      <c r="N256" s="31"/>
      <c r="O256" s="33"/>
      <c r="Q256" s="6" t="str">
        <f>IF($F256&lt;&gt;"",RIGHT(Tabela1[[#This Row],[Ref.]],2),"")</f>
        <v/>
      </c>
      <c r="R256" s="6" t="str">
        <f t="shared" si="18"/>
        <v/>
      </c>
      <c r="S256" s="4" t="str">
        <f>IF($F256&lt;&gt;"",_xlfn.XLOOKUP(F256,Naturezas!B:B,Naturezas!E:E,"",0,1),"")</f>
        <v/>
      </c>
      <c r="T256" s="4" t="str">
        <f>IF($F256&lt;&gt;"",_xlfn.XLOOKUP($F256,Naturezas!B:B,Naturezas!D:D,"",0,1),"")</f>
        <v/>
      </c>
      <c r="U256" s="5" t="str">
        <f>IF(F256&lt;&gt;"",IF(OR(F256=Naturezas!$B$3,F256=Naturezas!$B$4,F256=Naturezas!$B$5,F256=Naturezas!$B$17,F256=Naturezas!$B$18,F256=Naturezas!$B$19),H256,-H256),"")</f>
        <v/>
      </c>
      <c r="V256" s="4" t="str">
        <f t="shared" si="19"/>
        <v/>
      </c>
      <c r="W256" s="4"/>
      <c r="X256" s="4" t="str">
        <f t="shared" si="20"/>
        <v/>
      </c>
      <c r="Y256" s="6" t="str">
        <f>IF(F256&lt;&gt;"",Tabela1[[#This Row],[Iniciais]],"")</f>
        <v/>
      </c>
      <c r="AA256" s="6" t="str">
        <f>IF($F256&lt;&gt;"",RIGHT(Tabela1[[#This Row],[Ref.]],2),"")</f>
        <v/>
      </c>
      <c r="AB256" s="46" t="str">
        <f>IF($F256&lt;&gt;"",DATE(LEFT(Tabela1[[#This Row],[Ref.]],4),RIGHT(Tabela1[[#This Row],[Ref.]],2),1),"")</f>
        <v/>
      </c>
      <c r="AC256" s="4" t="str">
        <f t="shared" si="21"/>
        <v/>
      </c>
      <c r="AD256" s="5" t="str">
        <f t="shared" si="22"/>
        <v/>
      </c>
      <c r="AE256" s="4"/>
      <c r="AF256" s="6" t="str">
        <f t="shared" si="23"/>
        <v/>
      </c>
    </row>
    <row r="257" spans="1:32" ht="15.75" customHeight="1" x14ac:dyDescent="0.2">
      <c r="A257" s="42"/>
      <c r="B257" s="44"/>
      <c r="C257" s="41"/>
      <c r="D257" s="41"/>
      <c r="E257" s="41"/>
      <c r="F257" s="11"/>
      <c r="G257" s="11"/>
      <c r="H257" s="43"/>
      <c r="K257" s="25"/>
      <c r="M257" s="31"/>
      <c r="N257" s="31"/>
      <c r="O257" s="33"/>
      <c r="Q257" s="6" t="str">
        <f>IF($F257&lt;&gt;"",RIGHT(Tabela1[[#This Row],[Ref.]],2),"")</f>
        <v/>
      </c>
      <c r="R257" s="6" t="str">
        <f t="shared" si="18"/>
        <v/>
      </c>
      <c r="S257" s="4" t="str">
        <f>IF($F257&lt;&gt;"",_xlfn.XLOOKUP(F257,Naturezas!B:B,Naturezas!E:E,"",0,1),"")</f>
        <v/>
      </c>
      <c r="T257" s="4" t="str">
        <f>IF($F257&lt;&gt;"",_xlfn.XLOOKUP($F257,Naturezas!B:B,Naturezas!D:D,"",0,1),"")</f>
        <v/>
      </c>
      <c r="U257" s="5" t="str">
        <f>IF(F257&lt;&gt;"",IF(OR(F257=Naturezas!$B$3,F257=Naturezas!$B$4,F257=Naturezas!$B$5,F257=Naturezas!$B$17,F257=Naturezas!$B$18,F257=Naturezas!$B$19),H257,-H257),"")</f>
        <v/>
      </c>
      <c r="V257" s="4" t="str">
        <f t="shared" si="19"/>
        <v/>
      </c>
      <c r="W257" s="4"/>
      <c r="X257" s="4" t="str">
        <f t="shared" si="20"/>
        <v/>
      </c>
      <c r="Y257" s="6" t="str">
        <f>IF(F257&lt;&gt;"",Tabela1[[#This Row],[Iniciais]],"")</f>
        <v/>
      </c>
      <c r="AA257" s="6" t="str">
        <f>IF($F257&lt;&gt;"",RIGHT(Tabela1[[#This Row],[Ref.]],2),"")</f>
        <v/>
      </c>
      <c r="AB257" s="46" t="str">
        <f>IF($F257&lt;&gt;"",DATE(LEFT(Tabela1[[#This Row],[Ref.]],4),RIGHT(Tabela1[[#This Row],[Ref.]],2),1),"")</f>
        <v/>
      </c>
      <c r="AC257" s="4" t="str">
        <f t="shared" si="21"/>
        <v/>
      </c>
      <c r="AD257" s="5" t="str">
        <f t="shared" si="22"/>
        <v/>
      </c>
      <c r="AE257" s="4"/>
      <c r="AF257" s="6" t="str">
        <f t="shared" si="23"/>
        <v/>
      </c>
    </row>
    <row r="258" spans="1:32" ht="15.75" customHeight="1" x14ac:dyDescent="0.2">
      <c r="A258" s="42"/>
      <c r="B258" s="44"/>
      <c r="C258" s="41"/>
      <c r="D258" s="41"/>
      <c r="E258" s="41"/>
      <c r="F258" s="11"/>
      <c r="G258" s="11"/>
      <c r="H258" s="43"/>
      <c r="K258" s="25"/>
      <c r="M258" s="31"/>
      <c r="N258" s="31"/>
      <c r="O258" s="33"/>
      <c r="Q258" s="6" t="str">
        <f>IF($F258&lt;&gt;"",RIGHT(Tabela1[[#This Row],[Ref.]],2),"")</f>
        <v/>
      </c>
      <c r="R258" s="6" t="str">
        <f t="shared" si="18"/>
        <v/>
      </c>
      <c r="S258" s="4" t="str">
        <f>IF($F258&lt;&gt;"",_xlfn.XLOOKUP(F258,Naturezas!B:B,Naturezas!E:E,"",0,1),"")</f>
        <v/>
      </c>
      <c r="T258" s="4" t="str">
        <f>IF($F258&lt;&gt;"",_xlfn.XLOOKUP($F258,Naturezas!B:B,Naturezas!D:D,"",0,1),"")</f>
        <v/>
      </c>
      <c r="U258" s="5" t="str">
        <f>IF(F258&lt;&gt;"",IF(OR(F258=Naturezas!$B$3,F258=Naturezas!$B$4,F258=Naturezas!$B$5,F258=Naturezas!$B$17,F258=Naturezas!$B$18,F258=Naturezas!$B$19),H258,-H258),"")</f>
        <v/>
      </c>
      <c r="V258" s="4" t="str">
        <f t="shared" si="19"/>
        <v/>
      </c>
      <c r="W258" s="4"/>
      <c r="X258" s="4" t="str">
        <f t="shared" si="20"/>
        <v/>
      </c>
      <c r="Y258" s="6" t="str">
        <f>IF(F258&lt;&gt;"",Tabela1[[#This Row],[Iniciais]],"")</f>
        <v/>
      </c>
      <c r="AA258" s="6" t="str">
        <f>IF($F258&lt;&gt;"",RIGHT(Tabela1[[#This Row],[Ref.]],2),"")</f>
        <v/>
      </c>
      <c r="AB258" s="46" t="str">
        <f>IF($F258&lt;&gt;"",DATE(LEFT(Tabela1[[#This Row],[Ref.]],4),RIGHT(Tabela1[[#This Row],[Ref.]],2),1),"")</f>
        <v/>
      </c>
      <c r="AC258" s="4" t="str">
        <f t="shared" si="21"/>
        <v/>
      </c>
      <c r="AD258" s="5" t="str">
        <f t="shared" si="22"/>
        <v/>
      </c>
      <c r="AE258" s="4"/>
      <c r="AF258" s="6" t="str">
        <f t="shared" si="23"/>
        <v/>
      </c>
    </row>
    <row r="259" spans="1:32" ht="15.75" customHeight="1" x14ac:dyDescent="0.2">
      <c r="A259" s="42"/>
      <c r="B259" s="44"/>
      <c r="C259" s="41"/>
      <c r="D259" s="41"/>
      <c r="E259" s="41"/>
      <c r="F259" s="11"/>
      <c r="G259" s="11"/>
      <c r="H259" s="43"/>
      <c r="K259" s="25"/>
      <c r="M259" s="31"/>
      <c r="N259" s="31"/>
      <c r="O259" s="33"/>
      <c r="Q259" s="6" t="str">
        <f>IF($F259&lt;&gt;"",RIGHT(Tabela1[[#This Row],[Ref.]],2),"")</f>
        <v/>
      </c>
      <c r="R259" s="6" t="str">
        <f t="shared" si="18"/>
        <v/>
      </c>
      <c r="S259" s="4" t="str">
        <f>IF($F259&lt;&gt;"",_xlfn.XLOOKUP(F259,Naturezas!B:B,Naturezas!E:E,"",0,1),"")</f>
        <v/>
      </c>
      <c r="T259" s="4" t="str">
        <f>IF($F259&lt;&gt;"",_xlfn.XLOOKUP($F259,Naturezas!B:B,Naturezas!D:D,"",0,1),"")</f>
        <v/>
      </c>
      <c r="U259" s="5" t="str">
        <f>IF(F259&lt;&gt;"",IF(OR(F259=Naturezas!$B$3,F259=Naturezas!$B$4,F259=Naturezas!$B$5,F259=Naturezas!$B$17,F259=Naturezas!$B$18,F259=Naturezas!$B$19),H259,-H259),"")</f>
        <v/>
      </c>
      <c r="V259" s="4" t="str">
        <f t="shared" si="19"/>
        <v/>
      </c>
      <c r="W259" s="4"/>
      <c r="X259" s="4" t="str">
        <f t="shared" si="20"/>
        <v/>
      </c>
      <c r="Y259" s="6" t="str">
        <f>IF(F259&lt;&gt;"",Tabela1[[#This Row],[Iniciais]],"")</f>
        <v/>
      </c>
      <c r="AA259" s="6" t="str">
        <f>IF($F259&lt;&gt;"",RIGHT(Tabela1[[#This Row],[Ref.]],2),"")</f>
        <v/>
      </c>
      <c r="AB259" s="46" t="str">
        <f>IF($F259&lt;&gt;"",DATE(LEFT(Tabela1[[#This Row],[Ref.]],4),RIGHT(Tabela1[[#This Row],[Ref.]],2),1),"")</f>
        <v/>
      </c>
      <c r="AC259" s="4" t="str">
        <f t="shared" si="21"/>
        <v/>
      </c>
      <c r="AD259" s="5" t="str">
        <f t="shared" si="22"/>
        <v/>
      </c>
      <c r="AE259" s="4"/>
      <c r="AF259" s="6" t="str">
        <f t="shared" si="23"/>
        <v/>
      </c>
    </row>
    <row r="260" spans="1:32" ht="15.75" customHeight="1" x14ac:dyDescent="0.2">
      <c r="A260" s="42"/>
      <c r="B260" s="44"/>
      <c r="C260" s="41"/>
      <c r="D260" s="41"/>
      <c r="E260" s="41"/>
      <c r="F260" s="11"/>
      <c r="G260" s="11"/>
      <c r="H260" s="43"/>
      <c r="K260" s="25"/>
      <c r="M260" s="31"/>
      <c r="N260" s="31"/>
      <c r="O260" s="33"/>
      <c r="Q260" s="6" t="str">
        <f>IF($F260&lt;&gt;"",RIGHT(Tabela1[[#This Row],[Ref.]],2),"")</f>
        <v/>
      </c>
      <c r="R260" s="6" t="str">
        <f t="shared" si="18"/>
        <v/>
      </c>
      <c r="S260" s="4" t="str">
        <f>IF($F260&lt;&gt;"",_xlfn.XLOOKUP(F260,Naturezas!B:B,Naturezas!E:E,"",0,1),"")</f>
        <v/>
      </c>
      <c r="T260" s="4" t="str">
        <f>IF($F260&lt;&gt;"",_xlfn.XLOOKUP($F260,Naturezas!B:B,Naturezas!D:D,"",0,1),"")</f>
        <v/>
      </c>
      <c r="U260" s="5" t="str">
        <f>IF(F260&lt;&gt;"",IF(OR(F260=Naturezas!$B$3,F260=Naturezas!$B$4,F260=Naturezas!$B$5,F260=Naturezas!$B$17,F260=Naturezas!$B$18,F260=Naturezas!$B$19),H260,-H260),"")</f>
        <v/>
      </c>
      <c r="V260" s="4" t="str">
        <f t="shared" si="19"/>
        <v/>
      </c>
      <c r="W260" s="4"/>
      <c r="X260" s="4" t="str">
        <f t="shared" si="20"/>
        <v/>
      </c>
      <c r="Y260" s="6" t="str">
        <f>IF(F260&lt;&gt;"",Tabela1[[#This Row],[Iniciais]],"")</f>
        <v/>
      </c>
      <c r="AA260" s="6" t="str">
        <f>IF($F260&lt;&gt;"",RIGHT(Tabela1[[#This Row],[Ref.]],2),"")</f>
        <v/>
      </c>
      <c r="AB260" s="46" t="str">
        <f>IF($F260&lt;&gt;"",DATE(LEFT(Tabela1[[#This Row],[Ref.]],4),RIGHT(Tabela1[[#This Row],[Ref.]],2),1),"")</f>
        <v/>
      </c>
      <c r="AC260" s="4" t="str">
        <f t="shared" si="21"/>
        <v/>
      </c>
      <c r="AD260" s="5" t="str">
        <f t="shared" si="22"/>
        <v/>
      </c>
      <c r="AE260" s="4"/>
      <c r="AF260" s="6" t="str">
        <f t="shared" si="23"/>
        <v/>
      </c>
    </row>
    <row r="261" spans="1:32" ht="15.75" customHeight="1" x14ac:dyDescent="0.2">
      <c r="A261" s="42"/>
      <c r="B261" s="44"/>
      <c r="C261" s="41"/>
      <c r="D261" s="41"/>
      <c r="E261" s="41"/>
      <c r="F261" s="11"/>
      <c r="G261" s="11"/>
      <c r="H261" s="43"/>
      <c r="K261" s="25"/>
      <c r="M261" s="31"/>
      <c r="N261" s="31"/>
      <c r="O261" s="33"/>
      <c r="Q261" s="6" t="str">
        <f>IF($F261&lt;&gt;"",RIGHT(Tabela1[[#This Row],[Ref.]],2),"")</f>
        <v/>
      </c>
      <c r="R261" s="6" t="str">
        <f t="shared" si="18"/>
        <v/>
      </c>
      <c r="S261" s="4" t="str">
        <f>IF($F261&lt;&gt;"",_xlfn.XLOOKUP(F261,Naturezas!B:B,Naturezas!E:E,"",0,1),"")</f>
        <v/>
      </c>
      <c r="T261" s="4" t="str">
        <f>IF($F261&lt;&gt;"",_xlfn.XLOOKUP($F261,Naturezas!B:B,Naturezas!D:D,"",0,1),"")</f>
        <v/>
      </c>
      <c r="U261" s="5" t="str">
        <f>IF(F261&lt;&gt;"",IF(OR(F261=Naturezas!$B$3,F261=Naturezas!$B$4,F261=Naturezas!$B$5,F261=Naturezas!$B$17,F261=Naturezas!$B$18,F261=Naturezas!$B$19),H261,-H261),"")</f>
        <v/>
      </c>
      <c r="V261" s="4" t="str">
        <f t="shared" si="19"/>
        <v/>
      </c>
      <c r="W261" s="4"/>
      <c r="X261" s="4" t="str">
        <f t="shared" si="20"/>
        <v/>
      </c>
      <c r="Y261" s="6" t="str">
        <f>IF(F261&lt;&gt;"",Tabela1[[#This Row],[Iniciais]],"")</f>
        <v/>
      </c>
      <c r="AA261" s="6" t="str">
        <f>IF($F261&lt;&gt;"",RIGHT(Tabela1[[#This Row],[Ref.]],2),"")</f>
        <v/>
      </c>
      <c r="AB261" s="46" t="str">
        <f>IF($F261&lt;&gt;"",DATE(LEFT(Tabela1[[#This Row],[Ref.]],4),RIGHT(Tabela1[[#This Row],[Ref.]],2),1),"")</f>
        <v/>
      </c>
      <c r="AC261" s="4" t="str">
        <f t="shared" si="21"/>
        <v/>
      </c>
      <c r="AD261" s="5" t="str">
        <f t="shared" si="22"/>
        <v/>
      </c>
      <c r="AE261" s="4"/>
      <c r="AF261" s="6" t="str">
        <f t="shared" si="23"/>
        <v/>
      </c>
    </row>
    <row r="262" spans="1:32" ht="15.75" customHeight="1" x14ac:dyDescent="0.2">
      <c r="A262" s="42"/>
      <c r="B262" s="44"/>
      <c r="C262" s="41"/>
      <c r="D262" s="41"/>
      <c r="E262" s="41"/>
      <c r="F262" s="11"/>
      <c r="G262" s="11"/>
      <c r="H262" s="43"/>
      <c r="K262" s="25"/>
      <c r="M262" s="31"/>
      <c r="N262" s="31"/>
      <c r="O262" s="33"/>
      <c r="Q262" s="6" t="str">
        <f>IF($F262&lt;&gt;"",RIGHT(Tabela1[[#This Row],[Ref.]],2),"")</f>
        <v/>
      </c>
      <c r="R262" s="6" t="str">
        <f t="shared" si="18"/>
        <v/>
      </c>
      <c r="S262" s="4" t="str">
        <f>IF($F262&lt;&gt;"",_xlfn.XLOOKUP(F262,Naturezas!B:B,Naturezas!E:E,"",0,1),"")</f>
        <v/>
      </c>
      <c r="T262" s="4" t="str">
        <f>IF($F262&lt;&gt;"",_xlfn.XLOOKUP($F262,Naturezas!B:B,Naturezas!D:D,"",0,1),"")</f>
        <v/>
      </c>
      <c r="U262" s="5" t="str">
        <f>IF(F262&lt;&gt;"",IF(OR(F262=Naturezas!$B$3,F262=Naturezas!$B$4,F262=Naturezas!$B$5,F262=Naturezas!$B$17,F262=Naturezas!$B$18,F262=Naturezas!$B$19),H262,-H262),"")</f>
        <v/>
      </c>
      <c r="V262" s="4" t="str">
        <f t="shared" si="19"/>
        <v/>
      </c>
      <c r="W262" s="4"/>
      <c r="X262" s="4" t="str">
        <f t="shared" si="20"/>
        <v/>
      </c>
      <c r="Y262" s="6" t="str">
        <f>IF(F262&lt;&gt;"",Tabela1[[#This Row],[Iniciais]],"")</f>
        <v/>
      </c>
      <c r="AA262" s="6" t="str">
        <f>IF($F262&lt;&gt;"",RIGHT(Tabela1[[#This Row],[Ref.]],2),"")</f>
        <v/>
      </c>
      <c r="AB262" s="46" t="str">
        <f>IF($F262&lt;&gt;"",DATE(LEFT(Tabela1[[#This Row],[Ref.]],4),RIGHT(Tabela1[[#This Row],[Ref.]],2),1),"")</f>
        <v/>
      </c>
      <c r="AC262" s="4" t="str">
        <f t="shared" si="21"/>
        <v/>
      </c>
      <c r="AD262" s="5" t="str">
        <f t="shared" si="22"/>
        <v/>
      </c>
      <c r="AE262" s="4"/>
      <c r="AF262" s="6" t="str">
        <f t="shared" si="23"/>
        <v/>
      </c>
    </row>
    <row r="263" spans="1:32" ht="15.75" customHeight="1" x14ac:dyDescent="0.2">
      <c r="A263" s="42"/>
      <c r="B263" s="44"/>
      <c r="C263" s="41"/>
      <c r="D263" s="41"/>
      <c r="E263" s="41"/>
      <c r="F263" s="11"/>
      <c r="G263" s="11"/>
      <c r="H263" s="43"/>
      <c r="K263" s="25"/>
      <c r="M263" s="31"/>
      <c r="N263" s="31"/>
      <c r="O263" s="33"/>
      <c r="Q263" s="6" t="str">
        <f>IF($F263&lt;&gt;"",RIGHT(Tabela1[[#This Row],[Ref.]],2),"")</f>
        <v/>
      </c>
      <c r="R263" s="6" t="str">
        <f t="shared" si="18"/>
        <v/>
      </c>
      <c r="S263" s="4" t="str">
        <f>IF($F263&lt;&gt;"",_xlfn.XLOOKUP(F263,Naturezas!B:B,Naturezas!E:E,"",0,1),"")</f>
        <v/>
      </c>
      <c r="T263" s="4" t="str">
        <f>IF($F263&lt;&gt;"",_xlfn.XLOOKUP($F263,Naturezas!B:B,Naturezas!D:D,"",0,1),"")</f>
        <v/>
      </c>
      <c r="U263" s="5" t="str">
        <f>IF(F263&lt;&gt;"",IF(OR(F263=Naturezas!$B$3,F263=Naturezas!$B$4,F263=Naturezas!$B$5,F263=Naturezas!$B$17,F263=Naturezas!$B$18,F263=Naturezas!$B$19),H263,-H263),"")</f>
        <v/>
      </c>
      <c r="V263" s="4" t="str">
        <f t="shared" si="19"/>
        <v/>
      </c>
      <c r="W263" s="4"/>
      <c r="X263" s="4" t="str">
        <f t="shared" si="20"/>
        <v/>
      </c>
      <c r="Y263" s="6" t="str">
        <f>IF(F263&lt;&gt;"",Tabela1[[#This Row],[Iniciais]],"")</f>
        <v/>
      </c>
      <c r="AA263" s="6" t="str">
        <f>IF($F263&lt;&gt;"",RIGHT(Tabela1[[#This Row],[Ref.]],2),"")</f>
        <v/>
      </c>
      <c r="AB263" s="46" t="str">
        <f>IF($F263&lt;&gt;"",DATE(LEFT(Tabela1[[#This Row],[Ref.]],4),RIGHT(Tabela1[[#This Row],[Ref.]],2),1),"")</f>
        <v/>
      </c>
      <c r="AC263" s="4" t="str">
        <f t="shared" si="21"/>
        <v/>
      </c>
      <c r="AD263" s="5" t="str">
        <f t="shared" si="22"/>
        <v/>
      </c>
      <c r="AE263" s="4"/>
      <c r="AF263" s="6" t="str">
        <f t="shared" si="23"/>
        <v/>
      </c>
    </row>
    <row r="264" spans="1:32" ht="15.75" customHeight="1" x14ac:dyDescent="0.2">
      <c r="A264" s="42"/>
      <c r="B264" s="44"/>
      <c r="C264" s="41"/>
      <c r="D264" s="41"/>
      <c r="E264" s="41"/>
      <c r="F264" s="11"/>
      <c r="G264" s="11"/>
      <c r="H264" s="43"/>
      <c r="K264" s="25"/>
      <c r="M264" s="31"/>
      <c r="N264" s="31"/>
      <c r="O264" s="33"/>
      <c r="Q264" s="6" t="str">
        <f>IF($F264&lt;&gt;"",RIGHT(Tabela1[[#This Row],[Ref.]],2),"")</f>
        <v/>
      </c>
      <c r="R264" s="6" t="str">
        <f t="shared" si="18"/>
        <v/>
      </c>
      <c r="S264" s="4" t="str">
        <f>IF($F264&lt;&gt;"",_xlfn.XLOOKUP(F264,Naturezas!B:B,Naturezas!E:E,"",0,1),"")</f>
        <v/>
      </c>
      <c r="T264" s="4" t="str">
        <f>IF($F264&lt;&gt;"",_xlfn.XLOOKUP($F264,Naturezas!B:B,Naturezas!D:D,"",0,1),"")</f>
        <v/>
      </c>
      <c r="U264" s="5" t="str">
        <f>IF(F264&lt;&gt;"",IF(OR(F264=Naturezas!$B$3,F264=Naturezas!$B$4,F264=Naturezas!$B$5,F264=Naturezas!$B$17,F264=Naturezas!$B$18,F264=Naturezas!$B$19),H264,-H264),"")</f>
        <v/>
      </c>
      <c r="V264" s="4" t="str">
        <f t="shared" si="19"/>
        <v/>
      </c>
      <c r="W264" s="4"/>
      <c r="X264" s="4" t="str">
        <f t="shared" si="20"/>
        <v/>
      </c>
      <c r="Y264" s="6" t="str">
        <f>IF(F264&lt;&gt;"",Tabela1[[#This Row],[Iniciais]],"")</f>
        <v/>
      </c>
      <c r="AA264" s="6" t="str">
        <f>IF($F264&lt;&gt;"",RIGHT(Tabela1[[#This Row],[Ref.]],2),"")</f>
        <v/>
      </c>
      <c r="AB264" s="46" t="str">
        <f>IF($F264&lt;&gt;"",DATE(LEFT(Tabela1[[#This Row],[Ref.]],4),RIGHT(Tabela1[[#This Row],[Ref.]],2),1),"")</f>
        <v/>
      </c>
      <c r="AC264" s="4" t="str">
        <f t="shared" si="21"/>
        <v/>
      </c>
      <c r="AD264" s="5" t="str">
        <f t="shared" si="22"/>
        <v/>
      </c>
      <c r="AE264" s="4"/>
      <c r="AF264" s="6" t="str">
        <f t="shared" si="23"/>
        <v/>
      </c>
    </row>
    <row r="265" spans="1:32" ht="15.75" customHeight="1" x14ac:dyDescent="0.2">
      <c r="A265" s="42"/>
      <c r="B265" s="44"/>
      <c r="C265" s="41"/>
      <c r="D265" s="41"/>
      <c r="E265" s="41"/>
      <c r="F265" s="11"/>
      <c r="G265" s="11"/>
      <c r="H265" s="43"/>
      <c r="K265" s="25"/>
      <c r="M265" s="31"/>
      <c r="N265" s="31"/>
      <c r="O265" s="33"/>
      <c r="Q265" s="6" t="str">
        <f>IF($F265&lt;&gt;"",RIGHT(Tabela1[[#This Row],[Ref.]],2),"")</f>
        <v/>
      </c>
      <c r="R265" s="6" t="str">
        <f t="shared" si="18"/>
        <v/>
      </c>
      <c r="S265" s="4" t="str">
        <f>IF($F265&lt;&gt;"",_xlfn.XLOOKUP(F265,Naturezas!B:B,Naturezas!E:E,"",0,1),"")</f>
        <v/>
      </c>
      <c r="T265" s="4" t="str">
        <f>IF($F265&lt;&gt;"",_xlfn.XLOOKUP($F265,Naturezas!B:B,Naturezas!D:D,"",0,1),"")</f>
        <v/>
      </c>
      <c r="U265" s="5" t="str">
        <f>IF(F265&lt;&gt;"",IF(OR(F265=Naturezas!$B$3,F265=Naturezas!$B$4,F265=Naturezas!$B$5,F265=Naturezas!$B$17,F265=Naturezas!$B$18,F265=Naturezas!$B$19),H265,-H265),"")</f>
        <v/>
      </c>
      <c r="V265" s="4" t="str">
        <f t="shared" si="19"/>
        <v/>
      </c>
      <c r="W265" s="4"/>
      <c r="X265" s="4" t="str">
        <f t="shared" si="20"/>
        <v/>
      </c>
      <c r="Y265" s="6" t="str">
        <f>IF(F265&lt;&gt;"",Tabela1[[#This Row],[Iniciais]],"")</f>
        <v/>
      </c>
      <c r="AA265" s="6" t="str">
        <f>IF($F265&lt;&gt;"",RIGHT(Tabela1[[#This Row],[Ref.]],2),"")</f>
        <v/>
      </c>
      <c r="AB265" s="46" t="str">
        <f>IF($F265&lt;&gt;"",DATE(LEFT(Tabela1[[#This Row],[Ref.]],4),RIGHT(Tabela1[[#This Row],[Ref.]],2),1),"")</f>
        <v/>
      </c>
      <c r="AC265" s="4" t="str">
        <f t="shared" si="21"/>
        <v/>
      </c>
      <c r="AD265" s="5" t="str">
        <f t="shared" si="22"/>
        <v/>
      </c>
      <c r="AE265" s="4"/>
      <c r="AF265" s="6" t="str">
        <f t="shared" si="23"/>
        <v/>
      </c>
    </row>
    <row r="266" spans="1:32" ht="15.75" customHeight="1" x14ac:dyDescent="0.2">
      <c r="A266" s="42"/>
      <c r="B266" s="44"/>
      <c r="C266" s="41"/>
      <c r="D266" s="41"/>
      <c r="E266" s="41"/>
      <c r="F266" s="11"/>
      <c r="G266" s="11"/>
      <c r="H266" s="43"/>
      <c r="K266" s="25"/>
      <c r="M266" s="31"/>
      <c r="N266" s="31"/>
      <c r="O266" s="33"/>
      <c r="Q266" s="6" t="str">
        <f>IF($F266&lt;&gt;"",RIGHT(Tabela1[[#This Row],[Ref.]],2),"")</f>
        <v/>
      </c>
      <c r="R266" s="6" t="str">
        <f t="shared" ref="R266:R329" si="24">IF($F266&lt;&gt;"",1,"")</f>
        <v/>
      </c>
      <c r="S266" s="4" t="str">
        <f>IF($F266&lt;&gt;"",_xlfn.XLOOKUP(F266,Naturezas!B:B,Naturezas!E:E,"",0,1),"")</f>
        <v/>
      </c>
      <c r="T266" s="4" t="str">
        <f>IF($F266&lt;&gt;"",_xlfn.XLOOKUP($F266,Naturezas!B:B,Naturezas!D:D,"",0,1),"")</f>
        <v/>
      </c>
      <c r="U266" s="5" t="str">
        <f>IF(F266&lt;&gt;"",IF(OR(F266=Naturezas!$B$3,F266=Naturezas!$B$4,F266=Naturezas!$B$5,F266=Naturezas!$B$17,F266=Naturezas!$B$18,F266=Naturezas!$B$19),H266,-H266),"")</f>
        <v/>
      </c>
      <c r="V266" s="4" t="str">
        <f t="shared" ref="V266:V329" si="25">IF(F266&lt;&gt;"",F266,"")</f>
        <v/>
      </c>
      <c r="W266" s="4"/>
      <c r="X266" s="4" t="str">
        <f t="shared" ref="X266:X329" si="26">IF(F266&lt;&gt;"",G266,"")</f>
        <v/>
      </c>
      <c r="Y266" s="6" t="str">
        <f>IF(F266&lt;&gt;"",Tabela1[[#This Row],[Iniciais]],"")</f>
        <v/>
      </c>
      <c r="AA266" s="6" t="str">
        <f>IF($F266&lt;&gt;"",RIGHT(Tabela1[[#This Row],[Ref.]],2),"")</f>
        <v/>
      </c>
      <c r="AB266" s="46" t="str">
        <f>IF($F266&lt;&gt;"",DATE(LEFT(Tabela1[[#This Row],[Ref.]],4),RIGHT(Tabela1[[#This Row],[Ref.]],2),1),"")</f>
        <v/>
      </c>
      <c r="AC266" s="4" t="str">
        <f t="shared" ref="AC266:AC329" si="27">IF($F266&lt;&gt;"",$G266,"")</f>
        <v/>
      </c>
      <c r="AD266" s="5" t="str">
        <f t="shared" ref="AD266:AD329" si="28">IF($F266&lt;&gt;"",$H266,"")</f>
        <v/>
      </c>
      <c r="AE266" s="4"/>
      <c r="AF266" s="6" t="str">
        <f t="shared" ref="AF266:AF329" si="29">IF($F266&lt;&gt;"",$B$2,"")</f>
        <v/>
      </c>
    </row>
    <row r="267" spans="1:32" ht="15.75" customHeight="1" x14ac:dyDescent="0.2">
      <c r="A267" s="42"/>
      <c r="B267" s="44"/>
      <c r="C267" s="41"/>
      <c r="D267" s="41"/>
      <c r="E267" s="41"/>
      <c r="F267" s="11"/>
      <c r="G267" s="11"/>
      <c r="H267" s="43"/>
      <c r="K267" s="25"/>
      <c r="M267" s="31"/>
      <c r="N267" s="31"/>
      <c r="O267" s="33"/>
      <c r="Q267" s="6" t="str">
        <f>IF($F267&lt;&gt;"",RIGHT(Tabela1[[#This Row],[Ref.]],2),"")</f>
        <v/>
      </c>
      <c r="R267" s="6" t="str">
        <f t="shared" si="24"/>
        <v/>
      </c>
      <c r="S267" s="4" t="str">
        <f>IF($F267&lt;&gt;"",_xlfn.XLOOKUP(F267,Naturezas!B:B,Naturezas!E:E,"",0,1),"")</f>
        <v/>
      </c>
      <c r="T267" s="4" t="str">
        <f>IF($F267&lt;&gt;"",_xlfn.XLOOKUP($F267,Naturezas!B:B,Naturezas!D:D,"",0,1),"")</f>
        <v/>
      </c>
      <c r="U267" s="5" t="str">
        <f>IF(F267&lt;&gt;"",IF(OR(F267=Naturezas!$B$3,F267=Naturezas!$B$4,F267=Naturezas!$B$5,F267=Naturezas!$B$17,F267=Naturezas!$B$18,F267=Naturezas!$B$19),H267,-H267),"")</f>
        <v/>
      </c>
      <c r="V267" s="4" t="str">
        <f t="shared" si="25"/>
        <v/>
      </c>
      <c r="W267" s="4"/>
      <c r="X267" s="4" t="str">
        <f t="shared" si="26"/>
        <v/>
      </c>
      <c r="Y267" s="6" t="str">
        <f>IF(F267&lt;&gt;"",Tabela1[[#This Row],[Iniciais]],"")</f>
        <v/>
      </c>
      <c r="AA267" s="6" t="str">
        <f>IF($F267&lt;&gt;"",RIGHT(Tabela1[[#This Row],[Ref.]],2),"")</f>
        <v/>
      </c>
      <c r="AB267" s="46" t="str">
        <f>IF($F267&lt;&gt;"",DATE(LEFT(Tabela1[[#This Row],[Ref.]],4),RIGHT(Tabela1[[#This Row],[Ref.]],2),1),"")</f>
        <v/>
      </c>
      <c r="AC267" s="4" t="str">
        <f t="shared" si="27"/>
        <v/>
      </c>
      <c r="AD267" s="5" t="str">
        <f t="shared" si="28"/>
        <v/>
      </c>
      <c r="AE267" s="4"/>
      <c r="AF267" s="6" t="str">
        <f t="shared" si="29"/>
        <v/>
      </c>
    </row>
    <row r="268" spans="1:32" ht="15.75" customHeight="1" x14ac:dyDescent="0.2">
      <c r="A268" s="42"/>
      <c r="B268" s="44"/>
      <c r="C268" s="41"/>
      <c r="D268" s="41"/>
      <c r="E268" s="41"/>
      <c r="F268" s="11"/>
      <c r="G268" s="11"/>
      <c r="H268" s="43"/>
      <c r="K268" s="25"/>
      <c r="M268" s="31"/>
      <c r="N268" s="31"/>
      <c r="O268" s="33"/>
      <c r="Q268" s="6" t="str">
        <f>IF($F268&lt;&gt;"",RIGHT(Tabela1[[#This Row],[Ref.]],2),"")</f>
        <v/>
      </c>
      <c r="R268" s="6" t="str">
        <f t="shared" si="24"/>
        <v/>
      </c>
      <c r="S268" s="4" t="str">
        <f>IF($F268&lt;&gt;"",_xlfn.XLOOKUP(F268,Naturezas!B:B,Naturezas!E:E,"",0,1),"")</f>
        <v/>
      </c>
      <c r="T268" s="4" t="str">
        <f>IF($F268&lt;&gt;"",_xlfn.XLOOKUP($F268,Naturezas!B:B,Naturezas!D:D,"",0,1),"")</f>
        <v/>
      </c>
      <c r="U268" s="5" t="str">
        <f>IF(F268&lt;&gt;"",IF(OR(F268=Naturezas!$B$3,F268=Naturezas!$B$4,F268=Naturezas!$B$5,F268=Naturezas!$B$17,F268=Naturezas!$B$18,F268=Naturezas!$B$19),H268,-H268),"")</f>
        <v/>
      </c>
      <c r="V268" s="4" t="str">
        <f t="shared" si="25"/>
        <v/>
      </c>
      <c r="W268" s="4"/>
      <c r="X268" s="4" t="str">
        <f t="shared" si="26"/>
        <v/>
      </c>
      <c r="Y268" s="6" t="str">
        <f>IF(F268&lt;&gt;"",Tabela1[[#This Row],[Iniciais]],"")</f>
        <v/>
      </c>
      <c r="AA268" s="6" t="str">
        <f>IF($F268&lt;&gt;"",RIGHT(Tabela1[[#This Row],[Ref.]],2),"")</f>
        <v/>
      </c>
      <c r="AB268" s="46" t="str">
        <f>IF($F268&lt;&gt;"",DATE(LEFT(Tabela1[[#This Row],[Ref.]],4),RIGHT(Tabela1[[#This Row],[Ref.]],2),1),"")</f>
        <v/>
      </c>
      <c r="AC268" s="4" t="str">
        <f t="shared" si="27"/>
        <v/>
      </c>
      <c r="AD268" s="5" t="str">
        <f t="shared" si="28"/>
        <v/>
      </c>
      <c r="AE268" s="4"/>
      <c r="AF268" s="6" t="str">
        <f t="shared" si="29"/>
        <v/>
      </c>
    </row>
    <row r="269" spans="1:32" ht="15.75" customHeight="1" x14ac:dyDescent="0.2">
      <c r="A269" s="42"/>
      <c r="B269" s="44"/>
      <c r="C269" s="41"/>
      <c r="D269" s="41"/>
      <c r="E269" s="41"/>
      <c r="F269" s="11"/>
      <c r="G269" s="11"/>
      <c r="H269" s="43"/>
      <c r="K269" s="25"/>
      <c r="M269" s="31"/>
      <c r="N269" s="31"/>
      <c r="O269" s="33"/>
      <c r="Q269" s="6" t="str">
        <f>IF($F269&lt;&gt;"",RIGHT(Tabela1[[#This Row],[Ref.]],2),"")</f>
        <v/>
      </c>
      <c r="R269" s="6" t="str">
        <f t="shared" si="24"/>
        <v/>
      </c>
      <c r="S269" s="4" t="str">
        <f>IF($F269&lt;&gt;"",_xlfn.XLOOKUP(F269,Naturezas!B:B,Naturezas!E:E,"",0,1),"")</f>
        <v/>
      </c>
      <c r="T269" s="4" t="str">
        <f>IF($F269&lt;&gt;"",_xlfn.XLOOKUP($F269,Naturezas!B:B,Naturezas!D:D,"",0,1),"")</f>
        <v/>
      </c>
      <c r="U269" s="5" t="str">
        <f>IF(F269&lt;&gt;"",IF(OR(F269=Naturezas!$B$3,F269=Naturezas!$B$4,F269=Naturezas!$B$5,F269=Naturezas!$B$17,F269=Naturezas!$B$18,F269=Naturezas!$B$19),H269,-H269),"")</f>
        <v/>
      </c>
      <c r="V269" s="4" t="str">
        <f t="shared" si="25"/>
        <v/>
      </c>
      <c r="W269" s="4"/>
      <c r="X269" s="4" t="str">
        <f t="shared" si="26"/>
        <v/>
      </c>
      <c r="Y269" s="6" t="str">
        <f>IF(F269&lt;&gt;"",Tabela1[[#This Row],[Iniciais]],"")</f>
        <v/>
      </c>
      <c r="AA269" s="6" t="str">
        <f>IF($F269&lt;&gt;"",RIGHT(Tabela1[[#This Row],[Ref.]],2),"")</f>
        <v/>
      </c>
      <c r="AB269" s="46" t="str">
        <f>IF($F269&lt;&gt;"",DATE(LEFT(Tabela1[[#This Row],[Ref.]],4),RIGHT(Tabela1[[#This Row],[Ref.]],2),1),"")</f>
        <v/>
      </c>
      <c r="AC269" s="4" t="str">
        <f t="shared" si="27"/>
        <v/>
      </c>
      <c r="AD269" s="5" t="str">
        <f t="shared" si="28"/>
        <v/>
      </c>
      <c r="AE269" s="4"/>
      <c r="AF269" s="6" t="str">
        <f t="shared" si="29"/>
        <v/>
      </c>
    </row>
    <row r="270" spans="1:32" ht="15.75" customHeight="1" x14ac:dyDescent="0.2">
      <c r="A270" s="42"/>
      <c r="B270" s="44"/>
      <c r="C270" s="41"/>
      <c r="D270" s="41"/>
      <c r="E270" s="41"/>
      <c r="F270" s="11"/>
      <c r="G270" s="11"/>
      <c r="H270" s="43"/>
      <c r="K270" s="25"/>
      <c r="M270" s="31"/>
      <c r="N270" s="31"/>
      <c r="O270" s="33"/>
      <c r="Q270" s="6" t="str">
        <f>IF($F270&lt;&gt;"",RIGHT(Tabela1[[#This Row],[Ref.]],2),"")</f>
        <v/>
      </c>
      <c r="R270" s="6" t="str">
        <f t="shared" si="24"/>
        <v/>
      </c>
      <c r="S270" s="4" t="str">
        <f>IF($F270&lt;&gt;"",_xlfn.XLOOKUP(F270,Naturezas!B:B,Naturezas!E:E,"",0,1),"")</f>
        <v/>
      </c>
      <c r="T270" s="4" t="str">
        <f>IF($F270&lt;&gt;"",_xlfn.XLOOKUP($F270,Naturezas!B:B,Naturezas!D:D,"",0,1),"")</f>
        <v/>
      </c>
      <c r="U270" s="5" t="str">
        <f>IF(F270&lt;&gt;"",IF(OR(F270=Naturezas!$B$3,F270=Naturezas!$B$4,F270=Naturezas!$B$5,F270=Naturezas!$B$17,F270=Naturezas!$B$18,F270=Naturezas!$B$19),H270,-H270),"")</f>
        <v/>
      </c>
      <c r="V270" s="4" t="str">
        <f t="shared" si="25"/>
        <v/>
      </c>
      <c r="W270" s="4"/>
      <c r="X270" s="4" t="str">
        <f t="shared" si="26"/>
        <v/>
      </c>
      <c r="Y270" s="6" t="str">
        <f>IF(F270&lt;&gt;"",Tabela1[[#This Row],[Iniciais]],"")</f>
        <v/>
      </c>
      <c r="AA270" s="6" t="str">
        <f>IF($F270&lt;&gt;"",RIGHT(Tabela1[[#This Row],[Ref.]],2),"")</f>
        <v/>
      </c>
      <c r="AB270" s="46" t="str">
        <f>IF($F270&lt;&gt;"",DATE(LEFT(Tabela1[[#This Row],[Ref.]],4),RIGHT(Tabela1[[#This Row],[Ref.]],2),1),"")</f>
        <v/>
      </c>
      <c r="AC270" s="4" t="str">
        <f t="shared" si="27"/>
        <v/>
      </c>
      <c r="AD270" s="5" t="str">
        <f t="shared" si="28"/>
        <v/>
      </c>
      <c r="AE270" s="4"/>
      <c r="AF270" s="6" t="str">
        <f t="shared" si="29"/>
        <v/>
      </c>
    </row>
    <row r="271" spans="1:32" ht="15.75" customHeight="1" x14ac:dyDescent="0.2">
      <c r="A271" s="42"/>
      <c r="B271" s="44"/>
      <c r="C271" s="41"/>
      <c r="D271" s="41"/>
      <c r="E271" s="41"/>
      <c r="F271" s="11"/>
      <c r="G271" s="11"/>
      <c r="H271" s="43"/>
      <c r="K271" s="25"/>
      <c r="M271" s="31"/>
      <c r="N271" s="31"/>
      <c r="O271" s="33"/>
      <c r="Q271" s="6" t="str">
        <f>IF($F271&lt;&gt;"",RIGHT(Tabela1[[#This Row],[Ref.]],2),"")</f>
        <v/>
      </c>
      <c r="R271" s="6" t="str">
        <f t="shared" si="24"/>
        <v/>
      </c>
      <c r="S271" s="4" t="str">
        <f>IF($F271&lt;&gt;"",_xlfn.XLOOKUP(F271,Naturezas!B:B,Naturezas!E:E,"",0,1),"")</f>
        <v/>
      </c>
      <c r="T271" s="4" t="str">
        <f>IF($F271&lt;&gt;"",_xlfn.XLOOKUP($F271,Naturezas!B:B,Naturezas!D:D,"",0,1),"")</f>
        <v/>
      </c>
      <c r="U271" s="5" t="str">
        <f>IF(F271&lt;&gt;"",IF(OR(F271=Naturezas!$B$3,F271=Naturezas!$B$4,F271=Naturezas!$B$5,F271=Naturezas!$B$17,F271=Naturezas!$B$18,F271=Naturezas!$B$19),H271,-H271),"")</f>
        <v/>
      </c>
      <c r="V271" s="4" t="str">
        <f t="shared" si="25"/>
        <v/>
      </c>
      <c r="W271" s="4"/>
      <c r="X271" s="4" t="str">
        <f t="shared" si="26"/>
        <v/>
      </c>
      <c r="Y271" s="6" t="str">
        <f>IF(F271&lt;&gt;"",Tabela1[[#This Row],[Iniciais]],"")</f>
        <v/>
      </c>
      <c r="AA271" s="6" t="str">
        <f>IF($F271&lt;&gt;"",RIGHT(Tabela1[[#This Row],[Ref.]],2),"")</f>
        <v/>
      </c>
      <c r="AB271" s="46" t="str">
        <f>IF($F271&lt;&gt;"",DATE(LEFT(Tabela1[[#This Row],[Ref.]],4),RIGHT(Tabela1[[#This Row],[Ref.]],2),1),"")</f>
        <v/>
      </c>
      <c r="AC271" s="4" t="str">
        <f t="shared" si="27"/>
        <v/>
      </c>
      <c r="AD271" s="5" t="str">
        <f t="shared" si="28"/>
        <v/>
      </c>
      <c r="AE271" s="4"/>
      <c r="AF271" s="6" t="str">
        <f t="shared" si="29"/>
        <v/>
      </c>
    </row>
    <row r="272" spans="1:32" ht="15.75" customHeight="1" x14ac:dyDescent="0.2">
      <c r="A272" s="42"/>
      <c r="B272" s="44"/>
      <c r="C272" s="41"/>
      <c r="D272" s="41"/>
      <c r="E272" s="41"/>
      <c r="F272" s="11"/>
      <c r="G272" s="11"/>
      <c r="H272" s="43"/>
      <c r="K272" s="25"/>
      <c r="M272" s="31"/>
      <c r="N272" s="31"/>
      <c r="O272" s="33"/>
      <c r="Q272" s="6" t="str">
        <f>IF($F272&lt;&gt;"",RIGHT(Tabela1[[#This Row],[Ref.]],2),"")</f>
        <v/>
      </c>
      <c r="R272" s="6" t="str">
        <f t="shared" si="24"/>
        <v/>
      </c>
      <c r="S272" s="4" t="str">
        <f>IF($F272&lt;&gt;"",_xlfn.XLOOKUP(F272,Naturezas!B:B,Naturezas!E:E,"",0,1),"")</f>
        <v/>
      </c>
      <c r="T272" s="4" t="str">
        <f>IF($F272&lt;&gt;"",_xlfn.XLOOKUP($F272,Naturezas!B:B,Naturezas!D:D,"",0,1),"")</f>
        <v/>
      </c>
      <c r="U272" s="5" t="str">
        <f>IF(F272&lt;&gt;"",IF(OR(F272=Naturezas!$B$3,F272=Naturezas!$B$4,F272=Naturezas!$B$5,F272=Naturezas!$B$17,F272=Naturezas!$B$18,F272=Naturezas!$B$19),H272,-H272),"")</f>
        <v/>
      </c>
      <c r="V272" s="4" t="str">
        <f t="shared" si="25"/>
        <v/>
      </c>
      <c r="W272" s="4"/>
      <c r="X272" s="4" t="str">
        <f t="shared" si="26"/>
        <v/>
      </c>
      <c r="Y272" s="6" t="str">
        <f>IF(F272&lt;&gt;"",Tabela1[[#This Row],[Iniciais]],"")</f>
        <v/>
      </c>
      <c r="AA272" s="6" t="str">
        <f>IF($F272&lt;&gt;"",RIGHT(Tabela1[[#This Row],[Ref.]],2),"")</f>
        <v/>
      </c>
      <c r="AB272" s="46" t="str">
        <f>IF($F272&lt;&gt;"",DATE(LEFT(Tabela1[[#This Row],[Ref.]],4),RIGHT(Tabela1[[#This Row],[Ref.]],2),1),"")</f>
        <v/>
      </c>
      <c r="AC272" s="4" t="str">
        <f t="shared" si="27"/>
        <v/>
      </c>
      <c r="AD272" s="5" t="str">
        <f t="shared" si="28"/>
        <v/>
      </c>
      <c r="AE272" s="4"/>
      <c r="AF272" s="6" t="str">
        <f t="shared" si="29"/>
        <v/>
      </c>
    </row>
    <row r="273" spans="1:32" ht="15.75" customHeight="1" x14ac:dyDescent="0.2">
      <c r="A273" s="42"/>
      <c r="B273" s="44"/>
      <c r="C273" s="41"/>
      <c r="D273" s="41"/>
      <c r="E273" s="41"/>
      <c r="F273" s="11"/>
      <c r="G273" s="11"/>
      <c r="H273" s="43"/>
      <c r="K273" s="25"/>
      <c r="M273" s="31"/>
      <c r="N273" s="31"/>
      <c r="O273" s="33"/>
      <c r="Q273" s="6" t="str">
        <f>IF($F273&lt;&gt;"",RIGHT(Tabela1[[#This Row],[Ref.]],2),"")</f>
        <v/>
      </c>
      <c r="R273" s="6" t="str">
        <f t="shared" si="24"/>
        <v/>
      </c>
      <c r="S273" s="4" t="str">
        <f>IF($F273&lt;&gt;"",_xlfn.XLOOKUP(F273,Naturezas!B:B,Naturezas!E:E,"",0,1),"")</f>
        <v/>
      </c>
      <c r="T273" s="4" t="str">
        <f>IF($F273&lt;&gt;"",_xlfn.XLOOKUP($F273,Naturezas!B:B,Naturezas!D:D,"",0,1),"")</f>
        <v/>
      </c>
      <c r="U273" s="5" t="str">
        <f>IF(F273&lt;&gt;"",IF(OR(F273=Naturezas!$B$3,F273=Naturezas!$B$4,F273=Naturezas!$B$5,F273=Naturezas!$B$17,F273=Naturezas!$B$18,F273=Naturezas!$B$19),H273,-H273),"")</f>
        <v/>
      </c>
      <c r="V273" s="4" t="str">
        <f t="shared" si="25"/>
        <v/>
      </c>
      <c r="W273" s="4"/>
      <c r="X273" s="4" t="str">
        <f t="shared" si="26"/>
        <v/>
      </c>
      <c r="Y273" s="6" t="str">
        <f>IF(F273&lt;&gt;"",Tabela1[[#This Row],[Iniciais]],"")</f>
        <v/>
      </c>
      <c r="AA273" s="6" t="str">
        <f>IF($F273&lt;&gt;"",RIGHT(Tabela1[[#This Row],[Ref.]],2),"")</f>
        <v/>
      </c>
      <c r="AB273" s="46" t="str">
        <f>IF($F273&lt;&gt;"",DATE(LEFT(Tabela1[[#This Row],[Ref.]],4),RIGHT(Tabela1[[#This Row],[Ref.]],2),1),"")</f>
        <v/>
      </c>
      <c r="AC273" s="4" t="str">
        <f t="shared" si="27"/>
        <v/>
      </c>
      <c r="AD273" s="5" t="str">
        <f t="shared" si="28"/>
        <v/>
      </c>
      <c r="AE273" s="4"/>
      <c r="AF273" s="6" t="str">
        <f t="shared" si="29"/>
        <v/>
      </c>
    </row>
    <row r="274" spans="1:32" ht="15.75" customHeight="1" x14ac:dyDescent="0.2">
      <c r="A274" s="42"/>
      <c r="B274" s="44"/>
      <c r="C274" s="41"/>
      <c r="D274" s="41"/>
      <c r="E274" s="41"/>
      <c r="F274" s="11"/>
      <c r="G274" s="11"/>
      <c r="H274" s="43"/>
      <c r="K274" s="25"/>
      <c r="M274" s="31"/>
      <c r="N274" s="31"/>
      <c r="O274" s="33"/>
      <c r="Q274" s="6" t="str">
        <f>IF($F274&lt;&gt;"",RIGHT(Tabela1[[#This Row],[Ref.]],2),"")</f>
        <v/>
      </c>
      <c r="R274" s="6" t="str">
        <f t="shared" si="24"/>
        <v/>
      </c>
      <c r="S274" s="4" t="str">
        <f>IF($F274&lt;&gt;"",_xlfn.XLOOKUP(F274,Naturezas!B:B,Naturezas!E:E,"",0,1),"")</f>
        <v/>
      </c>
      <c r="T274" s="4" t="str">
        <f>IF($F274&lt;&gt;"",_xlfn.XLOOKUP($F274,Naturezas!B:B,Naturezas!D:D,"",0,1),"")</f>
        <v/>
      </c>
      <c r="U274" s="5" t="str">
        <f>IF(F274&lt;&gt;"",IF(OR(F274=Naturezas!$B$3,F274=Naturezas!$B$4,F274=Naturezas!$B$5,F274=Naturezas!$B$17,F274=Naturezas!$B$18,F274=Naturezas!$B$19),H274,-H274),"")</f>
        <v/>
      </c>
      <c r="V274" s="4" t="str">
        <f t="shared" si="25"/>
        <v/>
      </c>
      <c r="W274" s="4"/>
      <c r="X274" s="4" t="str">
        <f t="shared" si="26"/>
        <v/>
      </c>
      <c r="Y274" s="6" t="str">
        <f>IF(F274&lt;&gt;"",Tabela1[[#This Row],[Iniciais]],"")</f>
        <v/>
      </c>
      <c r="AA274" s="6" t="str">
        <f>IF($F274&lt;&gt;"",RIGHT(Tabela1[[#This Row],[Ref.]],2),"")</f>
        <v/>
      </c>
      <c r="AB274" s="46" t="str">
        <f>IF($F274&lt;&gt;"",DATE(LEFT(Tabela1[[#This Row],[Ref.]],4),RIGHT(Tabela1[[#This Row],[Ref.]],2),1),"")</f>
        <v/>
      </c>
      <c r="AC274" s="4" t="str">
        <f t="shared" si="27"/>
        <v/>
      </c>
      <c r="AD274" s="5" t="str">
        <f t="shared" si="28"/>
        <v/>
      </c>
      <c r="AE274" s="4"/>
      <c r="AF274" s="6" t="str">
        <f t="shared" si="29"/>
        <v/>
      </c>
    </row>
    <row r="275" spans="1:32" ht="15.75" customHeight="1" x14ac:dyDescent="0.2">
      <c r="A275" s="42"/>
      <c r="B275" s="44"/>
      <c r="C275" s="41"/>
      <c r="D275" s="41"/>
      <c r="E275" s="41"/>
      <c r="F275" s="11"/>
      <c r="G275" s="11"/>
      <c r="H275" s="43"/>
      <c r="K275" s="25"/>
      <c r="M275" s="31"/>
      <c r="N275" s="31"/>
      <c r="O275" s="33"/>
      <c r="Q275" s="6" t="str">
        <f>IF($F275&lt;&gt;"",RIGHT(Tabela1[[#This Row],[Ref.]],2),"")</f>
        <v/>
      </c>
      <c r="R275" s="6" t="str">
        <f t="shared" si="24"/>
        <v/>
      </c>
      <c r="S275" s="4" t="str">
        <f>IF($F275&lt;&gt;"",_xlfn.XLOOKUP(F275,Naturezas!B:B,Naturezas!E:E,"",0,1),"")</f>
        <v/>
      </c>
      <c r="T275" s="4" t="str">
        <f>IF($F275&lt;&gt;"",_xlfn.XLOOKUP($F275,Naturezas!B:B,Naturezas!D:D,"",0,1),"")</f>
        <v/>
      </c>
      <c r="U275" s="5" t="str">
        <f>IF(F275&lt;&gt;"",IF(OR(F275=Naturezas!$B$3,F275=Naturezas!$B$4,F275=Naturezas!$B$5,F275=Naturezas!$B$17,F275=Naturezas!$B$18,F275=Naturezas!$B$19),H275,-H275),"")</f>
        <v/>
      </c>
      <c r="V275" s="4" t="str">
        <f t="shared" si="25"/>
        <v/>
      </c>
      <c r="W275" s="4"/>
      <c r="X275" s="4" t="str">
        <f t="shared" si="26"/>
        <v/>
      </c>
      <c r="Y275" s="6" t="str">
        <f>IF(F275&lt;&gt;"",Tabela1[[#This Row],[Iniciais]],"")</f>
        <v/>
      </c>
      <c r="AA275" s="6" t="str">
        <f>IF($F275&lt;&gt;"",RIGHT(Tabela1[[#This Row],[Ref.]],2),"")</f>
        <v/>
      </c>
      <c r="AB275" s="46" t="str">
        <f>IF($F275&lt;&gt;"",DATE(LEFT(Tabela1[[#This Row],[Ref.]],4),RIGHT(Tabela1[[#This Row],[Ref.]],2),1),"")</f>
        <v/>
      </c>
      <c r="AC275" s="4" t="str">
        <f t="shared" si="27"/>
        <v/>
      </c>
      <c r="AD275" s="5" t="str">
        <f t="shared" si="28"/>
        <v/>
      </c>
      <c r="AE275" s="4"/>
      <c r="AF275" s="6" t="str">
        <f t="shared" si="29"/>
        <v/>
      </c>
    </row>
    <row r="276" spans="1:32" ht="15.75" customHeight="1" x14ac:dyDescent="0.2">
      <c r="A276" s="42"/>
      <c r="B276" s="44"/>
      <c r="C276" s="41"/>
      <c r="D276" s="41"/>
      <c r="E276" s="41"/>
      <c r="F276" s="11"/>
      <c r="G276" s="11"/>
      <c r="H276" s="43"/>
      <c r="K276" s="25"/>
      <c r="M276" s="31"/>
      <c r="N276" s="31"/>
      <c r="O276" s="33"/>
      <c r="Q276" s="6" t="str">
        <f>IF($F276&lt;&gt;"",RIGHT(Tabela1[[#This Row],[Ref.]],2),"")</f>
        <v/>
      </c>
      <c r="R276" s="6" t="str">
        <f t="shared" si="24"/>
        <v/>
      </c>
      <c r="S276" s="4" t="str">
        <f>IF($F276&lt;&gt;"",_xlfn.XLOOKUP(F276,Naturezas!B:B,Naturezas!E:E,"",0,1),"")</f>
        <v/>
      </c>
      <c r="T276" s="4" t="str">
        <f>IF($F276&lt;&gt;"",_xlfn.XLOOKUP($F276,Naturezas!B:B,Naturezas!D:D,"",0,1),"")</f>
        <v/>
      </c>
      <c r="U276" s="5" t="str">
        <f>IF(F276&lt;&gt;"",IF(OR(F276=Naturezas!$B$3,F276=Naturezas!$B$4,F276=Naturezas!$B$5,F276=Naturezas!$B$17,F276=Naturezas!$B$18,F276=Naturezas!$B$19),H276,-H276),"")</f>
        <v/>
      </c>
      <c r="V276" s="4" t="str">
        <f t="shared" si="25"/>
        <v/>
      </c>
      <c r="W276" s="4"/>
      <c r="X276" s="4" t="str">
        <f t="shared" si="26"/>
        <v/>
      </c>
      <c r="Y276" s="6" t="str">
        <f>IF(F276&lt;&gt;"",Tabela1[[#This Row],[Iniciais]],"")</f>
        <v/>
      </c>
      <c r="AA276" s="6" t="str">
        <f>IF($F276&lt;&gt;"",RIGHT(Tabela1[[#This Row],[Ref.]],2),"")</f>
        <v/>
      </c>
      <c r="AB276" s="46" t="str">
        <f>IF($F276&lt;&gt;"",DATE(LEFT(Tabela1[[#This Row],[Ref.]],4),RIGHT(Tabela1[[#This Row],[Ref.]],2),1),"")</f>
        <v/>
      </c>
      <c r="AC276" s="4" t="str">
        <f t="shared" si="27"/>
        <v/>
      </c>
      <c r="AD276" s="5" t="str">
        <f t="shared" si="28"/>
        <v/>
      </c>
      <c r="AE276" s="4"/>
      <c r="AF276" s="6" t="str">
        <f t="shared" si="29"/>
        <v/>
      </c>
    </row>
    <row r="277" spans="1:32" ht="15.75" customHeight="1" x14ac:dyDescent="0.2">
      <c r="A277" s="42"/>
      <c r="B277" s="44"/>
      <c r="C277" s="41"/>
      <c r="D277" s="41"/>
      <c r="E277" s="41"/>
      <c r="F277" s="11"/>
      <c r="G277" s="11"/>
      <c r="H277" s="43"/>
      <c r="K277" s="25"/>
      <c r="M277" s="31"/>
      <c r="N277" s="31"/>
      <c r="O277" s="33"/>
      <c r="Q277" s="6" t="str">
        <f>IF($F277&lt;&gt;"",RIGHT(Tabela1[[#This Row],[Ref.]],2),"")</f>
        <v/>
      </c>
      <c r="R277" s="6" t="str">
        <f t="shared" si="24"/>
        <v/>
      </c>
      <c r="S277" s="4" t="str">
        <f>IF($F277&lt;&gt;"",_xlfn.XLOOKUP(F277,Naturezas!B:B,Naturezas!E:E,"",0,1),"")</f>
        <v/>
      </c>
      <c r="T277" s="4" t="str">
        <f>IF($F277&lt;&gt;"",_xlfn.XLOOKUP($F277,Naturezas!B:B,Naturezas!D:D,"",0,1),"")</f>
        <v/>
      </c>
      <c r="U277" s="5" t="str">
        <f>IF(F277&lt;&gt;"",IF(OR(F277=Naturezas!$B$3,F277=Naturezas!$B$4,F277=Naturezas!$B$5,F277=Naturezas!$B$17,F277=Naturezas!$B$18,F277=Naturezas!$B$19),H277,-H277),"")</f>
        <v/>
      </c>
      <c r="V277" s="4" t="str">
        <f t="shared" si="25"/>
        <v/>
      </c>
      <c r="W277" s="4"/>
      <c r="X277" s="4" t="str">
        <f t="shared" si="26"/>
        <v/>
      </c>
      <c r="Y277" s="6" t="str">
        <f>IF(F277&lt;&gt;"",Tabela1[[#This Row],[Iniciais]],"")</f>
        <v/>
      </c>
      <c r="AA277" s="6" t="str">
        <f>IF($F277&lt;&gt;"",RIGHT(Tabela1[[#This Row],[Ref.]],2),"")</f>
        <v/>
      </c>
      <c r="AB277" s="46" t="str">
        <f>IF($F277&lt;&gt;"",DATE(LEFT(Tabela1[[#This Row],[Ref.]],4),RIGHT(Tabela1[[#This Row],[Ref.]],2),1),"")</f>
        <v/>
      </c>
      <c r="AC277" s="4" t="str">
        <f t="shared" si="27"/>
        <v/>
      </c>
      <c r="AD277" s="5" t="str">
        <f t="shared" si="28"/>
        <v/>
      </c>
      <c r="AE277" s="4"/>
      <c r="AF277" s="6" t="str">
        <f t="shared" si="29"/>
        <v/>
      </c>
    </row>
    <row r="278" spans="1:32" ht="15.75" customHeight="1" x14ac:dyDescent="0.2">
      <c r="A278" s="42"/>
      <c r="B278" s="44"/>
      <c r="C278" s="41"/>
      <c r="D278" s="41"/>
      <c r="E278" s="41"/>
      <c r="F278" s="11"/>
      <c r="G278" s="11"/>
      <c r="H278" s="43"/>
      <c r="K278" s="25"/>
      <c r="M278" s="31"/>
      <c r="N278" s="31"/>
      <c r="O278" s="33"/>
      <c r="Q278" s="6" t="str">
        <f>IF($F278&lt;&gt;"",RIGHT(Tabela1[[#This Row],[Ref.]],2),"")</f>
        <v/>
      </c>
      <c r="R278" s="6" t="str">
        <f t="shared" si="24"/>
        <v/>
      </c>
      <c r="S278" s="4" t="str">
        <f>IF($F278&lt;&gt;"",_xlfn.XLOOKUP(F278,Naturezas!B:B,Naturezas!E:E,"",0,1),"")</f>
        <v/>
      </c>
      <c r="T278" s="4" t="str">
        <f>IF($F278&lt;&gt;"",_xlfn.XLOOKUP($F278,Naturezas!B:B,Naturezas!D:D,"",0,1),"")</f>
        <v/>
      </c>
      <c r="U278" s="5" t="str">
        <f>IF(F278&lt;&gt;"",IF(OR(F278=Naturezas!$B$3,F278=Naturezas!$B$4,F278=Naturezas!$B$5,F278=Naturezas!$B$17,F278=Naturezas!$B$18,F278=Naturezas!$B$19),H278,-H278),"")</f>
        <v/>
      </c>
      <c r="V278" s="4" t="str">
        <f t="shared" si="25"/>
        <v/>
      </c>
      <c r="W278" s="4"/>
      <c r="X278" s="4" t="str">
        <f t="shared" si="26"/>
        <v/>
      </c>
      <c r="Y278" s="6" t="str">
        <f>IF(F278&lt;&gt;"",Tabela1[[#This Row],[Iniciais]],"")</f>
        <v/>
      </c>
      <c r="AA278" s="6" t="str">
        <f>IF($F278&lt;&gt;"",RIGHT(Tabela1[[#This Row],[Ref.]],2),"")</f>
        <v/>
      </c>
      <c r="AB278" s="46" t="str">
        <f>IF($F278&lt;&gt;"",DATE(LEFT(Tabela1[[#This Row],[Ref.]],4),RIGHT(Tabela1[[#This Row],[Ref.]],2),1),"")</f>
        <v/>
      </c>
      <c r="AC278" s="4" t="str">
        <f t="shared" si="27"/>
        <v/>
      </c>
      <c r="AD278" s="5" t="str">
        <f t="shared" si="28"/>
        <v/>
      </c>
      <c r="AE278" s="4"/>
      <c r="AF278" s="6" t="str">
        <f t="shared" si="29"/>
        <v/>
      </c>
    </row>
    <row r="279" spans="1:32" ht="15.75" customHeight="1" x14ac:dyDescent="0.2">
      <c r="A279" s="42"/>
      <c r="B279" s="44"/>
      <c r="C279" s="41"/>
      <c r="D279" s="41"/>
      <c r="E279" s="41"/>
      <c r="F279" s="11"/>
      <c r="G279" s="11"/>
      <c r="H279" s="43"/>
      <c r="K279" s="25"/>
      <c r="M279" s="31"/>
      <c r="N279" s="31"/>
      <c r="O279" s="33"/>
      <c r="Q279" s="6" t="str">
        <f>IF($F279&lt;&gt;"",RIGHT(Tabela1[[#This Row],[Ref.]],2),"")</f>
        <v/>
      </c>
      <c r="R279" s="6" t="str">
        <f t="shared" si="24"/>
        <v/>
      </c>
      <c r="S279" s="4" t="str">
        <f>IF($F279&lt;&gt;"",_xlfn.XLOOKUP(F279,Naturezas!B:B,Naturezas!E:E,"",0,1),"")</f>
        <v/>
      </c>
      <c r="T279" s="4" t="str">
        <f>IF($F279&lt;&gt;"",_xlfn.XLOOKUP($F279,Naturezas!B:B,Naturezas!D:D,"",0,1),"")</f>
        <v/>
      </c>
      <c r="U279" s="5" t="str">
        <f>IF(F279&lt;&gt;"",IF(OR(F279=Naturezas!$B$3,F279=Naturezas!$B$4,F279=Naturezas!$B$5,F279=Naturezas!$B$17,F279=Naturezas!$B$18,F279=Naturezas!$B$19),H279,-H279),"")</f>
        <v/>
      </c>
      <c r="V279" s="4" t="str">
        <f t="shared" si="25"/>
        <v/>
      </c>
      <c r="W279" s="4"/>
      <c r="X279" s="4" t="str">
        <f t="shared" si="26"/>
        <v/>
      </c>
      <c r="Y279" s="6" t="str">
        <f>IF(F279&lt;&gt;"",Tabela1[[#This Row],[Iniciais]],"")</f>
        <v/>
      </c>
      <c r="AA279" s="6" t="str">
        <f>IF($F279&lt;&gt;"",RIGHT(Tabela1[[#This Row],[Ref.]],2),"")</f>
        <v/>
      </c>
      <c r="AB279" s="46" t="str">
        <f>IF($F279&lt;&gt;"",DATE(LEFT(Tabela1[[#This Row],[Ref.]],4),RIGHT(Tabela1[[#This Row],[Ref.]],2),1),"")</f>
        <v/>
      </c>
      <c r="AC279" s="4" t="str">
        <f t="shared" si="27"/>
        <v/>
      </c>
      <c r="AD279" s="5" t="str">
        <f t="shared" si="28"/>
        <v/>
      </c>
      <c r="AE279" s="4"/>
      <c r="AF279" s="6" t="str">
        <f t="shared" si="29"/>
        <v/>
      </c>
    </row>
    <row r="280" spans="1:32" ht="15.75" customHeight="1" x14ac:dyDescent="0.2">
      <c r="A280" s="42"/>
      <c r="B280" s="44"/>
      <c r="C280" s="41"/>
      <c r="D280" s="41"/>
      <c r="E280" s="41"/>
      <c r="F280" s="11"/>
      <c r="G280" s="11"/>
      <c r="H280" s="43"/>
      <c r="K280" s="25"/>
      <c r="M280" s="31"/>
      <c r="N280" s="31"/>
      <c r="O280" s="33"/>
      <c r="Q280" s="6" t="str">
        <f>IF($F280&lt;&gt;"",RIGHT(Tabela1[[#This Row],[Ref.]],2),"")</f>
        <v/>
      </c>
      <c r="R280" s="6" t="str">
        <f t="shared" si="24"/>
        <v/>
      </c>
      <c r="S280" s="4" t="str">
        <f>IF($F280&lt;&gt;"",_xlfn.XLOOKUP(F280,Naturezas!B:B,Naturezas!E:E,"",0,1),"")</f>
        <v/>
      </c>
      <c r="T280" s="4" t="str">
        <f>IF($F280&lt;&gt;"",_xlfn.XLOOKUP($F280,Naturezas!B:B,Naturezas!D:D,"",0,1),"")</f>
        <v/>
      </c>
      <c r="U280" s="5" t="str">
        <f>IF(F280&lt;&gt;"",IF(OR(F280=Naturezas!$B$3,F280=Naturezas!$B$4,F280=Naturezas!$B$5,F280=Naturezas!$B$17,F280=Naturezas!$B$18,F280=Naturezas!$B$19),H280,-H280),"")</f>
        <v/>
      </c>
      <c r="V280" s="4" t="str">
        <f t="shared" si="25"/>
        <v/>
      </c>
      <c r="W280" s="4"/>
      <c r="X280" s="4" t="str">
        <f t="shared" si="26"/>
        <v/>
      </c>
      <c r="Y280" s="6" t="str">
        <f>IF(F280&lt;&gt;"",Tabela1[[#This Row],[Iniciais]],"")</f>
        <v/>
      </c>
      <c r="AA280" s="6" t="str">
        <f>IF($F280&lt;&gt;"",RIGHT(Tabela1[[#This Row],[Ref.]],2),"")</f>
        <v/>
      </c>
      <c r="AB280" s="46" t="str">
        <f>IF($F280&lt;&gt;"",DATE(LEFT(Tabela1[[#This Row],[Ref.]],4),RIGHT(Tabela1[[#This Row],[Ref.]],2),1),"")</f>
        <v/>
      </c>
      <c r="AC280" s="4" t="str">
        <f t="shared" si="27"/>
        <v/>
      </c>
      <c r="AD280" s="5" t="str">
        <f t="shared" si="28"/>
        <v/>
      </c>
      <c r="AE280" s="4"/>
      <c r="AF280" s="6" t="str">
        <f t="shared" si="29"/>
        <v/>
      </c>
    </row>
    <row r="281" spans="1:32" ht="15.75" customHeight="1" x14ac:dyDescent="0.2">
      <c r="A281" s="42"/>
      <c r="B281" s="44"/>
      <c r="C281" s="41"/>
      <c r="D281" s="41"/>
      <c r="E281" s="41"/>
      <c r="F281" s="11"/>
      <c r="G281" s="11"/>
      <c r="H281" s="43"/>
      <c r="K281" s="25"/>
      <c r="M281" s="31"/>
      <c r="N281" s="31"/>
      <c r="O281" s="33"/>
      <c r="Q281" s="6" t="str">
        <f>IF($F281&lt;&gt;"",RIGHT(Tabela1[[#This Row],[Ref.]],2),"")</f>
        <v/>
      </c>
      <c r="R281" s="6" t="str">
        <f t="shared" si="24"/>
        <v/>
      </c>
      <c r="S281" s="4" t="str">
        <f>IF($F281&lt;&gt;"",_xlfn.XLOOKUP(F281,Naturezas!B:B,Naturezas!E:E,"",0,1),"")</f>
        <v/>
      </c>
      <c r="T281" s="4" t="str">
        <f>IF($F281&lt;&gt;"",_xlfn.XLOOKUP($F281,Naturezas!B:B,Naturezas!D:D,"",0,1),"")</f>
        <v/>
      </c>
      <c r="U281" s="5" t="str">
        <f>IF(F281&lt;&gt;"",IF(OR(F281=Naturezas!$B$3,F281=Naturezas!$B$4,F281=Naturezas!$B$5,F281=Naturezas!$B$17,F281=Naturezas!$B$18,F281=Naturezas!$B$19),H281,-H281),"")</f>
        <v/>
      </c>
      <c r="V281" s="4" t="str">
        <f t="shared" si="25"/>
        <v/>
      </c>
      <c r="W281" s="4"/>
      <c r="X281" s="4" t="str">
        <f t="shared" si="26"/>
        <v/>
      </c>
      <c r="Y281" s="6" t="str">
        <f>IF(F281&lt;&gt;"",Tabela1[[#This Row],[Iniciais]],"")</f>
        <v/>
      </c>
      <c r="AA281" s="6" t="str">
        <f>IF($F281&lt;&gt;"",RIGHT(Tabela1[[#This Row],[Ref.]],2),"")</f>
        <v/>
      </c>
      <c r="AB281" s="46" t="str">
        <f>IF($F281&lt;&gt;"",DATE(LEFT(Tabela1[[#This Row],[Ref.]],4),RIGHT(Tabela1[[#This Row],[Ref.]],2),1),"")</f>
        <v/>
      </c>
      <c r="AC281" s="4" t="str">
        <f t="shared" si="27"/>
        <v/>
      </c>
      <c r="AD281" s="5" t="str">
        <f t="shared" si="28"/>
        <v/>
      </c>
      <c r="AE281" s="4"/>
      <c r="AF281" s="6" t="str">
        <f t="shared" si="29"/>
        <v/>
      </c>
    </row>
    <row r="282" spans="1:32" ht="15.75" customHeight="1" x14ac:dyDescent="0.2">
      <c r="A282" s="42"/>
      <c r="B282" s="44"/>
      <c r="C282" s="41"/>
      <c r="D282" s="41"/>
      <c r="E282" s="41"/>
      <c r="F282" s="11"/>
      <c r="G282" s="11"/>
      <c r="H282" s="43"/>
      <c r="K282" s="25"/>
      <c r="M282" s="31"/>
      <c r="N282" s="31"/>
      <c r="O282" s="33"/>
      <c r="Q282" s="6" t="str">
        <f>IF($F282&lt;&gt;"",RIGHT(Tabela1[[#This Row],[Ref.]],2),"")</f>
        <v/>
      </c>
      <c r="R282" s="6" t="str">
        <f t="shared" si="24"/>
        <v/>
      </c>
      <c r="S282" s="4" t="str">
        <f>IF($F282&lt;&gt;"",_xlfn.XLOOKUP(F282,Naturezas!B:B,Naturezas!E:E,"",0,1),"")</f>
        <v/>
      </c>
      <c r="T282" s="4" t="str">
        <f>IF($F282&lt;&gt;"",_xlfn.XLOOKUP($F282,Naturezas!B:B,Naturezas!D:D,"",0,1),"")</f>
        <v/>
      </c>
      <c r="U282" s="5" t="str">
        <f>IF(F282&lt;&gt;"",IF(OR(F282=Naturezas!$B$3,F282=Naturezas!$B$4,F282=Naturezas!$B$5,F282=Naturezas!$B$17,F282=Naturezas!$B$18,F282=Naturezas!$B$19),H282,-H282),"")</f>
        <v/>
      </c>
      <c r="V282" s="4" t="str">
        <f t="shared" si="25"/>
        <v/>
      </c>
      <c r="W282" s="4"/>
      <c r="X282" s="4" t="str">
        <f t="shared" si="26"/>
        <v/>
      </c>
      <c r="Y282" s="6" t="str">
        <f>IF(F282&lt;&gt;"",Tabela1[[#This Row],[Iniciais]],"")</f>
        <v/>
      </c>
      <c r="AA282" s="6" t="str">
        <f>IF($F282&lt;&gt;"",RIGHT(Tabela1[[#This Row],[Ref.]],2),"")</f>
        <v/>
      </c>
      <c r="AB282" s="46" t="str">
        <f>IF($F282&lt;&gt;"",DATE(LEFT(Tabela1[[#This Row],[Ref.]],4),RIGHT(Tabela1[[#This Row],[Ref.]],2),1),"")</f>
        <v/>
      </c>
      <c r="AC282" s="4" t="str">
        <f t="shared" si="27"/>
        <v/>
      </c>
      <c r="AD282" s="5" t="str">
        <f t="shared" si="28"/>
        <v/>
      </c>
      <c r="AE282" s="4"/>
      <c r="AF282" s="6" t="str">
        <f t="shared" si="29"/>
        <v/>
      </c>
    </row>
    <row r="283" spans="1:32" ht="15.75" customHeight="1" x14ac:dyDescent="0.2">
      <c r="A283" s="42"/>
      <c r="B283" s="44"/>
      <c r="C283" s="41"/>
      <c r="D283" s="41"/>
      <c r="E283" s="41"/>
      <c r="F283" s="11"/>
      <c r="G283" s="11"/>
      <c r="H283" s="43"/>
      <c r="K283" s="25"/>
      <c r="M283" s="31"/>
      <c r="N283" s="31"/>
      <c r="O283" s="33"/>
      <c r="Q283" s="6" t="str">
        <f>IF($F283&lt;&gt;"",RIGHT(Tabela1[[#This Row],[Ref.]],2),"")</f>
        <v/>
      </c>
      <c r="R283" s="6" t="str">
        <f t="shared" si="24"/>
        <v/>
      </c>
      <c r="S283" s="4" t="str">
        <f>IF($F283&lt;&gt;"",_xlfn.XLOOKUP(F283,Naturezas!B:B,Naturezas!E:E,"",0,1),"")</f>
        <v/>
      </c>
      <c r="T283" s="4" t="str">
        <f>IF($F283&lt;&gt;"",_xlfn.XLOOKUP($F283,Naturezas!B:B,Naturezas!D:D,"",0,1),"")</f>
        <v/>
      </c>
      <c r="U283" s="5" t="str">
        <f>IF(F283&lt;&gt;"",IF(OR(F283=Naturezas!$B$3,F283=Naturezas!$B$4,F283=Naturezas!$B$5,F283=Naturezas!$B$17,F283=Naturezas!$B$18,F283=Naturezas!$B$19),H283,-H283),"")</f>
        <v/>
      </c>
      <c r="V283" s="4" t="str">
        <f t="shared" si="25"/>
        <v/>
      </c>
      <c r="W283" s="4"/>
      <c r="X283" s="4" t="str">
        <f t="shared" si="26"/>
        <v/>
      </c>
      <c r="Y283" s="6" t="str">
        <f>IF(F283&lt;&gt;"",Tabela1[[#This Row],[Iniciais]],"")</f>
        <v/>
      </c>
      <c r="AA283" s="6" t="str">
        <f>IF($F283&lt;&gt;"",RIGHT(Tabela1[[#This Row],[Ref.]],2),"")</f>
        <v/>
      </c>
      <c r="AB283" s="46" t="str">
        <f>IF($F283&lt;&gt;"",DATE(LEFT(Tabela1[[#This Row],[Ref.]],4),RIGHT(Tabela1[[#This Row],[Ref.]],2),1),"")</f>
        <v/>
      </c>
      <c r="AC283" s="4" t="str">
        <f t="shared" si="27"/>
        <v/>
      </c>
      <c r="AD283" s="5" t="str">
        <f t="shared" si="28"/>
        <v/>
      </c>
      <c r="AE283" s="4"/>
      <c r="AF283" s="6" t="str">
        <f t="shared" si="29"/>
        <v/>
      </c>
    </row>
    <row r="284" spans="1:32" ht="15.75" customHeight="1" x14ac:dyDescent="0.2">
      <c r="A284" s="42"/>
      <c r="B284" s="44"/>
      <c r="C284" s="41"/>
      <c r="D284" s="41"/>
      <c r="E284" s="41"/>
      <c r="F284" s="11"/>
      <c r="G284" s="11"/>
      <c r="H284" s="43"/>
      <c r="K284" s="25"/>
      <c r="M284" s="31"/>
      <c r="N284" s="31"/>
      <c r="O284" s="33"/>
      <c r="Q284" s="6" t="str">
        <f>IF($F284&lt;&gt;"",RIGHT(Tabela1[[#This Row],[Ref.]],2),"")</f>
        <v/>
      </c>
      <c r="R284" s="6" t="str">
        <f t="shared" si="24"/>
        <v/>
      </c>
      <c r="S284" s="4" t="str">
        <f>IF($F284&lt;&gt;"",_xlfn.XLOOKUP(F284,Naturezas!B:B,Naturezas!E:E,"",0,1),"")</f>
        <v/>
      </c>
      <c r="T284" s="4" t="str">
        <f>IF($F284&lt;&gt;"",_xlfn.XLOOKUP($F284,Naturezas!B:B,Naturezas!D:D,"",0,1),"")</f>
        <v/>
      </c>
      <c r="U284" s="5" t="str">
        <f>IF(F284&lt;&gt;"",IF(OR(F284=Naturezas!$B$3,F284=Naturezas!$B$4,F284=Naturezas!$B$5,F284=Naturezas!$B$17,F284=Naturezas!$B$18,F284=Naturezas!$B$19),H284,-H284),"")</f>
        <v/>
      </c>
      <c r="V284" s="4" t="str">
        <f t="shared" si="25"/>
        <v/>
      </c>
      <c r="W284" s="4"/>
      <c r="X284" s="4" t="str">
        <f t="shared" si="26"/>
        <v/>
      </c>
      <c r="Y284" s="6" t="str">
        <f>IF(F284&lt;&gt;"",Tabela1[[#This Row],[Iniciais]],"")</f>
        <v/>
      </c>
      <c r="AA284" s="6" t="str">
        <f>IF($F284&lt;&gt;"",RIGHT(Tabela1[[#This Row],[Ref.]],2),"")</f>
        <v/>
      </c>
      <c r="AB284" s="46" t="str">
        <f>IF($F284&lt;&gt;"",DATE(LEFT(Tabela1[[#This Row],[Ref.]],4),RIGHT(Tabela1[[#This Row],[Ref.]],2),1),"")</f>
        <v/>
      </c>
      <c r="AC284" s="4" t="str">
        <f t="shared" si="27"/>
        <v/>
      </c>
      <c r="AD284" s="5" t="str">
        <f t="shared" si="28"/>
        <v/>
      </c>
      <c r="AE284" s="4"/>
      <c r="AF284" s="6" t="str">
        <f t="shared" si="29"/>
        <v/>
      </c>
    </row>
    <row r="285" spans="1:32" ht="15.75" customHeight="1" x14ac:dyDescent="0.2">
      <c r="A285" s="42"/>
      <c r="B285" s="44"/>
      <c r="C285" s="41"/>
      <c r="D285" s="41"/>
      <c r="E285" s="41"/>
      <c r="F285" s="11"/>
      <c r="G285" s="11"/>
      <c r="H285" s="43"/>
      <c r="K285" s="25"/>
      <c r="M285" s="31"/>
      <c r="N285" s="31"/>
      <c r="O285" s="33"/>
      <c r="Q285" s="6" t="str">
        <f>IF($F285&lt;&gt;"",RIGHT(Tabela1[[#This Row],[Ref.]],2),"")</f>
        <v/>
      </c>
      <c r="R285" s="6" t="str">
        <f t="shared" si="24"/>
        <v/>
      </c>
      <c r="S285" s="4" t="str">
        <f>IF($F285&lt;&gt;"",_xlfn.XLOOKUP(F285,Naturezas!B:B,Naturezas!E:E,"",0,1),"")</f>
        <v/>
      </c>
      <c r="T285" s="4" t="str">
        <f>IF($F285&lt;&gt;"",_xlfn.XLOOKUP($F285,Naturezas!B:B,Naturezas!D:D,"",0,1),"")</f>
        <v/>
      </c>
      <c r="U285" s="5" t="str">
        <f>IF(F285&lt;&gt;"",IF(OR(F285=Naturezas!$B$3,F285=Naturezas!$B$4,F285=Naturezas!$B$5,F285=Naturezas!$B$17,F285=Naturezas!$B$18,F285=Naturezas!$B$19),H285,-H285),"")</f>
        <v/>
      </c>
      <c r="V285" s="4" t="str">
        <f t="shared" si="25"/>
        <v/>
      </c>
      <c r="W285" s="4"/>
      <c r="X285" s="4" t="str">
        <f t="shared" si="26"/>
        <v/>
      </c>
      <c r="Y285" s="6" t="str">
        <f>IF(F285&lt;&gt;"",Tabela1[[#This Row],[Iniciais]],"")</f>
        <v/>
      </c>
      <c r="AA285" s="6" t="str">
        <f>IF($F285&lt;&gt;"",RIGHT(Tabela1[[#This Row],[Ref.]],2),"")</f>
        <v/>
      </c>
      <c r="AB285" s="46" t="str">
        <f>IF($F285&lt;&gt;"",DATE(LEFT(Tabela1[[#This Row],[Ref.]],4),RIGHT(Tabela1[[#This Row],[Ref.]],2),1),"")</f>
        <v/>
      </c>
      <c r="AC285" s="4" t="str">
        <f t="shared" si="27"/>
        <v/>
      </c>
      <c r="AD285" s="5" t="str">
        <f t="shared" si="28"/>
        <v/>
      </c>
      <c r="AE285" s="4"/>
      <c r="AF285" s="6" t="str">
        <f t="shared" si="29"/>
        <v/>
      </c>
    </row>
    <row r="286" spans="1:32" ht="15.75" customHeight="1" x14ac:dyDescent="0.2">
      <c r="A286" s="42"/>
      <c r="B286" s="44"/>
      <c r="C286" s="41"/>
      <c r="D286" s="41"/>
      <c r="E286" s="41"/>
      <c r="F286" s="11"/>
      <c r="G286" s="11"/>
      <c r="H286" s="43"/>
      <c r="K286" s="25"/>
      <c r="M286" s="31"/>
      <c r="N286" s="31"/>
      <c r="O286" s="33"/>
      <c r="Q286" s="6" t="str">
        <f>IF($F286&lt;&gt;"",RIGHT(Tabela1[[#This Row],[Ref.]],2),"")</f>
        <v/>
      </c>
      <c r="R286" s="6" t="str">
        <f t="shared" si="24"/>
        <v/>
      </c>
      <c r="S286" s="4" t="str">
        <f>IF($F286&lt;&gt;"",_xlfn.XLOOKUP(F286,Naturezas!B:B,Naturezas!E:E,"",0,1),"")</f>
        <v/>
      </c>
      <c r="T286" s="4" t="str">
        <f>IF($F286&lt;&gt;"",_xlfn.XLOOKUP($F286,Naturezas!B:B,Naturezas!D:D,"",0,1),"")</f>
        <v/>
      </c>
      <c r="U286" s="5" t="str">
        <f>IF(F286&lt;&gt;"",IF(OR(F286=Naturezas!$B$3,F286=Naturezas!$B$4,F286=Naturezas!$B$5,F286=Naturezas!$B$17,F286=Naturezas!$B$18,F286=Naturezas!$B$19),H286,-H286),"")</f>
        <v/>
      </c>
      <c r="V286" s="4" t="str">
        <f t="shared" si="25"/>
        <v/>
      </c>
      <c r="W286" s="4"/>
      <c r="X286" s="4" t="str">
        <f t="shared" si="26"/>
        <v/>
      </c>
      <c r="Y286" s="6" t="str">
        <f>IF(F286&lt;&gt;"",Tabela1[[#This Row],[Iniciais]],"")</f>
        <v/>
      </c>
      <c r="AA286" s="6" t="str">
        <f>IF($F286&lt;&gt;"",RIGHT(Tabela1[[#This Row],[Ref.]],2),"")</f>
        <v/>
      </c>
      <c r="AB286" s="46" t="str">
        <f>IF($F286&lt;&gt;"",DATE(LEFT(Tabela1[[#This Row],[Ref.]],4),RIGHT(Tabela1[[#This Row],[Ref.]],2),1),"")</f>
        <v/>
      </c>
      <c r="AC286" s="4" t="str">
        <f t="shared" si="27"/>
        <v/>
      </c>
      <c r="AD286" s="5" t="str">
        <f t="shared" si="28"/>
        <v/>
      </c>
      <c r="AE286" s="4"/>
      <c r="AF286" s="6" t="str">
        <f t="shared" si="29"/>
        <v/>
      </c>
    </row>
    <row r="287" spans="1:32" ht="15.75" customHeight="1" x14ac:dyDescent="0.2">
      <c r="A287" s="42"/>
      <c r="B287" s="44"/>
      <c r="C287" s="41"/>
      <c r="D287" s="41"/>
      <c r="E287" s="41"/>
      <c r="F287" s="11"/>
      <c r="G287" s="11"/>
      <c r="H287" s="43"/>
      <c r="K287" s="25"/>
      <c r="M287" s="31"/>
      <c r="N287" s="31"/>
      <c r="O287" s="33"/>
      <c r="Q287" s="6" t="str">
        <f>IF($F287&lt;&gt;"",RIGHT(Tabela1[[#This Row],[Ref.]],2),"")</f>
        <v/>
      </c>
      <c r="R287" s="6" t="str">
        <f t="shared" si="24"/>
        <v/>
      </c>
      <c r="S287" s="4" t="str">
        <f>IF($F287&lt;&gt;"",_xlfn.XLOOKUP(F287,Naturezas!B:B,Naturezas!E:E,"",0,1),"")</f>
        <v/>
      </c>
      <c r="T287" s="4" t="str">
        <f>IF($F287&lt;&gt;"",_xlfn.XLOOKUP($F287,Naturezas!B:B,Naturezas!D:D,"",0,1),"")</f>
        <v/>
      </c>
      <c r="U287" s="5" t="str">
        <f>IF(F287&lt;&gt;"",IF(OR(F287=Naturezas!$B$3,F287=Naturezas!$B$4,F287=Naturezas!$B$5,F287=Naturezas!$B$17,F287=Naturezas!$B$18,F287=Naturezas!$B$19),H287,-H287),"")</f>
        <v/>
      </c>
      <c r="V287" s="4" t="str">
        <f t="shared" si="25"/>
        <v/>
      </c>
      <c r="W287" s="4"/>
      <c r="X287" s="4" t="str">
        <f t="shared" si="26"/>
        <v/>
      </c>
      <c r="Y287" s="6" t="str">
        <f>IF(F287&lt;&gt;"",Tabela1[[#This Row],[Iniciais]],"")</f>
        <v/>
      </c>
      <c r="AA287" s="6" t="str">
        <f>IF($F287&lt;&gt;"",RIGHT(Tabela1[[#This Row],[Ref.]],2),"")</f>
        <v/>
      </c>
      <c r="AB287" s="46" t="str">
        <f>IF($F287&lt;&gt;"",DATE(LEFT(Tabela1[[#This Row],[Ref.]],4),RIGHT(Tabela1[[#This Row],[Ref.]],2),1),"")</f>
        <v/>
      </c>
      <c r="AC287" s="4" t="str">
        <f t="shared" si="27"/>
        <v/>
      </c>
      <c r="AD287" s="5" t="str">
        <f t="shared" si="28"/>
        <v/>
      </c>
      <c r="AE287" s="4"/>
      <c r="AF287" s="6" t="str">
        <f t="shared" si="29"/>
        <v/>
      </c>
    </row>
    <row r="288" spans="1:32" ht="15.75" customHeight="1" x14ac:dyDescent="0.2">
      <c r="A288" s="42"/>
      <c r="B288" s="44"/>
      <c r="C288" s="41"/>
      <c r="D288" s="41"/>
      <c r="E288" s="41"/>
      <c r="F288" s="11"/>
      <c r="G288" s="11"/>
      <c r="H288" s="43"/>
      <c r="K288" s="25"/>
      <c r="M288" s="31"/>
      <c r="N288" s="31"/>
      <c r="O288" s="33"/>
      <c r="Q288" s="6" t="str">
        <f>IF($F288&lt;&gt;"",RIGHT(Tabela1[[#This Row],[Ref.]],2),"")</f>
        <v/>
      </c>
      <c r="R288" s="6" t="str">
        <f t="shared" si="24"/>
        <v/>
      </c>
      <c r="S288" s="4" t="str">
        <f>IF($F288&lt;&gt;"",_xlfn.XLOOKUP(F288,Naturezas!B:B,Naturezas!E:E,"",0,1),"")</f>
        <v/>
      </c>
      <c r="T288" s="4" t="str">
        <f>IF($F288&lt;&gt;"",_xlfn.XLOOKUP($F288,Naturezas!B:B,Naturezas!D:D,"",0,1),"")</f>
        <v/>
      </c>
      <c r="U288" s="5" t="str">
        <f>IF(F288&lt;&gt;"",IF(OR(F288=Naturezas!$B$3,F288=Naturezas!$B$4,F288=Naturezas!$B$5,F288=Naturezas!$B$17,F288=Naturezas!$B$18,F288=Naturezas!$B$19),H288,-H288),"")</f>
        <v/>
      </c>
      <c r="V288" s="4" t="str">
        <f t="shared" si="25"/>
        <v/>
      </c>
      <c r="W288" s="4"/>
      <c r="X288" s="4" t="str">
        <f t="shared" si="26"/>
        <v/>
      </c>
      <c r="Y288" s="6" t="str">
        <f>IF(F288&lt;&gt;"",Tabela1[[#This Row],[Iniciais]],"")</f>
        <v/>
      </c>
      <c r="AA288" s="6" t="str">
        <f>IF($F288&lt;&gt;"",RIGHT(Tabela1[[#This Row],[Ref.]],2),"")</f>
        <v/>
      </c>
      <c r="AB288" s="46" t="str">
        <f>IF($F288&lt;&gt;"",DATE(LEFT(Tabela1[[#This Row],[Ref.]],4),RIGHT(Tabela1[[#This Row],[Ref.]],2),1),"")</f>
        <v/>
      </c>
      <c r="AC288" s="4" t="str">
        <f t="shared" si="27"/>
        <v/>
      </c>
      <c r="AD288" s="5" t="str">
        <f t="shared" si="28"/>
        <v/>
      </c>
      <c r="AE288" s="4"/>
      <c r="AF288" s="6" t="str">
        <f t="shared" si="29"/>
        <v/>
      </c>
    </row>
    <row r="289" spans="1:32" ht="15.75" customHeight="1" x14ac:dyDescent="0.2">
      <c r="A289" s="42"/>
      <c r="B289" s="44"/>
      <c r="C289" s="41"/>
      <c r="D289" s="41"/>
      <c r="E289" s="41"/>
      <c r="F289" s="11"/>
      <c r="G289" s="11"/>
      <c r="H289" s="43"/>
      <c r="K289" s="25"/>
      <c r="M289" s="31"/>
      <c r="N289" s="31"/>
      <c r="O289" s="33"/>
      <c r="Q289" s="6" t="str">
        <f>IF($F289&lt;&gt;"",RIGHT(Tabela1[[#This Row],[Ref.]],2),"")</f>
        <v/>
      </c>
      <c r="R289" s="6" t="str">
        <f t="shared" si="24"/>
        <v/>
      </c>
      <c r="S289" s="4" t="str">
        <f>IF($F289&lt;&gt;"",_xlfn.XLOOKUP(F289,Naturezas!B:B,Naturezas!E:E,"",0,1),"")</f>
        <v/>
      </c>
      <c r="T289" s="4" t="str">
        <f>IF($F289&lt;&gt;"",_xlfn.XLOOKUP($F289,Naturezas!B:B,Naturezas!D:D,"",0,1),"")</f>
        <v/>
      </c>
      <c r="U289" s="5" t="str">
        <f>IF(F289&lt;&gt;"",IF(OR(F289=Naturezas!$B$3,F289=Naturezas!$B$4,F289=Naturezas!$B$5,F289=Naturezas!$B$17,F289=Naturezas!$B$18,F289=Naturezas!$B$19),H289,-H289),"")</f>
        <v/>
      </c>
      <c r="V289" s="4" t="str">
        <f t="shared" si="25"/>
        <v/>
      </c>
      <c r="W289" s="4"/>
      <c r="X289" s="4" t="str">
        <f t="shared" si="26"/>
        <v/>
      </c>
      <c r="Y289" s="6" t="str">
        <f>IF(F289&lt;&gt;"",Tabela1[[#This Row],[Iniciais]],"")</f>
        <v/>
      </c>
      <c r="AA289" s="6" t="str">
        <f>IF($F289&lt;&gt;"",RIGHT(Tabela1[[#This Row],[Ref.]],2),"")</f>
        <v/>
      </c>
      <c r="AB289" s="46" t="str">
        <f>IF($F289&lt;&gt;"",DATE(LEFT(Tabela1[[#This Row],[Ref.]],4),RIGHT(Tabela1[[#This Row],[Ref.]],2),1),"")</f>
        <v/>
      </c>
      <c r="AC289" s="4" t="str">
        <f t="shared" si="27"/>
        <v/>
      </c>
      <c r="AD289" s="5" t="str">
        <f t="shared" si="28"/>
        <v/>
      </c>
      <c r="AE289" s="4"/>
      <c r="AF289" s="6" t="str">
        <f t="shared" si="29"/>
        <v/>
      </c>
    </row>
    <row r="290" spans="1:32" ht="15.75" customHeight="1" x14ac:dyDescent="0.2">
      <c r="A290" s="42"/>
      <c r="B290" s="44"/>
      <c r="C290" s="41"/>
      <c r="D290" s="41"/>
      <c r="E290" s="41"/>
      <c r="F290" s="11"/>
      <c r="G290" s="11"/>
      <c r="H290" s="43"/>
      <c r="K290" s="25"/>
      <c r="M290" s="31"/>
      <c r="N290" s="31"/>
      <c r="O290" s="33"/>
      <c r="Q290" s="6" t="str">
        <f>IF($F290&lt;&gt;"",RIGHT(Tabela1[[#This Row],[Ref.]],2),"")</f>
        <v/>
      </c>
      <c r="R290" s="6" t="str">
        <f t="shared" si="24"/>
        <v/>
      </c>
      <c r="S290" s="4" t="str">
        <f>IF($F290&lt;&gt;"",_xlfn.XLOOKUP(F290,Naturezas!B:B,Naturezas!E:E,"",0,1),"")</f>
        <v/>
      </c>
      <c r="T290" s="4" t="str">
        <f>IF($F290&lt;&gt;"",_xlfn.XLOOKUP($F290,Naturezas!B:B,Naturezas!D:D,"",0,1),"")</f>
        <v/>
      </c>
      <c r="U290" s="5" t="str">
        <f>IF(F290&lt;&gt;"",IF(OR(F290=Naturezas!$B$3,F290=Naturezas!$B$4,F290=Naturezas!$B$5,F290=Naturezas!$B$17,F290=Naturezas!$B$18,F290=Naturezas!$B$19),H290,-H290),"")</f>
        <v/>
      </c>
      <c r="V290" s="4" t="str">
        <f t="shared" si="25"/>
        <v/>
      </c>
      <c r="W290" s="4"/>
      <c r="X290" s="4" t="str">
        <f t="shared" si="26"/>
        <v/>
      </c>
      <c r="Y290" s="6" t="str">
        <f>IF(F290&lt;&gt;"",Tabela1[[#This Row],[Iniciais]],"")</f>
        <v/>
      </c>
      <c r="AA290" s="6" t="str">
        <f>IF($F290&lt;&gt;"",RIGHT(Tabela1[[#This Row],[Ref.]],2),"")</f>
        <v/>
      </c>
      <c r="AB290" s="46" t="str">
        <f>IF($F290&lt;&gt;"",DATE(LEFT(Tabela1[[#This Row],[Ref.]],4),RIGHT(Tabela1[[#This Row],[Ref.]],2),1),"")</f>
        <v/>
      </c>
      <c r="AC290" s="4" t="str">
        <f t="shared" si="27"/>
        <v/>
      </c>
      <c r="AD290" s="5" t="str">
        <f t="shared" si="28"/>
        <v/>
      </c>
      <c r="AE290" s="4"/>
      <c r="AF290" s="6" t="str">
        <f t="shared" si="29"/>
        <v/>
      </c>
    </row>
    <row r="291" spans="1:32" ht="15.75" customHeight="1" x14ac:dyDescent="0.2">
      <c r="A291" s="42"/>
      <c r="B291" s="44"/>
      <c r="C291" s="41"/>
      <c r="D291" s="41"/>
      <c r="E291" s="41"/>
      <c r="F291" s="11"/>
      <c r="G291" s="11"/>
      <c r="H291" s="43"/>
      <c r="K291" s="25"/>
      <c r="M291" s="31"/>
      <c r="N291" s="31"/>
      <c r="O291" s="33"/>
      <c r="Q291" s="6" t="str">
        <f>IF($F291&lt;&gt;"",RIGHT(Tabela1[[#This Row],[Ref.]],2),"")</f>
        <v/>
      </c>
      <c r="R291" s="6" t="str">
        <f t="shared" si="24"/>
        <v/>
      </c>
      <c r="S291" s="4" t="str">
        <f>IF($F291&lt;&gt;"",_xlfn.XLOOKUP(F291,Naturezas!B:B,Naturezas!E:E,"",0,1),"")</f>
        <v/>
      </c>
      <c r="T291" s="4" t="str">
        <f>IF($F291&lt;&gt;"",_xlfn.XLOOKUP($F291,Naturezas!B:B,Naturezas!D:D,"",0,1),"")</f>
        <v/>
      </c>
      <c r="U291" s="5" t="str">
        <f>IF(F291&lt;&gt;"",IF(OR(F291=Naturezas!$B$3,F291=Naturezas!$B$4,F291=Naturezas!$B$5,F291=Naturezas!$B$17,F291=Naturezas!$B$18,F291=Naturezas!$B$19),H291,-H291),"")</f>
        <v/>
      </c>
      <c r="V291" s="4" t="str">
        <f t="shared" si="25"/>
        <v/>
      </c>
      <c r="W291" s="4"/>
      <c r="X291" s="4" t="str">
        <f t="shared" si="26"/>
        <v/>
      </c>
      <c r="Y291" s="6" t="str">
        <f>IF(F291&lt;&gt;"",Tabela1[[#This Row],[Iniciais]],"")</f>
        <v/>
      </c>
      <c r="AA291" s="6" t="str">
        <f>IF($F291&lt;&gt;"",RIGHT(Tabela1[[#This Row],[Ref.]],2),"")</f>
        <v/>
      </c>
      <c r="AB291" s="46" t="str">
        <f>IF($F291&lt;&gt;"",DATE(LEFT(Tabela1[[#This Row],[Ref.]],4),RIGHT(Tabela1[[#This Row],[Ref.]],2),1),"")</f>
        <v/>
      </c>
      <c r="AC291" s="4" t="str">
        <f t="shared" si="27"/>
        <v/>
      </c>
      <c r="AD291" s="5" t="str">
        <f t="shared" si="28"/>
        <v/>
      </c>
      <c r="AE291" s="4"/>
      <c r="AF291" s="6" t="str">
        <f t="shared" si="29"/>
        <v/>
      </c>
    </row>
    <row r="292" spans="1:32" ht="15.75" customHeight="1" x14ac:dyDescent="0.2">
      <c r="A292" s="42"/>
      <c r="B292" s="44"/>
      <c r="C292" s="41"/>
      <c r="D292" s="41"/>
      <c r="E292" s="41"/>
      <c r="F292" s="11"/>
      <c r="G292" s="11"/>
      <c r="H292" s="43"/>
      <c r="K292" s="25"/>
      <c r="M292" s="31"/>
      <c r="N292" s="31"/>
      <c r="O292" s="33"/>
      <c r="Q292" s="6" t="str">
        <f>IF($F292&lt;&gt;"",RIGHT(Tabela1[[#This Row],[Ref.]],2),"")</f>
        <v/>
      </c>
      <c r="R292" s="6" t="str">
        <f t="shared" si="24"/>
        <v/>
      </c>
      <c r="S292" s="4" t="str">
        <f>IF($F292&lt;&gt;"",_xlfn.XLOOKUP(F292,Naturezas!B:B,Naturezas!E:E,"",0,1),"")</f>
        <v/>
      </c>
      <c r="T292" s="4" t="str">
        <f>IF($F292&lt;&gt;"",_xlfn.XLOOKUP($F292,Naturezas!B:B,Naturezas!D:D,"",0,1),"")</f>
        <v/>
      </c>
      <c r="U292" s="5" t="str">
        <f>IF(F292&lt;&gt;"",IF(OR(F292=Naturezas!$B$3,F292=Naturezas!$B$4,F292=Naturezas!$B$5,F292=Naturezas!$B$17,F292=Naturezas!$B$18,F292=Naturezas!$B$19),H292,-H292),"")</f>
        <v/>
      </c>
      <c r="V292" s="4" t="str">
        <f t="shared" si="25"/>
        <v/>
      </c>
      <c r="W292" s="4"/>
      <c r="X292" s="4" t="str">
        <f t="shared" si="26"/>
        <v/>
      </c>
      <c r="Y292" s="6" t="str">
        <f>IF(F292&lt;&gt;"",Tabela1[[#This Row],[Iniciais]],"")</f>
        <v/>
      </c>
      <c r="AA292" s="6" t="str">
        <f>IF($F292&lt;&gt;"",RIGHT(Tabela1[[#This Row],[Ref.]],2),"")</f>
        <v/>
      </c>
      <c r="AB292" s="46" t="str">
        <f>IF($F292&lt;&gt;"",DATE(LEFT(Tabela1[[#This Row],[Ref.]],4),RIGHT(Tabela1[[#This Row],[Ref.]],2),1),"")</f>
        <v/>
      </c>
      <c r="AC292" s="4" t="str">
        <f t="shared" si="27"/>
        <v/>
      </c>
      <c r="AD292" s="5" t="str">
        <f t="shared" si="28"/>
        <v/>
      </c>
      <c r="AE292" s="4"/>
      <c r="AF292" s="6" t="str">
        <f t="shared" si="29"/>
        <v/>
      </c>
    </row>
    <row r="293" spans="1:32" ht="15.75" customHeight="1" x14ac:dyDescent="0.2">
      <c r="A293" s="42"/>
      <c r="B293" s="44"/>
      <c r="C293" s="41"/>
      <c r="D293" s="41"/>
      <c r="E293" s="41"/>
      <c r="F293" s="11"/>
      <c r="G293" s="11"/>
      <c r="H293" s="43"/>
      <c r="K293" s="25"/>
      <c r="M293" s="31"/>
      <c r="N293" s="31"/>
      <c r="O293" s="33"/>
      <c r="Q293" s="6" t="str">
        <f>IF($F293&lt;&gt;"",RIGHT(Tabela1[[#This Row],[Ref.]],2),"")</f>
        <v/>
      </c>
      <c r="R293" s="6" t="str">
        <f t="shared" si="24"/>
        <v/>
      </c>
      <c r="S293" s="4" t="str">
        <f>IF($F293&lt;&gt;"",_xlfn.XLOOKUP(F293,Naturezas!B:B,Naturezas!E:E,"",0,1),"")</f>
        <v/>
      </c>
      <c r="T293" s="4" t="str">
        <f>IF($F293&lt;&gt;"",_xlfn.XLOOKUP($F293,Naturezas!B:B,Naturezas!D:D,"",0,1),"")</f>
        <v/>
      </c>
      <c r="U293" s="5" t="str">
        <f>IF(F293&lt;&gt;"",IF(OR(F293=Naturezas!$B$3,F293=Naturezas!$B$4,F293=Naturezas!$B$5,F293=Naturezas!$B$17,F293=Naturezas!$B$18,F293=Naturezas!$B$19),H293,-H293),"")</f>
        <v/>
      </c>
      <c r="V293" s="4" t="str">
        <f t="shared" si="25"/>
        <v/>
      </c>
      <c r="W293" s="4"/>
      <c r="X293" s="4" t="str">
        <f t="shared" si="26"/>
        <v/>
      </c>
      <c r="Y293" s="6" t="str">
        <f>IF(F293&lt;&gt;"",Tabela1[[#This Row],[Iniciais]],"")</f>
        <v/>
      </c>
      <c r="AA293" s="6" t="str">
        <f>IF($F293&lt;&gt;"",RIGHT(Tabela1[[#This Row],[Ref.]],2),"")</f>
        <v/>
      </c>
      <c r="AB293" s="46" t="str">
        <f>IF($F293&lt;&gt;"",DATE(LEFT(Tabela1[[#This Row],[Ref.]],4),RIGHT(Tabela1[[#This Row],[Ref.]],2),1),"")</f>
        <v/>
      </c>
      <c r="AC293" s="4" t="str">
        <f t="shared" si="27"/>
        <v/>
      </c>
      <c r="AD293" s="5" t="str">
        <f t="shared" si="28"/>
        <v/>
      </c>
      <c r="AE293" s="4"/>
      <c r="AF293" s="6" t="str">
        <f t="shared" si="29"/>
        <v/>
      </c>
    </row>
    <row r="294" spans="1:32" ht="15.75" customHeight="1" x14ac:dyDescent="0.2">
      <c r="A294" s="42"/>
      <c r="B294" s="44"/>
      <c r="C294" s="41"/>
      <c r="D294" s="41"/>
      <c r="E294" s="41"/>
      <c r="F294" s="11"/>
      <c r="G294" s="11"/>
      <c r="H294" s="43"/>
      <c r="K294" s="25"/>
      <c r="M294" s="31"/>
      <c r="N294" s="31"/>
      <c r="O294" s="33"/>
      <c r="Q294" s="6" t="str">
        <f>IF($F294&lt;&gt;"",RIGHT(Tabela1[[#This Row],[Ref.]],2),"")</f>
        <v/>
      </c>
      <c r="R294" s="6" t="str">
        <f t="shared" si="24"/>
        <v/>
      </c>
      <c r="S294" s="4" t="str">
        <f>IF($F294&lt;&gt;"",_xlfn.XLOOKUP(F294,Naturezas!B:B,Naturezas!E:E,"",0,1),"")</f>
        <v/>
      </c>
      <c r="T294" s="4" t="str">
        <f>IF($F294&lt;&gt;"",_xlfn.XLOOKUP($F294,Naturezas!B:B,Naturezas!D:D,"",0,1),"")</f>
        <v/>
      </c>
      <c r="U294" s="5" t="str">
        <f>IF(F294&lt;&gt;"",IF(OR(F294=Naturezas!$B$3,F294=Naturezas!$B$4,F294=Naturezas!$B$5,F294=Naturezas!$B$17,F294=Naturezas!$B$18,F294=Naturezas!$B$19),H294,-H294),"")</f>
        <v/>
      </c>
      <c r="V294" s="4" t="str">
        <f t="shared" si="25"/>
        <v/>
      </c>
      <c r="W294" s="4"/>
      <c r="X294" s="4" t="str">
        <f t="shared" si="26"/>
        <v/>
      </c>
      <c r="Y294" s="6" t="str">
        <f>IF(F294&lt;&gt;"",Tabela1[[#This Row],[Iniciais]],"")</f>
        <v/>
      </c>
      <c r="AA294" s="6" t="str">
        <f>IF($F294&lt;&gt;"",RIGHT(Tabela1[[#This Row],[Ref.]],2),"")</f>
        <v/>
      </c>
      <c r="AB294" s="46" t="str">
        <f>IF($F294&lt;&gt;"",DATE(LEFT(Tabela1[[#This Row],[Ref.]],4),RIGHT(Tabela1[[#This Row],[Ref.]],2),1),"")</f>
        <v/>
      </c>
      <c r="AC294" s="4" t="str">
        <f t="shared" si="27"/>
        <v/>
      </c>
      <c r="AD294" s="5" t="str">
        <f t="shared" si="28"/>
        <v/>
      </c>
      <c r="AE294" s="4"/>
      <c r="AF294" s="6" t="str">
        <f t="shared" si="29"/>
        <v/>
      </c>
    </row>
    <row r="295" spans="1:32" ht="15.75" customHeight="1" x14ac:dyDescent="0.2">
      <c r="A295" s="42"/>
      <c r="B295" s="44"/>
      <c r="C295" s="41"/>
      <c r="D295" s="41"/>
      <c r="E295" s="41"/>
      <c r="F295" s="11"/>
      <c r="G295" s="11"/>
      <c r="H295" s="43"/>
      <c r="K295" s="25"/>
      <c r="M295" s="31"/>
      <c r="N295" s="31"/>
      <c r="O295" s="33"/>
      <c r="Q295" s="6" t="str">
        <f>IF($F295&lt;&gt;"",RIGHT(Tabela1[[#This Row],[Ref.]],2),"")</f>
        <v/>
      </c>
      <c r="R295" s="6" t="str">
        <f t="shared" si="24"/>
        <v/>
      </c>
      <c r="S295" s="4" t="str">
        <f>IF($F295&lt;&gt;"",_xlfn.XLOOKUP(F295,Naturezas!B:B,Naturezas!E:E,"",0,1),"")</f>
        <v/>
      </c>
      <c r="T295" s="4" t="str">
        <f>IF($F295&lt;&gt;"",_xlfn.XLOOKUP($F295,Naturezas!B:B,Naturezas!D:D,"",0,1),"")</f>
        <v/>
      </c>
      <c r="U295" s="5" t="str">
        <f>IF(F295&lt;&gt;"",IF(OR(F295=Naturezas!$B$3,F295=Naturezas!$B$4,F295=Naturezas!$B$5,F295=Naturezas!$B$17,F295=Naturezas!$B$18,F295=Naturezas!$B$19),H295,-H295),"")</f>
        <v/>
      </c>
      <c r="V295" s="4" t="str">
        <f t="shared" si="25"/>
        <v/>
      </c>
      <c r="W295" s="4"/>
      <c r="X295" s="4" t="str">
        <f t="shared" si="26"/>
        <v/>
      </c>
      <c r="Y295" s="6" t="str">
        <f>IF(F295&lt;&gt;"",Tabela1[[#This Row],[Iniciais]],"")</f>
        <v/>
      </c>
      <c r="AA295" s="6" t="str">
        <f>IF($F295&lt;&gt;"",RIGHT(Tabela1[[#This Row],[Ref.]],2),"")</f>
        <v/>
      </c>
      <c r="AB295" s="46" t="str">
        <f>IF($F295&lt;&gt;"",DATE(LEFT(Tabela1[[#This Row],[Ref.]],4),RIGHT(Tabela1[[#This Row],[Ref.]],2),1),"")</f>
        <v/>
      </c>
      <c r="AC295" s="4" t="str">
        <f t="shared" si="27"/>
        <v/>
      </c>
      <c r="AD295" s="5" t="str">
        <f t="shared" si="28"/>
        <v/>
      </c>
      <c r="AE295" s="4"/>
      <c r="AF295" s="6" t="str">
        <f t="shared" si="29"/>
        <v/>
      </c>
    </row>
    <row r="296" spans="1:32" ht="15.75" customHeight="1" x14ac:dyDescent="0.2">
      <c r="A296" s="42"/>
      <c r="B296" s="44"/>
      <c r="C296" s="41"/>
      <c r="D296" s="41"/>
      <c r="E296" s="41"/>
      <c r="F296" s="11"/>
      <c r="G296" s="11"/>
      <c r="H296" s="43"/>
      <c r="K296" s="25"/>
      <c r="M296" s="31"/>
      <c r="N296" s="31"/>
      <c r="O296" s="33"/>
      <c r="Q296" s="6" t="str">
        <f>IF($F296&lt;&gt;"",RIGHT(Tabela1[[#This Row],[Ref.]],2),"")</f>
        <v/>
      </c>
      <c r="R296" s="6" t="str">
        <f t="shared" si="24"/>
        <v/>
      </c>
      <c r="S296" s="4" t="str">
        <f>IF($F296&lt;&gt;"",_xlfn.XLOOKUP(F296,Naturezas!B:B,Naturezas!E:E,"",0,1),"")</f>
        <v/>
      </c>
      <c r="T296" s="4" t="str">
        <f>IF($F296&lt;&gt;"",_xlfn.XLOOKUP($F296,Naturezas!B:B,Naturezas!D:D,"",0,1),"")</f>
        <v/>
      </c>
      <c r="U296" s="5" t="str">
        <f>IF(F296&lt;&gt;"",IF(OR(F296=Naturezas!$B$3,F296=Naturezas!$B$4,F296=Naturezas!$B$5,F296=Naturezas!$B$17,F296=Naturezas!$B$18,F296=Naturezas!$B$19),H296,-H296),"")</f>
        <v/>
      </c>
      <c r="V296" s="4" t="str">
        <f t="shared" si="25"/>
        <v/>
      </c>
      <c r="W296" s="4"/>
      <c r="X296" s="4" t="str">
        <f t="shared" si="26"/>
        <v/>
      </c>
      <c r="Y296" s="6" t="str">
        <f>IF(F296&lt;&gt;"",Tabela1[[#This Row],[Iniciais]],"")</f>
        <v/>
      </c>
      <c r="AA296" s="6" t="str">
        <f>IF($F296&lt;&gt;"",RIGHT(Tabela1[[#This Row],[Ref.]],2),"")</f>
        <v/>
      </c>
      <c r="AB296" s="46" t="str">
        <f>IF($F296&lt;&gt;"",DATE(LEFT(Tabela1[[#This Row],[Ref.]],4),RIGHT(Tabela1[[#This Row],[Ref.]],2),1),"")</f>
        <v/>
      </c>
      <c r="AC296" s="4" t="str">
        <f t="shared" si="27"/>
        <v/>
      </c>
      <c r="AD296" s="5" t="str">
        <f t="shared" si="28"/>
        <v/>
      </c>
      <c r="AE296" s="4"/>
      <c r="AF296" s="6" t="str">
        <f t="shared" si="29"/>
        <v/>
      </c>
    </row>
    <row r="297" spans="1:32" ht="15.75" customHeight="1" x14ac:dyDescent="0.2">
      <c r="A297" s="42"/>
      <c r="B297" s="44"/>
      <c r="C297" s="41"/>
      <c r="D297" s="41"/>
      <c r="E297" s="41"/>
      <c r="F297" s="11"/>
      <c r="G297" s="11"/>
      <c r="H297" s="43"/>
      <c r="K297" s="25"/>
      <c r="M297" s="31"/>
      <c r="N297" s="31"/>
      <c r="O297" s="33"/>
      <c r="Q297" s="6" t="str">
        <f>IF($F297&lt;&gt;"",RIGHT(Tabela1[[#This Row],[Ref.]],2),"")</f>
        <v/>
      </c>
      <c r="R297" s="6" t="str">
        <f t="shared" si="24"/>
        <v/>
      </c>
      <c r="S297" s="4" t="str">
        <f>IF($F297&lt;&gt;"",_xlfn.XLOOKUP(F297,Naturezas!B:B,Naturezas!E:E,"",0,1),"")</f>
        <v/>
      </c>
      <c r="T297" s="4" t="str">
        <f>IF($F297&lt;&gt;"",_xlfn.XLOOKUP($F297,Naturezas!B:B,Naturezas!D:D,"",0,1),"")</f>
        <v/>
      </c>
      <c r="U297" s="5" t="str">
        <f>IF(F297&lt;&gt;"",IF(OR(F297=Naturezas!$B$3,F297=Naturezas!$B$4,F297=Naturezas!$B$5,F297=Naturezas!$B$17,F297=Naturezas!$B$18,F297=Naturezas!$B$19),H297,-H297),"")</f>
        <v/>
      </c>
      <c r="V297" s="4" t="str">
        <f t="shared" si="25"/>
        <v/>
      </c>
      <c r="W297" s="4"/>
      <c r="X297" s="4" t="str">
        <f t="shared" si="26"/>
        <v/>
      </c>
      <c r="Y297" s="6" t="str">
        <f>IF(F297&lt;&gt;"",Tabela1[[#This Row],[Iniciais]],"")</f>
        <v/>
      </c>
      <c r="AA297" s="6" t="str">
        <f>IF($F297&lt;&gt;"",RIGHT(Tabela1[[#This Row],[Ref.]],2),"")</f>
        <v/>
      </c>
      <c r="AB297" s="46" t="str">
        <f>IF($F297&lt;&gt;"",DATE(LEFT(Tabela1[[#This Row],[Ref.]],4),RIGHT(Tabela1[[#This Row],[Ref.]],2),1),"")</f>
        <v/>
      </c>
      <c r="AC297" s="4" t="str">
        <f t="shared" si="27"/>
        <v/>
      </c>
      <c r="AD297" s="5" t="str">
        <f t="shared" si="28"/>
        <v/>
      </c>
      <c r="AE297" s="4"/>
      <c r="AF297" s="6" t="str">
        <f t="shared" si="29"/>
        <v/>
      </c>
    </row>
    <row r="298" spans="1:32" ht="15.75" customHeight="1" x14ac:dyDescent="0.2">
      <c r="A298" s="42"/>
      <c r="B298" s="44"/>
      <c r="C298" s="41"/>
      <c r="D298" s="41"/>
      <c r="E298" s="41"/>
      <c r="F298" s="11"/>
      <c r="G298" s="11"/>
      <c r="H298" s="43"/>
      <c r="K298" s="25"/>
      <c r="M298" s="31"/>
      <c r="N298" s="31"/>
      <c r="O298" s="33"/>
      <c r="Q298" s="6" t="str">
        <f>IF($F298&lt;&gt;"",RIGHT(Tabela1[[#This Row],[Ref.]],2),"")</f>
        <v/>
      </c>
      <c r="R298" s="6" t="str">
        <f t="shared" si="24"/>
        <v/>
      </c>
      <c r="S298" s="4" t="str">
        <f>IF($F298&lt;&gt;"",_xlfn.XLOOKUP(F298,Naturezas!B:B,Naturezas!E:E,"",0,1),"")</f>
        <v/>
      </c>
      <c r="T298" s="4" t="str">
        <f>IF($F298&lt;&gt;"",_xlfn.XLOOKUP($F298,Naturezas!B:B,Naturezas!D:D,"",0,1),"")</f>
        <v/>
      </c>
      <c r="U298" s="5" t="str">
        <f>IF(F298&lt;&gt;"",IF(OR(F298=Naturezas!$B$3,F298=Naturezas!$B$4,F298=Naturezas!$B$5,F298=Naturezas!$B$17,F298=Naturezas!$B$18,F298=Naturezas!$B$19),H298,-H298),"")</f>
        <v/>
      </c>
      <c r="V298" s="4" t="str">
        <f t="shared" si="25"/>
        <v/>
      </c>
      <c r="W298" s="4"/>
      <c r="X298" s="4" t="str">
        <f t="shared" si="26"/>
        <v/>
      </c>
      <c r="Y298" s="6" t="str">
        <f>IF(F298&lt;&gt;"",Tabela1[[#This Row],[Iniciais]],"")</f>
        <v/>
      </c>
      <c r="AA298" s="6" t="str">
        <f>IF($F298&lt;&gt;"",RIGHT(Tabela1[[#This Row],[Ref.]],2),"")</f>
        <v/>
      </c>
      <c r="AB298" s="46" t="str">
        <f>IF($F298&lt;&gt;"",DATE(LEFT(Tabela1[[#This Row],[Ref.]],4),RIGHT(Tabela1[[#This Row],[Ref.]],2),1),"")</f>
        <v/>
      </c>
      <c r="AC298" s="4" t="str">
        <f t="shared" si="27"/>
        <v/>
      </c>
      <c r="AD298" s="5" t="str">
        <f t="shared" si="28"/>
        <v/>
      </c>
      <c r="AE298" s="4"/>
      <c r="AF298" s="6" t="str">
        <f t="shared" si="29"/>
        <v/>
      </c>
    </row>
    <row r="299" spans="1:32" ht="15.75" customHeight="1" x14ac:dyDescent="0.2">
      <c r="A299" s="42"/>
      <c r="B299" s="44"/>
      <c r="C299" s="41"/>
      <c r="D299" s="41"/>
      <c r="E299" s="41"/>
      <c r="F299" s="11"/>
      <c r="G299" s="11"/>
      <c r="H299" s="43"/>
      <c r="K299" s="25"/>
      <c r="M299" s="31"/>
      <c r="N299" s="31"/>
      <c r="O299" s="33"/>
      <c r="Q299" s="6" t="str">
        <f>IF($F299&lt;&gt;"",RIGHT(Tabela1[[#This Row],[Ref.]],2),"")</f>
        <v/>
      </c>
      <c r="R299" s="6" t="str">
        <f t="shared" si="24"/>
        <v/>
      </c>
      <c r="S299" s="4" t="str">
        <f>IF($F299&lt;&gt;"",_xlfn.XLOOKUP(F299,Naturezas!B:B,Naturezas!E:E,"",0,1),"")</f>
        <v/>
      </c>
      <c r="T299" s="4" t="str">
        <f>IF($F299&lt;&gt;"",_xlfn.XLOOKUP($F299,Naturezas!B:B,Naturezas!D:D,"",0,1),"")</f>
        <v/>
      </c>
      <c r="U299" s="5" t="str">
        <f>IF(F299&lt;&gt;"",IF(OR(F299=Naturezas!$B$3,F299=Naturezas!$B$4,F299=Naturezas!$B$5,F299=Naturezas!$B$17,F299=Naturezas!$B$18,F299=Naturezas!$B$19),H299,-H299),"")</f>
        <v/>
      </c>
      <c r="V299" s="4" t="str">
        <f t="shared" si="25"/>
        <v/>
      </c>
      <c r="W299" s="4"/>
      <c r="X299" s="4" t="str">
        <f t="shared" si="26"/>
        <v/>
      </c>
      <c r="Y299" s="6" t="str">
        <f>IF(F299&lt;&gt;"",Tabela1[[#This Row],[Iniciais]],"")</f>
        <v/>
      </c>
      <c r="AA299" s="6" t="str">
        <f>IF($F299&lt;&gt;"",RIGHT(Tabela1[[#This Row],[Ref.]],2),"")</f>
        <v/>
      </c>
      <c r="AB299" s="46" t="str">
        <f>IF($F299&lt;&gt;"",DATE(LEFT(Tabela1[[#This Row],[Ref.]],4),RIGHT(Tabela1[[#This Row],[Ref.]],2),1),"")</f>
        <v/>
      </c>
      <c r="AC299" s="4" t="str">
        <f t="shared" si="27"/>
        <v/>
      </c>
      <c r="AD299" s="5" t="str">
        <f t="shared" si="28"/>
        <v/>
      </c>
      <c r="AE299" s="4"/>
      <c r="AF299" s="6" t="str">
        <f t="shared" si="29"/>
        <v/>
      </c>
    </row>
    <row r="300" spans="1:32" ht="15.75" customHeight="1" x14ac:dyDescent="0.2">
      <c r="A300" s="42"/>
      <c r="B300" s="44"/>
      <c r="C300" s="41"/>
      <c r="D300" s="41"/>
      <c r="E300" s="41"/>
      <c r="F300" s="11"/>
      <c r="G300" s="11"/>
      <c r="H300" s="43"/>
      <c r="K300" s="25"/>
      <c r="M300" s="31"/>
      <c r="N300" s="31"/>
      <c r="O300" s="33"/>
      <c r="Q300" s="6" t="str">
        <f>IF($F300&lt;&gt;"",RIGHT(Tabela1[[#This Row],[Ref.]],2),"")</f>
        <v/>
      </c>
      <c r="R300" s="6" t="str">
        <f t="shared" si="24"/>
        <v/>
      </c>
      <c r="S300" s="4" t="str">
        <f>IF($F300&lt;&gt;"",_xlfn.XLOOKUP(F300,Naturezas!B:B,Naturezas!E:E,"",0,1),"")</f>
        <v/>
      </c>
      <c r="T300" s="4" t="str">
        <f>IF($F300&lt;&gt;"",_xlfn.XLOOKUP($F300,Naturezas!B:B,Naturezas!D:D,"",0,1),"")</f>
        <v/>
      </c>
      <c r="U300" s="5" t="str">
        <f>IF(F300&lt;&gt;"",IF(OR(F300=Naturezas!$B$3,F300=Naturezas!$B$4,F300=Naturezas!$B$5,F300=Naturezas!$B$17,F300=Naturezas!$B$18,F300=Naturezas!$B$19),H300,-H300),"")</f>
        <v/>
      </c>
      <c r="V300" s="4" t="str">
        <f t="shared" si="25"/>
        <v/>
      </c>
      <c r="W300" s="4"/>
      <c r="X300" s="4" t="str">
        <f t="shared" si="26"/>
        <v/>
      </c>
      <c r="Y300" s="6" t="str">
        <f>IF(F300&lt;&gt;"",Tabela1[[#This Row],[Iniciais]],"")</f>
        <v/>
      </c>
      <c r="AA300" s="6" t="str">
        <f>IF($F300&lt;&gt;"",RIGHT(Tabela1[[#This Row],[Ref.]],2),"")</f>
        <v/>
      </c>
      <c r="AB300" s="46" t="str">
        <f>IF($F300&lt;&gt;"",DATE(LEFT(Tabela1[[#This Row],[Ref.]],4),RIGHT(Tabela1[[#This Row],[Ref.]],2),1),"")</f>
        <v/>
      </c>
      <c r="AC300" s="4" t="str">
        <f t="shared" si="27"/>
        <v/>
      </c>
      <c r="AD300" s="5" t="str">
        <f t="shared" si="28"/>
        <v/>
      </c>
      <c r="AE300" s="4"/>
      <c r="AF300" s="6" t="str">
        <f t="shared" si="29"/>
        <v/>
      </c>
    </row>
    <row r="301" spans="1:32" ht="15.75" customHeight="1" x14ac:dyDescent="0.2">
      <c r="A301" s="42"/>
      <c r="B301" s="44"/>
      <c r="C301" s="41"/>
      <c r="D301" s="41"/>
      <c r="E301" s="41"/>
      <c r="F301" s="11"/>
      <c r="G301" s="11"/>
      <c r="H301" s="43"/>
      <c r="K301" s="25"/>
      <c r="M301" s="31"/>
      <c r="N301" s="31"/>
      <c r="O301" s="33"/>
      <c r="Q301" s="6" t="str">
        <f>IF($F301&lt;&gt;"",RIGHT(Tabela1[[#This Row],[Ref.]],2),"")</f>
        <v/>
      </c>
      <c r="R301" s="6" t="str">
        <f t="shared" si="24"/>
        <v/>
      </c>
      <c r="S301" s="4" t="str">
        <f>IF($F301&lt;&gt;"",_xlfn.XLOOKUP(F301,Naturezas!B:B,Naturezas!E:E,"",0,1),"")</f>
        <v/>
      </c>
      <c r="T301" s="4" t="str">
        <f>IF($F301&lt;&gt;"",_xlfn.XLOOKUP($F301,Naturezas!B:B,Naturezas!D:D,"",0,1),"")</f>
        <v/>
      </c>
      <c r="U301" s="5" t="str">
        <f>IF(F301&lt;&gt;"",IF(OR(F301=Naturezas!$B$3,F301=Naturezas!$B$4,F301=Naturezas!$B$5,F301=Naturezas!$B$17,F301=Naturezas!$B$18,F301=Naturezas!$B$19),H301,-H301),"")</f>
        <v/>
      </c>
      <c r="V301" s="4" t="str">
        <f t="shared" si="25"/>
        <v/>
      </c>
      <c r="W301" s="4"/>
      <c r="X301" s="4" t="str">
        <f t="shared" si="26"/>
        <v/>
      </c>
      <c r="Y301" s="6" t="str">
        <f>IF(F301&lt;&gt;"",Tabela1[[#This Row],[Iniciais]],"")</f>
        <v/>
      </c>
      <c r="AA301" s="6" t="str">
        <f>IF($F301&lt;&gt;"",RIGHT(Tabela1[[#This Row],[Ref.]],2),"")</f>
        <v/>
      </c>
      <c r="AB301" s="46" t="str">
        <f>IF($F301&lt;&gt;"",DATE(LEFT(Tabela1[[#This Row],[Ref.]],4),RIGHT(Tabela1[[#This Row],[Ref.]],2),1),"")</f>
        <v/>
      </c>
      <c r="AC301" s="4" t="str">
        <f t="shared" si="27"/>
        <v/>
      </c>
      <c r="AD301" s="5" t="str">
        <f t="shared" si="28"/>
        <v/>
      </c>
      <c r="AE301" s="4"/>
      <c r="AF301" s="6" t="str">
        <f t="shared" si="29"/>
        <v/>
      </c>
    </row>
    <row r="302" spans="1:32" ht="15.75" customHeight="1" x14ac:dyDescent="0.2">
      <c r="A302" s="42"/>
      <c r="B302" s="44"/>
      <c r="C302" s="41"/>
      <c r="D302" s="41"/>
      <c r="E302" s="41"/>
      <c r="F302" s="11"/>
      <c r="G302" s="11"/>
      <c r="H302" s="43"/>
      <c r="K302" s="25"/>
      <c r="M302" s="31"/>
      <c r="N302" s="31"/>
      <c r="O302" s="33"/>
      <c r="Q302" s="6" t="str">
        <f>IF($F302&lt;&gt;"",RIGHT(Tabela1[[#This Row],[Ref.]],2),"")</f>
        <v/>
      </c>
      <c r="R302" s="6" t="str">
        <f t="shared" si="24"/>
        <v/>
      </c>
      <c r="S302" s="4" t="str">
        <f>IF($F302&lt;&gt;"",_xlfn.XLOOKUP(F302,Naturezas!B:B,Naturezas!E:E,"",0,1),"")</f>
        <v/>
      </c>
      <c r="T302" s="4" t="str">
        <f>IF($F302&lt;&gt;"",_xlfn.XLOOKUP($F302,Naturezas!B:B,Naturezas!D:D,"",0,1),"")</f>
        <v/>
      </c>
      <c r="U302" s="5" t="str">
        <f>IF(F302&lt;&gt;"",IF(OR(F302=Naturezas!$B$3,F302=Naturezas!$B$4,F302=Naturezas!$B$5,F302=Naturezas!$B$17,F302=Naturezas!$B$18,F302=Naturezas!$B$19),H302,-H302),"")</f>
        <v/>
      </c>
      <c r="V302" s="4" t="str">
        <f t="shared" si="25"/>
        <v/>
      </c>
      <c r="W302" s="4"/>
      <c r="X302" s="4" t="str">
        <f t="shared" si="26"/>
        <v/>
      </c>
      <c r="Y302" s="6" t="str">
        <f>IF(F302&lt;&gt;"",Tabela1[[#This Row],[Iniciais]],"")</f>
        <v/>
      </c>
      <c r="AA302" s="6" t="str">
        <f>IF($F302&lt;&gt;"",RIGHT(Tabela1[[#This Row],[Ref.]],2),"")</f>
        <v/>
      </c>
      <c r="AB302" s="46" t="str">
        <f>IF($F302&lt;&gt;"",DATE(LEFT(Tabela1[[#This Row],[Ref.]],4),RIGHT(Tabela1[[#This Row],[Ref.]],2),1),"")</f>
        <v/>
      </c>
      <c r="AC302" s="4" t="str">
        <f t="shared" si="27"/>
        <v/>
      </c>
      <c r="AD302" s="5" t="str">
        <f t="shared" si="28"/>
        <v/>
      </c>
      <c r="AE302" s="4"/>
      <c r="AF302" s="6" t="str">
        <f t="shared" si="29"/>
        <v/>
      </c>
    </row>
    <row r="303" spans="1:32" ht="15.75" customHeight="1" x14ac:dyDescent="0.2">
      <c r="A303" s="42"/>
      <c r="B303" s="44"/>
      <c r="C303" s="41"/>
      <c r="D303" s="41"/>
      <c r="E303" s="41"/>
      <c r="F303" s="11"/>
      <c r="G303" s="11"/>
      <c r="H303" s="43"/>
      <c r="K303" s="25"/>
      <c r="M303" s="31"/>
      <c r="N303" s="31"/>
      <c r="O303" s="33"/>
      <c r="Q303" s="6" t="str">
        <f>IF($F303&lt;&gt;"",RIGHT(Tabela1[[#This Row],[Ref.]],2),"")</f>
        <v/>
      </c>
      <c r="R303" s="6" t="str">
        <f t="shared" si="24"/>
        <v/>
      </c>
      <c r="S303" s="4" t="str">
        <f>IF($F303&lt;&gt;"",_xlfn.XLOOKUP(F303,Naturezas!B:B,Naturezas!E:E,"",0,1),"")</f>
        <v/>
      </c>
      <c r="T303" s="4" t="str">
        <f>IF($F303&lt;&gt;"",_xlfn.XLOOKUP($F303,Naturezas!B:B,Naturezas!D:D,"",0,1),"")</f>
        <v/>
      </c>
      <c r="U303" s="5" t="str">
        <f>IF(F303&lt;&gt;"",IF(OR(F303=Naturezas!$B$3,F303=Naturezas!$B$4,F303=Naturezas!$B$5,F303=Naturezas!$B$17,F303=Naturezas!$B$18,F303=Naturezas!$B$19),H303,-H303),"")</f>
        <v/>
      </c>
      <c r="V303" s="4" t="str">
        <f t="shared" si="25"/>
        <v/>
      </c>
      <c r="W303" s="4"/>
      <c r="X303" s="4" t="str">
        <f t="shared" si="26"/>
        <v/>
      </c>
      <c r="Y303" s="6" t="str">
        <f>IF(F303&lt;&gt;"",Tabela1[[#This Row],[Iniciais]],"")</f>
        <v/>
      </c>
      <c r="AA303" s="6" t="str">
        <f>IF($F303&lt;&gt;"",RIGHT(Tabela1[[#This Row],[Ref.]],2),"")</f>
        <v/>
      </c>
      <c r="AB303" s="46" t="str">
        <f>IF($F303&lt;&gt;"",DATE(LEFT(Tabela1[[#This Row],[Ref.]],4),RIGHT(Tabela1[[#This Row],[Ref.]],2),1),"")</f>
        <v/>
      </c>
      <c r="AC303" s="4" t="str">
        <f t="shared" si="27"/>
        <v/>
      </c>
      <c r="AD303" s="5" t="str">
        <f t="shared" si="28"/>
        <v/>
      </c>
      <c r="AE303" s="4"/>
      <c r="AF303" s="6" t="str">
        <f t="shared" si="29"/>
        <v/>
      </c>
    </row>
    <row r="304" spans="1:32" ht="15.75" customHeight="1" x14ac:dyDescent="0.2">
      <c r="A304" s="42"/>
      <c r="B304" s="44"/>
      <c r="C304" s="41"/>
      <c r="D304" s="41"/>
      <c r="E304" s="41"/>
      <c r="F304" s="11"/>
      <c r="G304" s="11"/>
      <c r="H304" s="43"/>
      <c r="K304" s="25"/>
      <c r="M304" s="31"/>
      <c r="N304" s="31"/>
      <c r="O304" s="33"/>
      <c r="Q304" s="6" t="str">
        <f>IF($F304&lt;&gt;"",RIGHT(Tabela1[[#This Row],[Ref.]],2),"")</f>
        <v/>
      </c>
      <c r="R304" s="6" t="str">
        <f t="shared" si="24"/>
        <v/>
      </c>
      <c r="S304" s="4" t="str">
        <f>IF($F304&lt;&gt;"",_xlfn.XLOOKUP(F304,Naturezas!B:B,Naturezas!E:E,"",0,1),"")</f>
        <v/>
      </c>
      <c r="T304" s="4" t="str">
        <f>IF($F304&lt;&gt;"",_xlfn.XLOOKUP($F304,Naturezas!B:B,Naturezas!D:D,"",0,1),"")</f>
        <v/>
      </c>
      <c r="U304" s="5" t="str">
        <f>IF(F304&lt;&gt;"",IF(OR(F304=Naturezas!$B$3,F304=Naturezas!$B$4,F304=Naturezas!$B$5,F304=Naturezas!$B$17,F304=Naturezas!$B$18,F304=Naturezas!$B$19),H304,-H304),"")</f>
        <v/>
      </c>
      <c r="V304" s="4" t="str">
        <f t="shared" si="25"/>
        <v/>
      </c>
      <c r="W304" s="4"/>
      <c r="X304" s="4" t="str">
        <f t="shared" si="26"/>
        <v/>
      </c>
      <c r="Y304" s="6" t="str">
        <f>IF(F304&lt;&gt;"",Tabela1[[#This Row],[Iniciais]],"")</f>
        <v/>
      </c>
      <c r="AA304" s="6" t="str">
        <f>IF($F304&lt;&gt;"",RIGHT(Tabela1[[#This Row],[Ref.]],2),"")</f>
        <v/>
      </c>
      <c r="AB304" s="46" t="str">
        <f>IF($F304&lt;&gt;"",DATE(LEFT(Tabela1[[#This Row],[Ref.]],4),RIGHT(Tabela1[[#This Row],[Ref.]],2),1),"")</f>
        <v/>
      </c>
      <c r="AC304" s="4" t="str">
        <f t="shared" si="27"/>
        <v/>
      </c>
      <c r="AD304" s="5" t="str">
        <f t="shared" si="28"/>
        <v/>
      </c>
      <c r="AE304" s="4"/>
      <c r="AF304" s="6" t="str">
        <f t="shared" si="29"/>
        <v/>
      </c>
    </row>
    <row r="305" spans="1:32" ht="15.75" customHeight="1" x14ac:dyDescent="0.2">
      <c r="A305" s="42"/>
      <c r="B305" s="44"/>
      <c r="C305" s="41"/>
      <c r="D305" s="41"/>
      <c r="E305" s="41"/>
      <c r="F305" s="11"/>
      <c r="G305" s="11"/>
      <c r="H305" s="43"/>
      <c r="K305" s="25"/>
      <c r="M305" s="31"/>
      <c r="N305" s="31"/>
      <c r="O305" s="33"/>
      <c r="Q305" s="6" t="str">
        <f>IF($F305&lt;&gt;"",RIGHT(Tabela1[[#This Row],[Ref.]],2),"")</f>
        <v/>
      </c>
      <c r="R305" s="6" t="str">
        <f t="shared" si="24"/>
        <v/>
      </c>
      <c r="S305" s="4" t="str">
        <f>IF($F305&lt;&gt;"",_xlfn.XLOOKUP(F305,Naturezas!B:B,Naturezas!E:E,"",0,1),"")</f>
        <v/>
      </c>
      <c r="T305" s="4" t="str">
        <f>IF($F305&lt;&gt;"",_xlfn.XLOOKUP($F305,Naturezas!B:B,Naturezas!D:D,"",0,1),"")</f>
        <v/>
      </c>
      <c r="U305" s="5" t="str">
        <f>IF(F305&lt;&gt;"",IF(OR(F305=Naturezas!$B$3,F305=Naturezas!$B$4,F305=Naturezas!$B$5,F305=Naturezas!$B$17,F305=Naturezas!$B$18,F305=Naturezas!$B$19),H305,-H305),"")</f>
        <v/>
      </c>
      <c r="V305" s="4" t="str">
        <f t="shared" si="25"/>
        <v/>
      </c>
      <c r="W305" s="4"/>
      <c r="X305" s="4" t="str">
        <f t="shared" si="26"/>
        <v/>
      </c>
      <c r="Y305" s="6" t="str">
        <f>IF(F305&lt;&gt;"",Tabela1[[#This Row],[Iniciais]],"")</f>
        <v/>
      </c>
      <c r="AA305" s="6" t="str">
        <f>IF($F305&lt;&gt;"",RIGHT(Tabela1[[#This Row],[Ref.]],2),"")</f>
        <v/>
      </c>
      <c r="AB305" s="46" t="str">
        <f>IF($F305&lt;&gt;"",DATE(LEFT(Tabela1[[#This Row],[Ref.]],4),RIGHT(Tabela1[[#This Row],[Ref.]],2),1),"")</f>
        <v/>
      </c>
      <c r="AC305" s="4" t="str">
        <f t="shared" si="27"/>
        <v/>
      </c>
      <c r="AD305" s="5" t="str">
        <f t="shared" si="28"/>
        <v/>
      </c>
      <c r="AE305" s="4"/>
      <c r="AF305" s="6" t="str">
        <f t="shared" si="29"/>
        <v/>
      </c>
    </row>
    <row r="306" spans="1:32" ht="15.75" customHeight="1" x14ac:dyDescent="0.2">
      <c r="A306" s="42"/>
      <c r="B306" s="44"/>
      <c r="C306" s="41"/>
      <c r="D306" s="41"/>
      <c r="E306" s="41"/>
      <c r="F306" s="11"/>
      <c r="G306" s="11"/>
      <c r="H306" s="43"/>
      <c r="K306" s="25"/>
      <c r="M306" s="31"/>
      <c r="N306" s="31"/>
      <c r="O306" s="33"/>
      <c r="Q306" s="6" t="str">
        <f>IF($F306&lt;&gt;"",RIGHT(Tabela1[[#This Row],[Ref.]],2),"")</f>
        <v/>
      </c>
      <c r="R306" s="6" t="str">
        <f t="shared" si="24"/>
        <v/>
      </c>
      <c r="S306" s="4" t="str">
        <f>IF($F306&lt;&gt;"",_xlfn.XLOOKUP(F306,Naturezas!B:B,Naturezas!E:E,"",0,1),"")</f>
        <v/>
      </c>
      <c r="T306" s="4" t="str">
        <f>IF($F306&lt;&gt;"",_xlfn.XLOOKUP($F306,Naturezas!B:B,Naturezas!D:D,"",0,1),"")</f>
        <v/>
      </c>
      <c r="U306" s="5" t="str">
        <f>IF(F306&lt;&gt;"",IF(OR(F306=Naturezas!$B$3,F306=Naturezas!$B$4,F306=Naturezas!$B$5,F306=Naturezas!$B$17,F306=Naturezas!$B$18,F306=Naturezas!$B$19),H306,-H306),"")</f>
        <v/>
      </c>
      <c r="V306" s="4" t="str">
        <f t="shared" si="25"/>
        <v/>
      </c>
      <c r="W306" s="4"/>
      <c r="X306" s="4" t="str">
        <f t="shared" si="26"/>
        <v/>
      </c>
      <c r="Y306" s="6" t="str">
        <f>IF(F306&lt;&gt;"",Tabela1[[#This Row],[Iniciais]],"")</f>
        <v/>
      </c>
      <c r="AA306" s="6" t="str">
        <f>IF($F306&lt;&gt;"",RIGHT(Tabela1[[#This Row],[Ref.]],2),"")</f>
        <v/>
      </c>
      <c r="AB306" s="46" t="str">
        <f>IF($F306&lt;&gt;"",DATE(LEFT(Tabela1[[#This Row],[Ref.]],4),RIGHT(Tabela1[[#This Row],[Ref.]],2),1),"")</f>
        <v/>
      </c>
      <c r="AC306" s="4" t="str">
        <f t="shared" si="27"/>
        <v/>
      </c>
      <c r="AD306" s="5" t="str">
        <f t="shared" si="28"/>
        <v/>
      </c>
      <c r="AE306" s="4"/>
      <c r="AF306" s="6" t="str">
        <f t="shared" si="29"/>
        <v/>
      </c>
    </row>
    <row r="307" spans="1:32" ht="15.75" customHeight="1" x14ac:dyDescent="0.2">
      <c r="A307" s="42"/>
      <c r="B307" s="44"/>
      <c r="C307" s="41"/>
      <c r="D307" s="41"/>
      <c r="E307" s="41"/>
      <c r="F307" s="11"/>
      <c r="G307" s="11"/>
      <c r="H307" s="43"/>
      <c r="K307" s="25"/>
      <c r="M307" s="31"/>
      <c r="N307" s="31"/>
      <c r="O307" s="33"/>
      <c r="Q307" s="6" t="str">
        <f>IF($F307&lt;&gt;"",RIGHT(Tabela1[[#This Row],[Ref.]],2),"")</f>
        <v/>
      </c>
      <c r="R307" s="6" t="str">
        <f t="shared" si="24"/>
        <v/>
      </c>
      <c r="S307" s="4" t="str">
        <f>IF($F307&lt;&gt;"",_xlfn.XLOOKUP(F307,Naturezas!B:B,Naturezas!E:E,"",0,1),"")</f>
        <v/>
      </c>
      <c r="T307" s="4" t="str">
        <f>IF($F307&lt;&gt;"",_xlfn.XLOOKUP($F307,Naturezas!B:B,Naturezas!D:D,"",0,1),"")</f>
        <v/>
      </c>
      <c r="U307" s="5" t="str">
        <f>IF(F307&lt;&gt;"",IF(OR(F307=Naturezas!$B$3,F307=Naturezas!$B$4,F307=Naturezas!$B$5,F307=Naturezas!$B$17,F307=Naturezas!$B$18,F307=Naturezas!$B$19),H307,-H307),"")</f>
        <v/>
      </c>
      <c r="V307" s="4" t="str">
        <f t="shared" si="25"/>
        <v/>
      </c>
      <c r="W307" s="4"/>
      <c r="X307" s="4" t="str">
        <f t="shared" si="26"/>
        <v/>
      </c>
      <c r="Y307" s="6" t="str">
        <f>IF(F307&lt;&gt;"",Tabela1[[#This Row],[Iniciais]],"")</f>
        <v/>
      </c>
      <c r="AA307" s="6" t="str">
        <f>IF($F307&lt;&gt;"",RIGHT(Tabela1[[#This Row],[Ref.]],2),"")</f>
        <v/>
      </c>
      <c r="AB307" s="46" t="str">
        <f>IF($F307&lt;&gt;"",DATE(LEFT(Tabela1[[#This Row],[Ref.]],4),RIGHT(Tabela1[[#This Row],[Ref.]],2),1),"")</f>
        <v/>
      </c>
      <c r="AC307" s="4" t="str">
        <f t="shared" si="27"/>
        <v/>
      </c>
      <c r="AD307" s="5" t="str">
        <f t="shared" si="28"/>
        <v/>
      </c>
      <c r="AE307" s="4"/>
      <c r="AF307" s="6" t="str">
        <f t="shared" si="29"/>
        <v/>
      </c>
    </row>
    <row r="308" spans="1:32" ht="15.75" customHeight="1" x14ac:dyDescent="0.2">
      <c r="A308" s="42"/>
      <c r="B308" s="44"/>
      <c r="C308" s="41"/>
      <c r="D308" s="41"/>
      <c r="E308" s="41"/>
      <c r="F308" s="11"/>
      <c r="G308" s="11"/>
      <c r="H308" s="43"/>
      <c r="K308" s="25"/>
      <c r="M308" s="31"/>
      <c r="N308" s="31"/>
      <c r="O308" s="33"/>
      <c r="Q308" s="6" t="str">
        <f>IF($F308&lt;&gt;"",RIGHT(Tabela1[[#This Row],[Ref.]],2),"")</f>
        <v/>
      </c>
      <c r="R308" s="6" t="str">
        <f t="shared" si="24"/>
        <v/>
      </c>
      <c r="S308" s="4" t="str">
        <f>IF($F308&lt;&gt;"",_xlfn.XLOOKUP(F308,Naturezas!B:B,Naturezas!E:E,"",0,1),"")</f>
        <v/>
      </c>
      <c r="T308" s="4" t="str">
        <f>IF($F308&lt;&gt;"",_xlfn.XLOOKUP($F308,Naturezas!B:B,Naturezas!D:D,"",0,1),"")</f>
        <v/>
      </c>
      <c r="U308" s="5" t="str">
        <f>IF(F308&lt;&gt;"",IF(OR(F308=Naturezas!$B$3,F308=Naturezas!$B$4,F308=Naturezas!$B$5,F308=Naturezas!$B$17,F308=Naturezas!$B$18,F308=Naturezas!$B$19),H308,-H308),"")</f>
        <v/>
      </c>
      <c r="V308" s="4" t="str">
        <f t="shared" si="25"/>
        <v/>
      </c>
      <c r="W308" s="4"/>
      <c r="X308" s="4" t="str">
        <f t="shared" si="26"/>
        <v/>
      </c>
      <c r="Y308" s="6" t="str">
        <f>IF(F308&lt;&gt;"",Tabela1[[#This Row],[Iniciais]],"")</f>
        <v/>
      </c>
      <c r="AA308" s="6" t="str">
        <f>IF($F308&lt;&gt;"",RIGHT(Tabela1[[#This Row],[Ref.]],2),"")</f>
        <v/>
      </c>
      <c r="AB308" s="46" t="str">
        <f>IF($F308&lt;&gt;"",DATE(LEFT(Tabela1[[#This Row],[Ref.]],4),RIGHT(Tabela1[[#This Row],[Ref.]],2),1),"")</f>
        <v/>
      </c>
      <c r="AC308" s="4" t="str">
        <f t="shared" si="27"/>
        <v/>
      </c>
      <c r="AD308" s="5" t="str">
        <f t="shared" si="28"/>
        <v/>
      </c>
      <c r="AE308" s="4"/>
      <c r="AF308" s="6" t="str">
        <f t="shared" si="29"/>
        <v/>
      </c>
    </row>
    <row r="309" spans="1:32" ht="15.75" customHeight="1" x14ac:dyDescent="0.2">
      <c r="A309" s="42"/>
      <c r="B309" s="44"/>
      <c r="C309" s="41"/>
      <c r="D309" s="41"/>
      <c r="E309" s="41"/>
      <c r="F309" s="11"/>
      <c r="G309" s="11"/>
      <c r="H309" s="43"/>
      <c r="K309" s="25"/>
      <c r="M309" s="31"/>
      <c r="N309" s="31"/>
      <c r="O309" s="33"/>
      <c r="Q309" s="6" t="str">
        <f>IF($F309&lt;&gt;"",RIGHT(Tabela1[[#This Row],[Ref.]],2),"")</f>
        <v/>
      </c>
      <c r="R309" s="6" t="str">
        <f t="shared" si="24"/>
        <v/>
      </c>
      <c r="S309" s="4" t="str">
        <f>IF($F309&lt;&gt;"",_xlfn.XLOOKUP(F309,Naturezas!B:B,Naturezas!E:E,"",0,1),"")</f>
        <v/>
      </c>
      <c r="T309" s="4" t="str">
        <f>IF($F309&lt;&gt;"",_xlfn.XLOOKUP($F309,Naturezas!B:B,Naturezas!D:D,"",0,1),"")</f>
        <v/>
      </c>
      <c r="U309" s="5" t="str">
        <f>IF(F309&lt;&gt;"",IF(OR(F309=Naturezas!$B$3,F309=Naturezas!$B$4,F309=Naturezas!$B$5,F309=Naturezas!$B$17,F309=Naturezas!$B$18,F309=Naturezas!$B$19),H309,-H309),"")</f>
        <v/>
      </c>
      <c r="V309" s="4" t="str">
        <f t="shared" si="25"/>
        <v/>
      </c>
      <c r="W309" s="4"/>
      <c r="X309" s="4" t="str">
        <f t="shared" si="26"/>
        <v/>
      </c>
      <c r="Y309" s="6" t="str">
        <f>IF(F309&lt;&gt;"",Tabela1[[#This Row],[Iniciais]],"")</f>
        <v/>
      </c>
      <c r="AA309" s="6" t="str">
        <f>IF($F309&lt;&gt;"",RIGHT(Tabela1[[#This Row],[Ref.]],2),"")</f>
        <v/>
      </c>
      <c r="AB309" s="46" t="str">
        <f>IF($F309&lt;&gt;"",DATE(LEFT(Tabela1[[#This Row],[Ref.]],4),RIGHT(Tabela1[[#This Row],[Ref.]],2),1),"")</f>
        <v/>
      </c>
      <c r="AC309" s="4" t="str">
        <f t="shared" si="27"/>
        <v/>
      </c>
      <c r="AD309" s="5" t="str">
        <f t="shared" si="28"/>
        <v/>
      </c>
      <c r="AE309" s="4"/>
      <c r="AF309" s="6" t="str">
        <f t="shared" si="29"/>
        <v/>
      </c>
    </row>
    <row r="310" spans="1:32" ht="15.75" customHeight="1" x14ac:dyDescent="0.2">
      <c r="A310" s="42"/>
      <c r="B310" s="44"/>
      <c r="C310" s="41"/>
      <c r="D310" s="41"/>
      <c r="E310" s="41"/>
      <c r="F310" s="11"/>
      <c r="G310" s="11"/>
      <c r="H310" s="43"/>
      <c r="K310" s="25"/>
      <c r="M310" s="31"/>
      <c r="N310" s="31"/>
      <c r="O310" s="33"/>
      <c r="Q310" s="6" t="str">
        <f>IF($F310&lt;&gt;"",RIGHT(Tabela1[[#This Row],[Ref.]],2),"")</f>
        <v/>
      </c>
      <c r="R310" s="6" t="str">
        <f t="shared" si="24"/>
        <v/>
      </c>
      <c r="S310" s="4" t="str">
        <f>IF($F310&lt;&gt;"",_xlfn.XLOOKUP(F310,Naturezas!B:B,Naturezas!E:E,"",0,1),"")</f>
        <v/>
      </c>
      <c r="T310" s="4" t="str">
        <f>IF($F310&lt;&gt;"",_xlfn.XLOOKUP($F310,Naturezas!B:B,Naturezas!D:D,"",0,1),"")</f>
        <v/>
      </c>
      <c r="U310" s="5" t="str">
        <f>IF(F310&lt;&gt;"",IF(OR(F310=Naturezas!$B$3,F310=Naturezas!$B$4,F310=Naturezas!$B$5,F310=Naturezas!$B$17,F310=Naturezas!$B$18,F310=Naturezas!$B$19),H310,-H310),"")</f>
        <v/>
      </c>
      <c r="V310" s="4" t="str">
        <f t="shared" si="25"/>
        <v/>
      </c>
      <c r="W310" s="4"/>
      <c r="X310" s="4" t="str">
        <f t="shared" si="26"/>
        <v/>
      </c>
      <c r="Y310" s="6" t="str">
        <f>IF(F310&lt;&gt;"",Tabela1[[#This Row],[Iniciais]],"")</f>
        <v/>
      </c>
      <c r="AA310" s="6" t="str">
        <f>IF($F310&lt;&gt;"",RIGHT(Tabela1[[#This Row],[Ref.]],2),"")</f>
        <v/>
      </c>
      <c r="AB310" s="46" t="str">
        <f>IF($F310&lt;&gt;"",DATE(LEFT(Tabela1[[#This Row],[Ref.]],4),RIGHT(Tabela1[[#This Row],[Ref.]],2),1),"")</f>
        <v/>
      </c>
      <c r="AC310" s="4" t="str">
        <f t="shared" si="27"/>
        <v/>
      </c>
      <c r="AD310" s="5" t="str">
        <f t="shared" si="28"/>
        <v/>
      </c>
      <c r="AE310" s="4"/>
      <c r="AF310" s="6" t="str">
        <f t="shared" si="29"/>
        <v/>
      </c>
    </row>
    <row r="311" spans="1:32" ht="15.75" customHeight="1" x14ac:dyDescent="0.2">
      <c r="A311" s="42"/>
      <c r="B311" s="44"/>
      <c r="C311" s="41"/>
      <c r="D311" s="41"/>
      <c r="E311" s="41"/>
      <c r="F311" s="11"/>
      <c r="G311" s="11"/>
      <c r="H311" s="43"/>
      <c r="K311" s="25"/>
      <c r="M311" s="31"/>
      <c r="N311" s="31"/>
      <c r="O311" s="33"/>
      <c r="Q311" s="6" t="str">
        <f>IF($F311&lt;&gt;"",RIGHT(Tabela1[[#This Row],[Ref.]],2),"")</f>
        <v/>
      </c>
      <c r="R311" s="6" t="str">
        <f t="shared" si="24"/>
        <v/>
      </c>
      <c r="S311" s="4" t="str">
        <f>IF($F311&lt;&gt;"",_xlfn.XLOOKUP(F311,Naturezas!B:B,Naturezas!E:E,"",0,1),"")</f>
        <v/>
      </c>
      <c r="T311" s="4" t="str">
        <f>IF($F311&lt;&gt;"",_xlfn.XLOOKUP($F311,Naturezas!B:B,Naturezas!D:D,"",0,1),"")</f>
        <v/>
      </c>
      <c r="U311" s="5" t="str">
        <f>IF(F311&lt;&gt;"",IF(OR(F311=Naturezas!$B$3,F311=Naturezas!$B$4,F311=Naturezas!$B$5,F311=Naturezas!$B$17,F311=Naturezas!$B$18,F311=Naturezas!$B$19),H311,-H311),"")</f>
        <v/>
      </c>
      <c r="V311" s="4" t="str">
        <f t="shared" si="25"/>
        <v/>
      </c>
      <c r="W311" s="4"/>
      <c r="X311" s="4" t="str">
        <f t="shared" si="26"/>
        <v/>
      </c>
      <c r="Y311" s="6" t="str">
        <f>IF(F311&lt;&gt;"",Tabela1[[#This Row],[Iniciais]],"")</f>
        <v/>
      </c>
      <c r="AA311" s="6" t="str">
        <f>IF($F311&lt;&gt;"",RIGHT(Tabela1[[#This Row],[Ref.]],2),"")</f>
        <v/>
      </c>
      <c r="AB311" s="46" t="str">
        <f>IF($F311&lt;&gt;"",DATE(LEFT(Tabela1[[#This Row],[Ref.]],4),RIGHT(Tabela1[[#This Row],[Ref.]],2),1),"")</f>
        <v/>
      </c>
      <c r="AC311" s="4" t="str">
        <f t="shared" si="27"/>
        <v/>
      </c>
      <c r="AD311" s="5" t="str">
        <f t="shared" si="28"/>
        <v/>
      </c>
      <c r="AE311" s="4"/>
      <c r="AF311" s="6" t="str">
        <f t="shared" si="29"/>
        <v/>
      </c>
    </row>
    <row r="312" spans="1:32" ht="15.75" customHeight="1" x14ac:dyDescent="0.2">
      <c r="A312" s="42"/>
      <c r="B312" s="44"/>
      <c r="C312" s="41"/>
      <c r="D312" s="41"/>
      <c r="E312" s="41"/>
      <c r="F312" s="11"/>
      <c r="G312" s="11"/>
      <c r="H312" s="43"/>
      <c r="K312" s="25"/>
      <c r="M312" s="31"/>
      <c r="N312" s="31"/>
      <c r="O312" s="33"/>
      <c r="Q312" s="6" t="str">
        <f>IF($F312&lt;&gt;"",RIGHT(Tabela1[[#This Row],[Ref.]],2),"")</f>
        <v/>
      </c>
      <c r="R312" s="6" t="str">
        <f t="shared" si="24"/>
        <v/>
      </c>
      <c r="S312" s="4" t="str">
        <f>IF($F312&lt;&gt;"",_xlfn.XLOOKUP(F312,Naturezas!B:B,Naturezas!E:E,"",0,1),"")</f>
        <v/>
      </c>
      <c r="T312" s="4" t="str">
        <f>IF($F312&lt;&gt;"",_xlfn.XLOOKUP($F312,Naturezas!B:B,Naturezas!D:D,"",0,1),"")</f>
        <v/>
      </c>
      <c r="U312" s="5" t="str">
        <f>IF(F312&lt;&gt;"",IF(OR(F312=Naturezas!$B$3,F312=Naturezas!$B$4,F312=Naturezas!$B$5,F312=Naturezas!$B$17,F312=Naturezas!$B$18,F312=Naturezas!$B$19),H312,-H312),"")</f>
        <v/>
      </c>
      <c r="V312" s="4" t="str">
        <f t="shared" si="25"/>
        <v/>
      </c>
      <c r="W312" s="4"/>
      <c r="X312" s="4" t="str">
        <f t="shared" si="26"/>
        <v/>
      </c>
      <c r="Y312" s="6" t="str">
        <f>IF(F312&lt;&gt;"",Tabela1[[#This Row],[Iniciais]],"")</f>
        <v/>
      </c>
      <c r="AA312" s="6" t="str">
        <f>IF($F312&lt;&gt;"",RIGHT(Tabela1[[#This Row],[Ref.]],2),"")</f>
        <v/>
      </c>
      <c r="AB312" s="46" t="str">
        <f>IF($F312&lt;&gt;"",DATE(LEFT(Tabela1[[#This Row],[Ref.]],4),RIGHT(Tabela1[[#This Row],[Ref.]],2),1),"")</f>
        <v/>
      </c>
      <c r="AC312" s="4" t="str">
        <f t="shared" si="27"/>
        <v/>
      </c>
      <c r="AD312" s="5" t="str">
        <f t="shared" si="28"/>
        <v/>
      </c>
      <c r="AE312" s="4"/>
      <c r="AF312" s="6" t="str">
        <f t="shared" si="29"/>
        <v/>
      </c>
    </row>
    <row r="313" spans="1:32" ht="15.75" customHeight="1" x14ac:dyDescent="0.2">
      <c r="A313" s="42"/>
      <c r="B313" s="44"/>
      <c r="C313" s="41"/>
      <c r="D313" s="41"/>
      <c r="E313" s="41"/>
      <c r="F313" s="11"/>
      <c r="G313" s="11"/>
      <c r="H313" s="43"/>
      <c r="K313" s="25"/>
      <c r="M313" s="31"/>
      <c r="N313" s="31"/>
      <c r="O313" s="33"/>
      <c r="Q313" s="6" t="str">
        <f>IF($F313&lt;&gt;"",RIGHT(Tabela1[[#This Row],[Ref.]],2),"")</f>
        <v/>
      </c>
      <c r="R313" s="6" t="str">
        <f t="shared" si="24"/>
        <v/>
      </c>
      <c r="S313" s="4" t="str">
        <f>IF($F313&lt;&gt;"",_xlfn.XLOOKUP(F313,Naturezas!B:B,Naturezas!E:E,"",0,1),"")</f>
        <v/>
      </c>
      <c r="T313" s="4" t="str">
        <f>IF($F313&lt;&gt;"",_xlfn.XLOOKUP($F313,Naturezas!B:B,Naturezas!D:D,"",0,1),"")</f>
        <v/>
      </c>
      <c r="U313" s="5" t="str">
        <f>IF(F313&lt;&gt;"",IF(OR(F313=Naturezas!$B$3,F313=Naturezas!$B$4,F313=Naturezas!$B$5,F313=Naturezas!$B$17,F313=Naturezas!$B$18,F313=Naturezas!$B$19),H313,-H313),"")</f>
        <v/>
      </c>
      <c r="V313" s="4" t="str">
        <f t="shared" si="25"/>
        <v/>
      </c>
      <c r="W313" s="4"/>
      <c r="X313" s="4" t="str">
        <f t="shared" si="26"/>
        <v/>
      </c>
      <c r="Y313" s="6" t="str">
        <f>IF(F313&lt;&gt;"",Tabela1[[#This Row],[Iniciais]],"")</f>
        <v/>
      </c>
      <c r="AA313" s="6" t="str">
        <f>IF($F313&lt;&gt;"",RIGHT(Tabela1[[#This Row],[Ref.]],2),"")</f>
        <v/>
      </c>
      <c r="AB313" s="46" t="str">
        <f>IF($F313&lt;&gt;"",DATE(LEFT(Tabela1[[#This Row],[Ref.]],4),RIGHT(Tabela1[[#This Row],[Ref.]],2),1),"")</f>
        <v/>
      </c>
      <c r="AC313" s="4" t="str">
        <f t="shared" si="27"/>
        <v/>
      </c>
      <c r="AD313" s="5" t="str">
        <f t="shared" si="28"/>
        <v/>
      </c>
      <c r="AE313" s="4"/>
      <c r="AF313" s="6" t="str">
        <f t="shared" si="29"/>
        <v/>
      </c>
    </row>
    <row r="314" spans="1:32" ht="15.75" customHeight="1" x14ac:dyDescent="0.2">
      <c r="A314" s="42"/>
      <c r="B314" s="44"/>
      <c r="C314" s="41"/>
      <c r="D314" s="41"/>
      <c r="E314" s="41"/>
      <c r="F314" s="11"/>
      <c r="G314" s="11"/>
      <c r="H314" s="43"/>
      <c r="K314" s="25"/>
      <c r="M314" s="31"/>
      <c r="N314" s="31"/>
      <c r="O314" s="33"/>
      <c r="Q314" s="6" t="str">
        <f>IF($F314&lt;&gt;"",RIGHT(Tabela1[[#This Row],[Ref.]],2),"")</f>
        <v/>
      </c>
      <c r="R314" s="6" t="str">
        <f t="shared" si="24"/>
        <v/>
      </c>
      <c r="S314" s="4" t="str">
        <f>IF($F314&lt;&gt;"",_xlfn.XLOOKUP(F314,Naturezas!B:B,Naturezas!E:E,"",0,1),"")</f>
        <v/>
      </c>
      <c r="T314" s="4" t="str">
        <f>IF($F314&lt;&gt;"",_xlfn.XLOOKUP($F314,Naturezas!B:B,Naturezas!D:D,"",0,1),"")</f>
        <v/>
      </c>
      <c r="U314" s="5" t="str">
        <f>IF(F314&lt;&gt;"",IF(OR(F314=Naturezas!$B$3,F314=Naturezas!$B$4,F314=Naturezas!$B$5,F314=Naturezas!$B$17,F314=Naturezas!$B$18,F314=Naturezas!$B$19),H314,-H314),"")</f>
        <v/>
      </c>
      <c r="V314" s="4" t="str">
        <f t="shared" si="25"/>
        <v/>
      </c>
      <c r="W314" s="4"/>
      <c r="X314" s="4" t="str">
        <f t="shared" si="26"/>
        <v/>
      </c>
      <c r="Y314" s="6" t="str">
        <f>IF(F314&lt;&gt;"",Tabela1[[#This Row],[Iniciais]],"")</f>
        <v/>
      </c>
      <c r="AA314" s="6" t="str">
        <f>IF($F314&lt;&gt;"",RIGHT(Tabela1[[#This Row],[Ref.]],2),"")</f>
        <v/>
      </c>
      <c r="AB314" s="46" t="str">
        <f>IF($F314&lt;&gt;"",DATE(LEFT(Tabela1[[#This Row],[Ref.]],4),RIGHT(Tabela1[[#This Row],[Ref.]],2),1),"")</f>
        <v/>
      </c>
      <c r="AC314" s="4" t="str">
        <f t="shared" si="27"/>
        <v/>
      </c>
      <c r="AD314" s="5" t="str">
        <f t="shared" si="28"/>
        <v/>
      </c>
      <c r="AE314" s="4"/>
      <c r="AF314" s="6" t="str">
        <f t="shared" si="29"/>
        <v/>
      </c>
    </row>
    <row r="315" spans="1:32" ht="15.75" customHeight="1" x14ac:dyDescent="0.2">
      <c r="A315" s="42"/>
      <c r="B315" s="44"/>
      <c r="C315" s="41"/>
      <c r="D315" s="41"/>
      <c r="E315" s="41"/>
      <c r="F315" s="11"/>
      <c r="G315" s="11"/>
      <c r="H315" s="43"/>
      <c r="K315" s="25"/>
      <c r="M315" s="31"/>
      <c r="N315" s="31"/>
      <c r="O315" s="33"/>
      <c r="Q315" s="6" t="str">
        <f>IF($F315&lt;&gt;"",RIGHT(Tabela1[[#This Row],[Ref.]],2),"")</f>
        <v/>
      </c>
      <c r="R315" s="6" t="str">
        <f t="shared" si="24"/>
        <v/>
      </c>
      <c r="S315" s="4" t="str">
        <f>IF($F315&lt;&gt;"",_xlfn.XLOOKUP(F315,Naturezas!B:B,Naturezas!E:E,"",0,1),"")</f>
        <v/>
      </c>
      <c r="T315" s="4" t="str">
        <f>IF($F315&lt;&gt;"",_xlfn.XLOOKUP($F315,Naturezas!B:B,Naturezas!D:D,"",0,1),"")</f>
        <v/>
      </c>
      <c r="U315" s="5" t="str">
        <f>IF(F315&lt;&gt;"",IF(OR(F315=Naturezas!$B$3,F315=Naturezas!$B$4,F315=Naturezas!$B$5,F315=Naturezas!$B$17,F315=Naturezas!$B$18,F315=Naturezas!$B$19),H315,-H315),"")</f>
        <v/>
      </c>
      <c r="V315" s="4" t="str">
        <f t="shared" si="25"/>
        <v/>
      </c>
      <c r="W315" s="4"/>
      <c r="X315" s="4" t="str">
        <f t="shared" si="26"/>
        <v/>
      </c>
      <c r="Y315" s="6" t="str">
        <f>IF(F315&lt;&gt;"",Tabela1[[#This Row],[Iniciais]],"")</f>
        <v/>
      </c>
      <c r="AA315" s="6" t="str">
        <f>IF($F315&lt;&gt;"",RIGHT(Tabela1[[#This Row],[Ref.]],2),"")</f>
        <v/>
      </c>
      <c r="AB315" s="46" t="str">
        <f>IF($F315&lt;&gt;"",DATE(LEFT(Tabela1[[#This Row],[Ref.]],4),RIGHT(Tabela1[[#This Row],[Ref.]],2),1),"")</f>
        <v/>
      </c>
      <c r="AC315" s="4" t="str">
        <f t="shared" si="27"/>
        <v/>
      </c>
      <c r="AD315" s="5" t="str">
        <f t="shared" si="28"/>
        <v/>
      </c>
      <c r="AE315" s="4"/>
      <c r="AF315" s="6" t="str">
        <f t="shared" si="29"/>
        <v/>
      </c>
    </row>
    <row r="316" spans="1:32" ht="15.75" customHeight="1" x14ac:dyDescent="0.2">
      <c r="A316" s="42"/>
      <c r="B316" s="44"/>
      <c r="C316" s="41"/>
      <c r="D316" s="41"/>
      <c r="E316" s="41"/>
      <c r="F316" s="11"/>
      <c r="G316" s="11"/>
      <c r="H316" s="43"/>
      <c r="K316" s="25"/>
      <c r="M316" s="31"/>
      <c r="N316" s="31"/>
      <c r="O316" s="33"/>
      <c r="Q316" s="6" t="str">
        <f>IF($F316&lt;&gt;"",RIGHT(Tabela1[[#This Row],[Ref.]],2),"")</f>
        <v/>
      </c>
      <c r="R316" s="6" t="str">
        <f t="shared" si="24"/>
        <v/>
      </c>
      <c r="S316" s="4" t="str">
        <f>IF($F316&lt;&gt;"",_xlfn.XLOOKUP(F316,Naturezas!B:B,Naturezas!E:E,"",0,1),"")</f>
        <v/>
      </c>
      <c r="T316" s="4" t="str">
        <f>IF($F316&lt;&gt;"",_xlfn.XLOOKUP($F316,Naturezas!B:B,Naturezas!D:D,"",0,1),"")</f>
        <v/>
      </c>
      <c r="U316" s="5" t="str">
        <f>IF(F316&lt;&gt;"",IF(OR(F316=Naturezas!$B$3,F316=Naturezas!$B$4,F316=Naturezas!$B$5,F316=Naturezas!$B$17,F316=Naturezas!$B$18,F316=Naturezas!$B$19),H316,-H316),"")</f>
        <v/>
      </c>
      <c r="V316" s="4" t="str">
        <f t="shared" si="25"/>
        <v/>
      </c>
      <c r="W316" s="4"/>
      <c r="X316" s="4" t="str">
        <f t="shared" si="26"/>
        <v/>
      </c>
      <c r="Y316" s="6" t="str">
        <f>IF(F316&lt;&gt;"",Tabela1[[#This Row],[Iniciais]],"")</f>
        <v/>
      </c>
      <c r="AA316" s="6" t="str">
        <f>IF($F316&lt;&gt;"",RIGHT(Tabela1[[#This Row],[Ref.]],2),"")</f>
        <v/>
      </c>
      <c r="AB316" s="46" t="str">
        <f>IF($F316&lt;&gt;"",DATE(LEFT(Tabela1[[#This Row],[Ref.]],4),RIGHT(Tabela1[[#This Row],[Ref.]],2),1),"")</f>
        <v/>
      </c>
      <c r="AC316" s="4" t="str">
        <f t="shared" si="27"/>
        <v/>
      </c>
      <c r="AD316" s="5" t="str">
        <f t="shared" si="28"/>
        <v/>
      </c>
      <c r="AE316" s="4"/>
      <c r="AF316" s="6" t="str">
        <f t="shared" si="29"/>
        <v/>
      </c>
    </row>
    <row r="317" spans="1:32" ht="15.75" customHeight="1" x14ac:dyDescent="0.2">
      <c r="A317" s="42"/>
      <c r="B317" s="44"/>
      <c r="C317" s="41"/>
      <c r="D317" s="41"/>
      <c r="E317" s="41"/>
      <c r="F317" s="11"/>
      <c r="G317" s="11"/>
      <c r="H317" s="43"/>
      <c r="K317" s="25"/>
      <c r="M317" s="31"/>
      <c r="N317" s="31"/>
      <c r="O317" s="33"/>
      <c r="Q317" s="6" t="str">
        <f>IF($F317&lt;&gt;"",RIGHT(Tabela1[[#This Row],[Ref.]],2),"")</f>
        <v/>
      </c>
      <c r="R317" s="6" t="str">
        <f t="shared" si="24"/>
        <v/>
      </c>
      <c r="S317" s="4" t="str">
        <f>IF($F317&lt;&gt;"",_xlfn.XLOOKUP(F317,Naturezas!B:B,Naturezas!E:E,"",0,1),"")</f>
        <v/>
      </c>
      <c r="T317" s="4" t="str">
        <f>IF($F317&lt;&gt;"",_xlfn.XLOOKUP($F317,Naturezas!B:B,Naturezas!D:D,"",0,1),"")</f>
        <v/>
      </c>
      <c r="U317" s="5" t="str">
        <f>IF(F317&lt;&gt;"",IF(OR(F317=Naturezas!$B$3,F317=Naturezas!$B$4,F317=Naturezas!$B$5,F317=Naturezas!$B$17,F317=Naturezas!$B$18,F317=Naturezas!$B$19),H317,-H317),"")</f>
        <v/>
      </c>
      <c r="V317" s="4" t="str">
        <f t="shared" si="25"/>
        <v/>
      </c>
      <c r="W317" s="4"/>
      <c r="X317" s="4" t="str">
        <f t="shared" si="26"/>
        <v/>
      </c>
      <c r="Y317" s="6" t="str">
        <f>IF(F317&lt;&gt;"",Tabela1[[#This Row],[Iniciais]],"")</f>
        <v/>
      </c>
      <c r="AA317" s="6" t="str">
        <f>IF($F317&lt;&gt;"",RIGHT(Tabela1[[#This Row],[Ref.]],2),"")</f>
        <v/>
      </c>
      <c r="AB317" s="46" t="str">
        <f>IF($F317&lt;&gt;"",DATE(LEFT(Tabela1[[#This Row],[Ref.]],4),RIGHT(Tabela1[[#This Row],[Ref.]],2),1),"")</f>
        <v/>
      </c>
      <c r="AC317" s="4" t="str">
        <f t="shared" si="27"/>
        <v/>
      </c>
      <c r="AD317" s="5" t="str">
        <f t="shared" si="28"/>
        <v/>
      </c>
      <c r="AE317" s="4"/>
      <c r="AF317" s="6" t="str">
        <f t="shared" si="29"/>
        <v/>
      </c>
    </row>
    <row r="318" spans="1:32" ht="15.75" customHeight="1" x14ac:dyDescent="0.2">
      <c r="A318" s="42"/>
      <c r="B318" s="44"/>
      <c r="C318" s="41"/>
      <c r="D318" s="41"/>
      <c r="E318" s="41"/>
      <c r="F318" s="11"/>
      <c r="G318" s="11"/>
      <c r="H318" s="43"/>
      <c r="K318" s="25"/>
      <c r="M318" s="31"/>
      <c r="N318" s="31"/>
      <c r="O318" s="33"/>
      <c r="Q318" s="6" t="str">
        <f>IF($F318&lt;&gt;"",RIGHT(Tabela1[[#This Row],[Ref.]],2),"")</f>
        <v/>
      </c>
      <c r="R318" s="6" t="str">
        <f t="shared" si="24"/>
        <v/>
      </c>
      <c r="S318" s="4" t="str">
        <f>IF($F318&lt;&gt;"",_xlfn.XLOOKUP(F318,Naturezas!B:B,Naturezas!E:E,"",0,1),"")</f>
        <v/>
      </c>
      <c r="T318" s="4" t="str">
        <f>IF($F318&lt;&gt;"",_xlfn.XLOOKUP($F318,Naturezas!B:B,Naturezas!D:D,"",0,1),"")</f>
        <v/>
      </c>
      <c r="U318" s="5" t="str">
        <f>IF(F318&lt;&gt;"",IF(OR(F318=Naturezas!$B$3,F318=Naturezas!$B$4,F318=Naturezas!$B$5,F318=Naturezas!$B$17,F318=Naturezas!$B$18,F318=Naturezas!$B$19),H318,-H318),"")</f>
        <v/>
      </c>
      <c r="V318" s="4" t="str">
        <f t="shared" si="25"/>
        <v/>
      </c>
      <c r="W318" s="4"/>
      <c r="X318" s="4" t="str">
        <f t="shared" si="26"/>
        <v/>
      </c>
      <c r="Y318" s="6" t="str">
        <f>IF(F318&lt;&gt;"",Tabela1[[#This Row],[Iniciais]],"")</f>
        <v/>
      </c>
      <c r="AA318" s="6" t="str">
        <f>IF($F318&lt;&gt;"",RIGHT(Tabela1[[#This Row],[Ref.]],2),"")</f>
        <v/>
      </c>
      <c r="AB318" s="46" t="str">
        <f>IF($F318&lt;&gt;"",DATE(LEFT(Tabela1[[#This Row],[Ref.]],4),RIGHT(Tabela1[[#This Row],[Ref.]],2),1),"")</f>
        <v/>
      </c>
      <c r="AC318" s="4" t="str">
        <f t="shared" si="27"/>
        <v/>
      </c>
      <c r="AD318" s="5" t="str">
        <f t="shared" si="28"/>
        <v/>
      </c>
      <c r="AE318" s="4"/>
      <c r="AF318" s="6" t="str">
        <f t="shared" si="29"/>
        <v/>
      </c>
    </row>
    <row r="319" spans="1:32" ht="15.75" customHeight="1" x14ac:dyDescent="0.2">
      <c r="A319" s="42"/>
      <c r="B319" s="44"/>
      <c r="C319" s="41"/>
      <c r="D319" s="41"/>
      <c r="E319" s="41"/>
      <c r="F319" s="11"/>
      <c r="G319" s="11"/>
      <c r="H319" s="43"/>
      <c r="K319" s="25"/>
      <c r="M319" s="31"/>
      <c r="N319" s="31"/>
      <c r="O319" s="33"/>
      <c r="Q319" s="6" t="str">
        <f>IF($F319&lt;&gt;"",RIGHT(Tabela1[[#This Row],[Ref.]],2),"")</f>
        <v/>
      </c>
      <c r="R319" s="6" t="str">
        <f t="shared" si="24"/>
        <v/>
      </c>
      <c r="S319" s="4" t="str">
        <f>IF($F319&lt;&gt;"",_xlfn.XLOOKUP(F319,Naturezas!B:B,Naturezas!E:E,"",0,1),"")</f>
        <v/>
      </c>
      <c r="T319" s="4" t="str">
        <f>IF($F319&lt;&gt;"",_xlfn.XLOOKUP($F319,Naturezas!B:B,Naturezas!D:D,"",0,1),"")</f>
        <v/>
      </c>
      <c r="U319" s="5" t="str">
        <f>IF(F319&lt;&gt;"",IF(OR(F319=Naturezas!$B$3,F319=Naturezas!$B$4,F319=Naturezas!$B$5,F319=Naturezas!$B$17,F319=Naturezas!$B$18,F319=Naturezas!$B$19),H319,-H319),"")</f>
        <v/>
      </c>
      <c r="V319" s="4" t="str">
        <f t="shared" si="25"/>
        <v/>
      </c>
      <c r="W319" s="4"/>
      <c r="X319" s="4" t="str">
        <f t="shared" si="26"/>
        <v/>
      </c>
      <c r="Y319" s="6" t="str">
        <f>IF(F319&lt;&gt;"",Tabela1[[#This Row],[Iniciais]],"")</f>
        <v/>
      </c>
      <c r="AA319" s="6" t="str">
        <f>IF($F319&lt;&gt;"",RIGHT(Tabela1[[#This Row],[Ref.]],2),"")</f>
        <v/>
      </c>
      <c r="AB319" s="46" t="str">
        <f>IF($F319&lt;&gt;"",DATE(LEFT(Tabela1[[#This Row],[Ref.]],4),RIGHT(Tabela1[[#This Row],[Ref.]],2),1),"")</f>
        <v/>
      </c>
      <c r="AC319" s="4" t="str">
        <f t="shared" si="27"/>
        <v/>
      </c>
      <c r="AD319" s="5" t="str">
        <f t="shared" si="28"/>
        <v/>
      </c>
      <c r="AE319" s="4"/>
      <c r="AF319" s="6" t="str">
        <f t="shared" si="29"/>
        <v/>
      </c>
    </row>
    <row r="320" spans="1:32" ht="15.75" customHeight="1" x14ac:dyDescent="0.2">
      <c r="A320" s="42"/>
      <c r="B320" s="44"/>
      <c r="C320" s="41"/>
      <c r="D320" s="41"/>
      <c r="E320" s="41"/>
      <c r="F320" s="11"/>
      <c r="G320" s="11"/>
      <c r="H320" s="43"/>
      <c r="K320" s="25"/>
      <c r="M320" s="31"/>
      <c r="N320" s="31"/>
      <c r="O320" s="33"/>
      <c r="Q320" s="6" t="str">
        <f>IF($F320&lt;&gt;"",RIGHT(Tabela1[[#This Row],[Ref.]],2),"")</f>
        <v/>
      </c>
      <c r="R320" s="6" t="str">
        <f t="shared" si="24"/>
        <v/>
      </c>
      <c r="S320" s="4" t="str">
        <f>IF($F320&lt;&gt;"",_xlfn.XLOOKUP(F320,Naturezas!B:B,Naturezas!E:E,"",0,1),"")</f>
        <v/>
      </c>
      <c r="T320" s="4" t="str">
        <f>IF($F320&lt;&gt;"",_xlfn.XLOOKUP($F320,Naturezas!B:B,Naturezas!D:D,"",0,1),"")</f>
        <v/>
      </c>
      <c r="U320" s="5" t="str">
        <f>IF(F320&lt;&gt;"",IF(OR(F320=Naturezas!$B$3,F320=Naturezas!$B$4,F320=Naturezas!$B$5,F320=Naturezas!$B$17,F320=Naturezas!$B$18,F320=Naturezas!$B$19),H320,-H320),"")</f>
        <v/>
      </c>
      <c r="V320" s="4" t="str">
        <f t="shared" si="25"/>
        <v/>
      </c>
      <c r="W320" s="4"/>
      <c r="X320" s="4" t="str">
        <f t="shared" si="26"/>
        <v/>
      </c>
      <c r="Y320" s="6" t="str">
        <f>IF(F320&lt;&gt;"",Tabela1[[#This Row],[Iniciais]],"")</f>
        <v/>
      </c>
      <c r="AA320" s="6" t="str">
        <f>IF($F320&lt;&gt;"",RIGHT(Tabela1[[#This Row],[Ref.]],2),"")</f>
        <v/>
      </c>
      <c r="AB320" s="46" t="str">
        <f>IF($F320&lt;&gt;"",DATE(LEFT(Tabela1[[#This Row],[Ref.]],4),RIGHT(Tabela1[[#This Row],[Ref.]],2),1),"")</f>
        <v/>
      </c>
      <c r="AC320" s="4" t="str">
        <f t="shared" si="27"/>
        <v/>
      </c>
      <c r="AD320" s="5" t="str">
        <f t="shared" si="28"/>
        <v/>
      </c>
      <c r="AE320" s="4"/>
      <c r="AF320" s="6" t="str">
        <f t="shared" si="29"/>
        <v/>
      </c>
    </row>
    <row r="321" spans="1:32" ht="15.75" customHeight="1" x14ac:dyDescent="0.2">
      <c r="A321" s="42"/>
      <c r="B321" s="44"/>
      <c r="C321" s="41"/>
      <c r="D321" s="41"/>
      <c r="E321" s="41"/>
      <c r="F321" s="11"/>
      <c r="G321" s="11"/>
      <c r="H321" s="43"/>
      <c r="K321" s="25"/>
      <c r="M321" s="31"/>
      <c r="N321" s="31"/>
      <c r="O321" s="33"/>
      <c r="Q321" s="6" t="str">
        <f>IF($F321&lt;&gt;"",RIGHT(Tabela1[[#This Row],[Ref.]],2),"")</f>
        <v/>
      </c>
      <c r="R321" s="6" t="str">
        <f t="shared" si="24"/>
        <v/>
      </c>
      <c r="S321" s="4" t="str">
        <f>IF($F321&lt;&gt;"",_xlfn.XLOOKUP(F321,Naturezas!B:B,Naturezas!E:E,"",0,1),"")</f>
        <v/>
      </c>
      <c r="T321" s="4" t="str">
        <f>IF($F321&lt;&gt;"",_xlfn.XLOOKUP($F321,Naturezas!B:B,Naturezas!D:D,"",0,1),"")</f>
        <v/>
      </c>
      <c r="U321" s="5" t="str">
        <f>IF(F321&lt;&gt;"",IF(OR(F321=Naturezas!$B$3,F321=Naturezas!$B$4,F321=Naturezas!$B$5,F321=Naturezas!$B$17,F321=Naturezas!$B$18,F321=Naturezas!$B$19),H321,-H321),"")</f>
        <v/>
      </c>
      <c r="V321" s="4" t="str">
        <f t="shared" si="25"/>
        <v/>
      </c>
      <c r="W321" s="4"/>
      <c r="X321" s="4" t="str">
        <f t="shared" si="26"/>
        <v/>
      </c>
      <c r="Y321" s="6" t="str">
        <f>IF(F321&lt;&gt;"",Tabela1[[#This Row],[Iniciais]],"")</f>
        <v/>
      </c>
      <c r="AA321" s="6" t="str">
        <f>IF($F321&lt;&gt;"",RIGHT(Tabela1[[#This Row],[Ref.]],2),"")</f>
        <v/>
      </c>
      <c r="AB321" s="46" t="str">
        <f>IF($F321&lt;&gt;"",DATE(LEFT(Tabela1[[#This Row],[Ref.]],4),RIGHT(Tabela1[[#This Row],[Ref.]],2),1),"")</f>
        <v/>
      </c>
      <c r="AC321" s="4" t="str">
        <f t="shared" si="27"/>
        <v/>
      </c>
      <c r="AD321" s="5" t="str">
        <f t="shared" si="28"/>
        <v/>
      </c>
      <c r="AE321" s="4"/>
      <c r="AF321" s="6" t="str">
        <f t="shared" si="29"/>
        <v/>
      </c>
    </row>
    <row r="322" spans="1:32" ht="15.75" customHeight="1" x14ac:dyDescent="0.2">
      <c r="A322" s="42"/>
      <c r="B322" s="44"/>
      <c r="C322" s="41"/>
      <c r="D322" s="41"/>
      <c r="E322" s="41"/>
      <c r="F322" s="11"/>
      <c r="G322" s="11"/>
      <c r="H322" s="43"/>
      <c r="K322" s="25"/>
      <c r="M322" s="31"/>
      <c r="N322" s="31"/>
      <c r="O322" s="33"/>
      <c r="Q322" s="6" t="str">
        <f>IF($F322&lt;&gt;"",RIGHT(Tabela1[[#This Row],[Ref.]],2),"")</f>
        <v/>
      </c>
      <c r="R322" s="6" t="str">
        <f t="shared" si="24"/>
        <v/>
      </c>
      <c r="S322" s="4" t="str">
        <f>IF($F322&lt;&gt;"",_xlfn.XLOOKUP(F322,Naturezas!B:B,Naturezas!E:E,"",0,1),"")</f>
        <v/>
      </c>
      <c r="T322" s="4" t="str">
        <f>IF($F322&lt;&gt;"",_xlfn.XLOOKUP($F322,Naturezas!B:B,Naturezas!D:D,"",0,1),"")</f>
        <v/>
      </c>
      <c r="U322" s="5" t="str">
        <f>IF(F322&lt;&gt;"",IF(OR(F322=Naturezas!$B$3,F322=Naturezas!$B$4,F322=Naturezas!$B$5,F322=Naturezas!$B$17,F322=Naturezas!$B$18,F322=Naturezas!$B$19),H322,-H322),"")</f>
        <v/>
      </c>
      <c r="V322" s="4" t="str">
        <f t="shared" si="25"/>
        <v/>
      </c>
      <c r="W322" s="4"/>
      <c r="X322" s="4" t="str">
        <f t="shared" si="26"/>
        <v/>
      </c>
      <c r="Y322" s="6" t="str">
        <f>IF(F322&lt;&gt;"",Tabela1[[#This Row],[Iniciais]],"")</f>
        <v/>
      </c>
      <c r="AA322" s="6" t="str">
        <f>IF($F322&lt;&gt;"",RIGHT(Tabela1[[#This Row],[Ref.]],2),"")</f>
        <v/>
      </c>
      <c r="AB322" s="46" t="str">
        <f>IF($F322&lt;&gt;"",DATE(LEFT(Tabela1[[#This Row],[Ref.]],4),RIGHT(Tabela1[[#This Row],[Ref.]],2),1),"")</f>
        <v/>
      </c>
      <c r="AC322" s="4" t="str">
        <f t="shared" si="27"/>
        <v/>
      </c>
      <c r="AD322" s="5" t="str">
        <f t="shared" si="28"/>
        <v/>
      </c>
      <c r="AE322" s="4"/>
      <c r="AF322" s="6" t="str">
        <f t="shared" si="29"/>
        <v/>
      </c>
    </row>
    <row r="323" spans="1:32" ht="15.75" customHeight="1" x14ac:dyDescent="0.2">
      <c r="A323" s="42"/>
      <c r="B323" s="44"/>
      <c r="C323" s="41"/>
      <c r="D323" s="41"/>
      <c r="E323" s="41"/>
      <c r="F323" s="11"/>
      <c r="G323" s="11"/>
      <c r="H323" s="43"/>
      <c r="K323" s="25"/>
      <c r="M323" s="31"/>
      <c r="N323" s="31"/>
      <c r="O323" s="33"/>
      <c r="Q323" s="6" t="str">
        <f>IF($F323&lt;&gt;"",RIGHT(Tabela1[[#This Row],[Ref.]],2),"")</f>
        <v/>
      </c>
      <c r="R323" s="6" t="str">
        <f t="shared" si="24"/>
        <v/>
      </c>
      <c r="S323" s="4" t="str">
        <f>IF($F323&lt;&gt;"",_xlfn.XLOOKUP(F323,Naturezas!B:B,Naturezas!E:E,"",0,1),"")</f>
        <v/>
      </c>
      <c r="T323" s="4" t="str">
        <f>IF($F323&lt;&gt;"",_xlfn.XLOOKUP($F323,Naturezas!B:B,Naturezas!D:D,"",0,1),"")</f>
        <v/>
      </c>
      <c r="U323" s="5" t="str">
        <f>IF(F323&lt;&gt;"",IF(OR(F323=Naturezas!$B$3,F323=Naturezas!$B$4,F323=Naturezas!$B$5,F323=Naturezas!$B$17,F323=Naturezas!$B$18,F323=Naturezas!$B$19),H323,-H323),"")</f>
        <v/>
      </c>
      <c r="V323" s="4" t="str">
        <f t="shared" si="25"/>
        <v/>
      </c>
      <c r="W323" s="4"/>
      <c r="X323" s="4" t="str">
        <f t="shared" si="26"/>
        <v/>
      </c>
      <c r="Y323" s="6" t="str">
        <f>IF(F323&lt;&gt;"",Tabela1[[#This Row],[Iniciais]],"")</f>
        <v/>
      </c>
      <c r="AA323" s="6" t="str">
        <f>IF($F323&lt;&gt;"",RIGHT(Tabela1[[#This Row],[Ref.]],2),"")</f>
        <v/>
      </c>
      <c r="AB323" s="46" t="str">
        <f>IF($F323&lt;&gt;"",DATE(LEFT(Tabela1[[#This Row],[Ref.]],4),RIGHT(Tabela1[[#This Row],[Ref.]],2),1),"")</f>
        <v/>
      </c>
      <c r="AC323" s="4" t="str">
        <f t="shared" si="27"/>
        <v/>
      </c>
      <c r="AD323" s="5" t="str">
        <f t="shared" si="28"/>
        <v/>
      </c>
      <c r="AE323" s="4"/>
      <c r="AF323" s="6" t="str">
        <f t="shared" si="29"/>
        <v/>
      </c>
    </row>
    <row r="324" spans="1:32" ht="15.75" customHeight="1" x14ac:dyDescent="0.2">
      <c r="A324" s="42"/>
      <c r="B324" s="44"/>
      <c r="C324" s="41"/>
      <c r="D324" s="41"/>
      <c r="E324" s="41"/>
      <c r="F324" s="11"/>
      <c r="G324" s="11"/>
      <c r="H324" s="43"/>
      <c r="K324" s="25"/>
      <c r="M324" s="31"/>
      <c r="N324" s="31"/>
      <c r="O324" s="33"/>
      <c r="Q324" s="6" t="str">
        <f>IF($F324&lt;&gt;"",RIGHT(Tabela1[[#This Row],[Ref.]],2),"")</f>
        <v/>
      </c>
      <c r="R324" s="6" t="str">
        <f t="shared" si="24"/>
        <v/>
      </c>
      <c r="S324" s="4" t="str">
        <f>IF($F324&lt;&gt;"",_xlfn.XLOOKUP(F324,Naturezas!B:B,Naturezas!E:E,"",0,1),"")</f>
        <v/>
      </c>
      <c r="T324" s="4" t="str">
        <f>IF($F324&lt;&gt;"",_xlfn.XLOOKUP($F324,Naturezas!B:B,Naturezas!D:D,"",0,1),"")</f>
        <v/>
      </c>
      <c r="U324" s="5" t="str">
        <f>IF(F324&lt;&gt;"",IF(OR(F324=Naturezas!$B$3,F324=Naturezas!$B$4,F324=Naturezas!$B$5,F324=Naturezas!$B$17,F324=Naturezas!$B$18,F324=Naturezas!$B$19),H324,-H324),"")</f>
        <v/>
      </c>
      <c r="V324" s="4" t="str">
        <f t="shared" si="25"/>
        <v/>
      </c>
      <c r="W324" s="4"/>
      <c r="X324" s="4" t="str">
        <f t="shared" si="26"/>
        <v/>
      </c>
      <c r="Y324" s="6" t="str">
        <f>IF(F324&lt;&gt;"",Tabela1[[#This Row],[Iniciais]],"")</f>
        <v/>
      </c>
      <c r="AA324" s="6" t="str">
        <f>IF($F324&lt;&gt;"",RIGHT(Tabela1[[#This Row],[Ref.]],2),"")</f>
        <v/>
      </c>
      <c r="AB324" s="46" t="str">
        <f>IF($F324&lt;&gt;"",DATE(LEFT(Tabela1[[#This Row],[Ref.]],4),RIGHT(Tabela1[[#This Row],[Ref.]],2),1),"")</f>
        <v/>
      </c>
      <c r="AC324" s="4" t="str">
        <f t="shared" si="27"/>
        <v/>
      </c>
      <c r="AD324" s="5" t="str">
        <f t="shared" si="28"/>
        <v/>
      </c>
      <c r="AE324" s="4"/>
      <c r="AF324" s="6" t="str">
        <f t="shared" si="29"/>
        <v/>
      </c>
    </row>
    <row r="325" spans="1:32" ht="15.75" customHeight="1" x14ac:dyDescent="0.2">
      <c r="A325" s="42"/>
      <c r="B325" s="44"/>
      <c r="C325" s="41"/>
      <c r="D325" s="41"/>
      <c r="E325" s="41"/>
      <c r="F325" s="11"/>
      <c r="G325" s="11"/>
      <c r="H325" s="43"/>
      <c r="K325" s="25"/>
      <c r="M325" s="31"/>
      <c r="N325" s="31"/>
      <c r="O325" s="33"/>
      <c r="Q325" s="6" t="str">
        <f>IF($F325&lt;&gt;"",RIGHT(Tabela1[[#This Row],[Ref.]],2),"")</f>
        <v/>
      </c>
      <c r="R325" s="6" t="str">
        <f t="shared" si="24"/>
        <v/>
      </c>
      <c r="S325" s="4" t="str">
        <f>IF($F325&lt;&gt;"",_xlfn.XLOOKUP(F325,Naturezas!B:B,Naturezas!E:E,"",0,1),"")</f>
        <v/>
      </c>
      <c r="T325" s="4" t="str">
        <f>IF($F325&lt;&gt;"",_xlfn.XLOOKUP($F325,Naturezas!B:B,Naturezas!D:D,"",0,1),"")</f>
        <v/>
      </c>
      <c r="U325" s="5" t="str">
        <f>IF(F325&lt;&gt;"",IF(OR(F325=Naturezas!$B$3,F325=Naturezas!$B$4,F325=Naturezas!$B$5,F325=Naturezas!$B$17,F325=Naturezas!$B$18,F325=Naturezas!$B$19),H325,-H325),"")</f>
        <v/>
      </c>
      <c r="V325" s="4" t="str">
        <f t="shared" si="25"/>
        <v/>
      </c>
      <c r="W325" s="4"/>
      <c r="X325" s="4" t="str">
        <f t="shared" si="26"/>
        <v/>
      </c>
      <c r="Y325" s="6" t="str">
        <f>IF(F325&lt;&gt;"",Tabela1[[#This Row],[Iniciais]],"")</f>
        <v/>
      </c>
      <c r="AA325" s="6" t="str">
        <f>IF($F325&lt;&gt;"",RIGHT(Tabela1[[#This Row],[Ref.]],2),"")</f>
        <v/>
      </c>
      <c r="AB325" s="46" t="str">
        <f>IF($F325&lt;&gt;"",DATE(LEFT(Tabela1[[#This Row],[Ref.]],4),RIGHT(Tabela1[[#This Row],[Ref.]],2),1),"")</f>
        <v/>
      </c>
      <c r="AC325" s="4" t="str">
        <f t="shared" si="27"/>
        <v/>
      </c>
      <c r="AD325" s="5" t="str">
        <f t="shared" si="28"/>
        <v/>
      </c>
      <c r="AE325" s="4"/>
      <c r="AF325" s="6" t="str">
        <f t="shared" si="29"/>
        <v/>
      </c>
    </row>
    <row r="326" spans="1:32" ht="15.75" customHeight="1" x14ac:dyDescent="0.2">
      <c r="A326" s="42"/>
      <c r="B326" s="44"/>
      <c r="C326" s="41"/>
      <c r="D326" s="41"/>
      <c r="E326" s="41"/>
      <c r="F326" s="11"/>
      <c r="G326" s="11"/>
      <c r="H326" s="43"/>
      <c r="K326" s="25"/>
      <c r="M326" s="31"/>
      <c r="N326" s="31"/>
      <c r="O326" s="33"/>
      <c r="Q326" s="6" t="str">
        <f>IF($F326&lt;&gt;"",RIGHT(Tabela1[[#This Row],[Ref.]],2),"")</f>
        <v/>
      </c>
      <c r="R326" s="6" t="str">
        <f t="shared" si="24"/>
        <v/>
      </c>
      <c r="S326" s="4" t="str">
        <f>IF($F326&lt;&gt;"",_xlfn.XLOOKUP(F326,Naturezas!B:B,Naturezas!E:E,"",0,1),"")</f>
        <v/>
      </c>
      <c r="T326" s="4" t="str">
        <f>IF($F326&lt;&gt;"",_xlfn.XLOOKUP($F326,Naturezas!B:B,Naturezas!D:D,"",0,1),"")</f>
        <v/>
      </c>
      <c r="U326" s="5" t="str">
        <f>IF(F326&lt;&gt;"",IF(OR(F326=Naturezas!$B$3,F326=Naturezas!$B$4,F326=Naturezas!$B$5,F326=Naturezas!$B$17,F326=Naturezas!$B$18,F326=Naturezas!$B$19),H326,-H326),"")</f>
        <v/>
      </c>
      <c r="V326" s="4" t="str">
        <f t="shared" si="25"/>
        <v/>
      </c>
      <c r="W326" s="4"/>
      <c r="X326" s="4" t="str">
        <f t="shared" si="26"/>
        <v/>
      </c>
      <c r="Y326" s="6" t="str">
        <f>IF(F326&lt;&gt;"",Tabela1[[#This Row],[Iniciais]],"")</f>
        <v/>
      </c>
      <c r="AA326" s="6" t="str">
        <f>IF($F326&lt;&gt;"",RIGHT(Tabela1[[#This Row],[Ref.]],2),"")</f>
        <v/>
      </c>
      <c r="AB326" s="46" t="str">
        <f>IF($F326&lt;&gt;"",DATE(LEFT(Tabela1[[#This Row],[Ref.]],4),RIGHT(Tabela1[[#This Row],[Ref.]],2),1),"")</f>
        <v/>
      </c>
      <c r="AC326" s="4" t="str">
        <f t="shared" si="27"/>
        <v/>
      </c>
      <c r="AD326" s="5" t="str">
        <f t="shared" si="28"/>
        <v/>
      </c>
      <c r="AE326" s="4"/>
      <c r="AF326" s="6" t="str">
        <f t="shared" si="29"/>
        <v/>
      </c>
    </row>
    <row r="327" spans="1:32" ht="15.75" customHeight="1" x14ac:dyDescent="0.2">
      <c r="A327" s="42"/>
      <c r="B327" s="44"/>
      <c r="C327" s="41"/>
      <c r="D327" s="41"/>
      <c r="E327" s="41"/>
      <c r="F327" s="11"/>
      <c r="G327" s="11"/>
      <c r="H327" s="43"/>
      <c r="K327" s="25"/>
      <c r="M327" s="31"/>
      <c r="N327" s="31"/>
      <c r="O327" s="33"/>
      <c r="Q327" s="6" t="str">
        <f>IF($F327&lt;&gt;"",RIGHT(Tabela1[[#This Row],[Ref.]],2),"")</f>
        <v/>
      </c>
      <c r="R327" s="6" t="str">
        <f t="shared" si="24"/>
        <v/>
      </c>
      <c r="S327" s="4" t="str">
        <f>IF($F327&lt;&gt;"",_xlfn.XLOOKUP(F327,Naturezas!B:B,Naturezas!E:E,"",0,1),"")</f>
        <v/>
      </c>
      <c r="T327" s="4" t="str">
        <f>IF($F327&lt;&gt;"",_xlfn.XLOOKUP($F327,Naturezas!B:B,Naturezas!D:D,"",0,1),"")</f>
        <v/>
      </c>
      <c r="U327" s="5" t="str">
        <f>IF(F327&lt;&gt;"",IF(OR(F327=Naturezas!$B$3,F327=Naturezas!$B$4,F327=Naturezas!$B$5,F327=Naturezas!$B$17,F327=Naturezas!$B$18,F327=Naturezas!$B$19),H327,-H327),"")</f>
        <v/>
      </c>
      <c r="V327" s="4" t="str">
        <f t="shared" si="25"/>
        <v/>
      </c>
      <c r="W327" s="4"/>
      <c r="X327" s="4" t="str">
        <f t="shared" si="26"/>
        <v/>
      </c>
      <c r="Y327" s="6" t="str">
        <f>IF(F327&lt;&gt;"",Tabela1[[#This Row],[Iniciais]],"")</f>
        <v/>
      </c>
      <c r="AA327" s="6" t="str">
        <f>IF($F327&lt;&gt;"",RIGHT(Tabela1[[#This Row],[Ref.]],2),"")</f>
        <v/>
      </c>
      <c r="AB327" s="46" t="str">
        <f>IF($F327&lt;&gt;"",DATE(LEFT(Tabela1[[#This Row],[Ref.]],4),RIGHT(Tabela1[[#This Row],[Ref.]],2),1),"")</f>
        <v/>
      </c>
      <c r="AC327" s="4" t="str">
        <f t="shared" si="27"/>
        <v/>
      </c>
      <c r="AD327" s="5" t="str">
        <f t="shared" si="28"/>
        <v/>
      </c>
      <c r="AE327" s="4"/>
      <c r="AF327" s="6" t="str">
        <f t="shared" si="29"/>
        <v/>
      </c>
    </row>
    <row r="328" spans="1:32" ht="15.75" customHeight="1" x14ac:dyDescent="0.2">
      <c r="A328" s="42"/>
      <c r="B328" s="44"/>
      <c r="C328" s="41"/>
      <c r="D328" s="41"/>
      <c r="E328" s="41"/>
      <c r="F328" s="11"/>
      <c r="G328" s="11"/>
      <c r="H328" s="43"/>
      <c r="K328" s="25"/>
      <c r="M328" s="31"/>
      <c r="N328" s="31"/>
      <c r="O328" s="33"/>
      <c r="Q328" s="6" t="str">
        <f>IF($F328&lt;&gt;"",RIGHT(Tabela1[[#This Row],[Ref.]],2),"")</f>
        <v/>
      </c>
      <c r="R328" s="6" t="str">
        <f t="shared" si="24"/>
        <v/>
      </c>
      <c r="S328" s="4" t="str">
        <f>IF($F328&lt;&gt;"",_xlfn.XLOOKUP(F328,Naturezas!B:B,Naturezas!E:E,"",0,1),"")</f>
        <v/>
      </c>
      <c r="T328" s="4" t="str">
        <f>IF($F328&lt;&gt;"",_xlfn.XLOOKUP($F328,Naturezas!B:B,Naturezas!D:D,"",0,1),"")</f>
        <v/>
      </c>
      <c r="U328" s="5" t="str">
        <f>IF(F328&lt;&gt;"",IF(OR(F328=Naturezas!$B$3,F328=Naturezas!$B$4,F328=Naturezas!$B$5,F328=Naturezas!$B$17,F328=Naturezas!$B$18,F328=Naturezas!$B$19),H328,-H328),"")</f>
        <v/>
      </c>
      <c r="V328" s="4" t="str">
        <f t="shared" si="25"/>
        <v/>
      </c>
      <c r="W328" s="4"/>
      <c r="X328" s="4" t="str">
        <f t="shared" si="26"/>
        <v/>
      </c>
      <c r="Y328" s="6" t="str">
        <f>IF(F328&lt;&gt;"",Tabela1[[#This Row],[Iniciais]],"")</f>
        <v/>
      </c>
      <c r="AA328" s="6" t="str">
        <f>IF($F328&lt;&gt;"",RIGHT(Tabela1[[#This Row],[Ref.]],2),"")</f>
        <v/>
      </c>
      <c r="AB328" s="46" t="str">
        <f>IF($F328&lt;&gt;"",DATE(LEFT(Tabela1[[#This Row],[Ref.]],4),RIGHT(Tabela1[[#This Row],[Ref.]],2),1),"")</f>
        <v/>
      </c>
      <c r="AC328" s="4" t="str">
        <f t="shared" si="27"/>
        <v/>
      </c>
      <c r="AD328" s="5" t="str">
        <f t="shared" si="28"/>
        <v/>
      </c>
      <c r="AE328" s="4"/>
      <c r="AF328" s="6" t="str">
        <f t="shared" si="29"/>
        <v/>
      </c>
    </row>
    <row r="329" spans="1:32" ht="15.75" customHeight="1" x14ac:dyDescent="0.2">
      <c r="A329" s="42"/>
      <c r="B329" s="44"/>
      <c r="C329" s="41"/>
      <c r="D329" s="41"/>
      <c r="E329" s="41"/>
      <c r="F329" s="11"/>
      <c r="G329" s="11"/>
      <c r="H329" s="43"/>
      <c r="K329" s="25"/>
      <c r="M329" s="31"/>
      <c r="N329" s="31"/>
      <c r="O329" s="33"/>
      <c r="Q329" s="6" t="str">
        <f>IF($F329&lt;&gt;"",RIGHT(Tabela1[[#This Row],[Ref.]],2),"")</f>
        <v/>
      </c>
      <c r="R329" s="6" t="str">
        <f t="shared" si="24"/>
        <v/>
      </c>
      <c r="S329" s="4" t="str">
        <f>IF($F329&lt;&gt;"",_xlfn.XLOOKUP(F329,Naturezas!B:B,Naturezas!E:E,"",0,1),"")</f>
        <v/>
      </c>
      <c r="T329" s="4" t="str">
        <f>IF($F329&lt;&gt;"",_xlfn.XLOOKUP($F329,Naturezas!B:B,Naturezas!D:D,"",0,1),"")</f>
        <v/>
      </c>
      <c r="U329" s="5" t="str">
        <f>IF(F329&lt;&gt;"",IF(OR(F329=Naturezas!$B$3,F329=Naturezas!$B$4,F329=Naturezas!$B$5,F329=Naturezas!$B$17,F329=Naturezas!$B$18,F329=Naturezas!$B$19),H329,-H329),"")</f>
        <v/>
      </c>
      <c r="V329" s="4" t="str">
        <f t="shared" si="25"/>
        <v/>
      </c>
      <c r="W329" s="4"/>
      <c r="X329" s="4" t="str">
        <f t="shared" si="26"/>
        <v/>
      </c>
      <c r="Y329" s="6" t="str">
        <f>IF(F329&lt;&gt;"",Tabela1[[#This Row],[Iniciais]],"")</f>
        <v/>
      </c>
      <c r="AA329" s="6" t="str">
        <f>IF($F329&lt;&gt;"",RIGHT(Tabela1[[#This Row],[Ref.]],2),"")</f>
        <v/>
      </c>
      <c r="AB329" s="46" t="str">
        <f>IF($F329&lt;&gt;"",DATE(LEFT(Tabela1[[#This Row],[Ref.]],4),RIGHT(Tabela1[[#This Row],[Ref.]],2),1),"")</f>
        <v/>
      </c>
      <c r="AC329" s="4" t="str">
        <f t="shared" si="27"/>
        <v/>
      </c>
      <c r="AD329" s="5" t="str">
        <f t="shared" si="28"/>
        <v/>
      </c>
      <c r="AE329" s="4"/>
      <c r="AF329" s="6" t="str">
        <f t="shared" si="29"/>
        <v/>
      </c>
    </row>
    <row r="330" spans="1:32" ht="15.75" customHeight="1" x14ac:dyDescent="0.2">
      <c r="A330" s="42"/>
      <c r="B330" s="44"/>
      <c r="C330" s="41"/>
      <c r="D330" s="41"/>
      <c r="E330" s="41"/>
      <c r="F330" s="11"/>
      <c r="G330" s="11"/>
      <c r="H330" s="43"/>
      <c r="K330" s="25"/>
      <c r="M330" s="31"/>
      <c r="N330" s="31"/>
      <c r="O330" s="33"/>
      <c r="Q330" s="6" t="str">
        <f>IF($F330&lt;&gt;"",RIGHT(Tabela1[[#This Row],[Ref.]],2),"")</f>
        <v/>
      </c>
      <c r="R330" s="6" t="str">
        <f t="shared" ref="R330:R393" si="30">IF($F330&lt;&gt;"",1,"")</f>
        <v/>
      </c>
      <c r="S330" s="4" t="str">
        <f>IF($F330&lt;&gt;"",_xlfn.XLOOKUP(F330,Naturezas!B:B,Naturezas!E:E,"",0,1),"")</f>
        <v/>
      </c>
      <c r="T330" s="4" t="str">
        <f>IF($F330&lt;&gt;"",_xlfn.XLOOKUP($F330,Naturezas!B:B,Naturezas!D:D,"",0,1),"")</f>
        <v/>
      </c>
      <c r="U330" s="5" t="str">
        <f>IF(F330&lt;&gt;"",IF(OR(F330=Naturezas!$B$3,F330=Naturezas!$B$4,F330=Naturezas!$B$5,F330=Naturezas!$B$17,F330=Naturezas!$B$18,F330=Naturezas!$B$19),H330,-H330),"")</f>
        <v/>
      </c>
      <c r="V330" s="4" t="str">
        <f t="shared" ref="V330:V393" si="31">IF(F330&lt;&gt;"",F330,"")</f>
        <v/>
      </c>
      <c r="W330" s="4"/>
      <c r="X330" s="4" t="str">
        <f t="shared" ref="X330:X393" si="32">IF(F330&lt;&gt;"",G330,"")</f>
        <v/>
      </c>
      <c r="Y330" s="6" t="str">
        <f>IF(F330&lt;&gt;"",Tabela1[[#This Row],[Iniciais]],"")</f>
        <v/>
      </c>
      <c r="AA330" s="6" t="str">
        <f>IF($F330&lt;&gt;"",RIGHT(Tabela1[[#This Row],[Ref.]],2),"")</f>
        <v/>
      </c>
      <c r="AB330" s="46" t="str">
        <f>IF($F330&lt;&gt;"",DATE(LEFT(Tabela1[[#This Row],[Ref.]],4),RIGHT(Tabela1[[#This Row],[Ref.]],2),1),"")</f>
        <v/>
      </c>
      <c r="AC330" s="4" t="str">
        <f t="shared" ref="AC330:AC393" si="33">IF($F330&lt;&gt;"",$G330,"")</f>
        <v/>
      </c>
      <c r="AD330" s="5" t="str">
        <f t="shared" ref="AD330:AD393" si="34">IF($F330&lt;&gt;"",$H330,"")</f>
        <v/>
      </c>
      <c r="AE330" s="4"/>
      <c r="AF330" s="6" t="str">
        <f t="shared" ref="AF330:AF393" si="35">IF($F330&lt;&gt;"",$B$2,"")</f>
        <v/>
      </c>
    </row>
    <row r="331" spans="1:32" ht="15.75" customHeight="1" x14ac:dyDescent="0.2">
      <c r="A331" s="42"/>
      <c r="B331" s="44"/>
      <c r="C331" s="41"/>
      <c r="D331" s="41"/>
      <c r="E331" s="41"/>
      <c r="F331" s="11"/>
      <c r="G331" s="11"/>
      <c r="H331" s="43"/>
      <c r="K331" s="25"/>
      <c r="M331" s="31"/>
      <c r="N331" s="31"/>
      <c r="O331" s="33"/>
      <c r="Q331" s="6" t="str">
        <f>IF($F331&lt;&gt;"",RIGHT(Tabela1[[#This Row],[Ref.]],2),"")</f>
        <v/>
      </c>
      <c r="R331" s="6" t="str">
        <f t="shared" si="30"/>
        <v/>
      </c>
      <c r="S331" s="4" t="str">
        <f>IF($F331&lt;&gt;"",_xlfn.XLOOKUP(F331,Naturezas!B:B,Naturezas!E:E,"",0,1),"")</f>
        <v/>
      </c>
      <c r="T331" s="4" t="str">
        <f>IF($F331&lt;&gt;"",_xlfn.XLOOKUP($F331,Naturezas!B:B,Naturezas!D:D,"",0,1),"")</f>
        <v/>
      </c>
      <c r="U331" s="5" t="str">
        <f>IF(F331&lt;&gt;"",IF(OR(F331=Naturezas!$B$3,F331=Naturezas!$B$4,F331=Naturezas!$B$5,F331=Naturezas!$B$17,F331=Naturezas!$B$18,F331=Naturezas!$B$19),H331,-H331),"")</f>
        <v/>
      </c>
      <c r="V331" s="4" t="str">
        <f t="shared" si="31"/>
        <v/>
      </c>
      <c r="W331" s="4"/>
      <c r="X331" s="4" t="str">
        <f t="shared" si="32"/>
        <v/>
      </c>
      <c r="Y331" s="6" t="str">
        <f>IF(F331&lt;&gt;"",Tabela1[[#This Row],[Iniciais]],"")</f>
        <v/>
      </c>
      <c r="AA331" s="6" t="str">
        <f>IF($F331&lt;&gt;"",RIGHT(Tabela1[[#This Row],[Ref.]],2),"")</f>
        <v/>
      </c>
      <c r="AB331" s="46" t="str">
        <f>IF($F331&lt;&gt;"",DATE(LEFT(Tabela1[[#This Row],[Ref.]],4),RIGHT(Tabela1[[#This Row],[Ref.]],2),1),"")</f>
        <v/>
      </c>
      <c r="AC331" s="4" t="str">
        <f t="shared" si="33"/>
        <v/>
      </c>
      <c r="AD331" s="5" t="str">
        <f t="shared" si="34"/>
        <v/>
      </c>
      <c r="AE331" s="4"/>
      <c r="AF331" s="6" t="str">
        <f t="shared" si="35"/>
        <v/>
      </c>
    </row>
    <row r="332" spans="1:32" ht="15.75" customHeight="1" x14ac:dyDescent="0.2">
      <c r="A332" s="42"/>
      <c r="B332" s="44"/>
      <c r="C332" s="41"/>
      <c r="D332" s="41"/>
      <c r="E332" s="41"/>
      <c r="F332" s="11"/>
      <c r="G332" s="11"/>
      <c r="H332" s="43"/>
      <c r="K332" s="25"/>
      <c r="M332" s="31"/>
      <c r="N332" s="31"/>
      <c r="O332" s="33"/>
      <c r="Q332" s="6" t="str">
        <f>IF($F332&lt;&gt;"",RIGHT(Tabela1[[#This Row],[Ref.]],2),"")</f>
        <v/>
      </c>
      <c r="R332" s="6" t="str">
        <f t="shared" si="30"/>
        <v/>
      </c>
      <c r="S332" s="4" t="str">
        <f>IF($F332&lt;&gt;"",_xlfn.XLOOKUP(F332,Naturezas!B:B,Naturezas!E:E,"",0,1),"")</f>
        <v/>
      </c>
      <c r="T332" s="4" t="str">
        <f>IF($F332&lt;&gt;"",_xlfn.XLOOKUP($F332,Naturezas!B:B,Naturezas!D:D,"",0,1),"")</f>
        <v/>
      </c>
      <c r="U332" s="5" t="str">
        <f>IF(F332&lt;&gt;"",IF(OR(F332=Naturezas!$B$3,F332=Naturezas!$B$4,F332=Naturezas!$B$5,F332=Naturezas!$B$17,F332=Naturezas!$B$18,F332=Naturezas!$B$19),H332,-H332),"")</f>
        <v/>
      </c>
      <c r="V332" s="4" t="str">
        <f t="shared" si="31"/>
        <v/>
      </c>
      <c r="W332" s="4"/>
      <c r="X332" s="4" t="str">
        <f t="shared" si="32"/>
        <v/>
      </c>
      <c r="Y332" s="6" t="str">
        <f>IF(F332&lt;&gt;"",Tabela1[[#This Row],[Iniciais]],"")</f>
        <v/>
      </c>
      <c r="AA332" s="6" t="str">
        <f>IF($F332&lt;&gt;"",RIGHT(Tabela1[[#This Row],[Ref.]],2),"")</f>
        <v/>
      </c>
      <c r="AB332" s="46" t="str">
        <f>IF($F332&lt;&gt;"",DATE(LEFT(Tabela1[[#This Row],[Ref.]],4),RIGHT(Tabela1[[#This Row],[Ref.]],2),1),"")</f>
        <v/>
      </c>
      <c r="AC332" s="4" t="str">
        <f t="shared" si="33"/>
        <v/>
      </c>
      <c r="AD332" s="5" t="str">
        <f t="shared" si="34"/>
        <v/>
      </c>
      <c r="AE332" s="4"/>
      <c r="AF332" s="6" t="str">
        <f t="shared" si="35"/>
        <v/>
      </c>
    </row>
    <row r="333" spans="1:32" ht="15.75" customHeight="1" x14ac:dyDescent="0.2">
      <c r="A333" s="42"/>
      <c r="B333" s="44"/>
      <c r="C333" s="41"/>
      <c r="D333" s="41"/>
      <c r="E333" s="41"/>
      <c r="F333" s="11"/>
      <c r="G333" s="11"/>
      <c r="H333" s="43"/>
      <c r="K333" s="25"/>
      <c r="M333" s="31"/>
      <c r="N333" s="31"/>
      <c r="O333" s="33"/>
      <c r="Q333" s="6" t="str">
        <f>IF($F333&lt;&gt;"",RIGHT(Tabela1[[#This Row],[Ref.]],2),"")</f>
        <v/>
      </c>
      <c r="R333" s="6" t="str">
        <f t="shared" si="30"/>
        <v/>
      </c>
      <c r="S333" s="4" t="str">
        <f>IF($F333&lt;&gt;"",_xlfn.XLOOKUP(F333,Naturezas!B:B,Naturezas!E:E,"",0,1),"")</f>
        <v/>
      </c>
      <c r="T333" s="4" t="str">
        <f>IF($F333&lt;&gt;"",_xlfn.XLOOKUP($F333,Naturezas!B:B,Naturezas!D:D,"",0,1),"")</f>
        <v/>
      </c>
      <c r="U333" s="5" t="str">
        <f>IF(F333&lt;&gt;"",IF(OR(F333=Naturezas!$B$3,F333=Naturezas!$B$4,F333=Naturezas!$B$5,F333=Naturezas!$B$17,F333=Naturezas!$B$18,F333=Naturezas!$B$19),H333,-H333),"")</f>
        <v/>
      </c>
      <c r="V333" s="4" t="str">
        <f t="shared" si="31"/>
        <v/>
      </c>
      <c r="W333" s="4"/>
      <c r="X333" s="4" t="str">
        <f t="shared" si="32"/>
        <v/>
      </c>
      <c r="Y333" s="6" t="str">
        <f>IF(F333&lt;&gt;"",Tabela1[[#This Row],[Iniciais]],"")</f>
        <v/>
      </c>
      <c r="AA333" s="6" t="str">
        <f>IF($F333&lt;&gt;"",RIGHT(Tabela1[[#This Row],[Ref.]],2),"")</f>
        <v/>
      </c>
      <c r="AB333" s="46" t="str">
        <f>IF($F333&lt;&gt;"",DATE(LEFT(Tabela1[[#This Row],[Ref.]],4),RIGHT(Tabela1[[#This Row],[Ref.]],2),1),"")</f>
        <v/>
      </c>
      <c r="AC333" s="4" t="str">
        <f t="shared" si="33"/>
        <v/>
      </c>
      <c r="AD333" s="5" t="str">
        <f t="shared" si="34"/>
        <v/>
      </c>
      <c r="AE333" s="4"/>
      <c r="AF333" s="6" t="str">
        <f t="shared" si="35"/>
        <v/>
      </c>
    </row>
    <row r="334" spans="1:32" ht="15.75" customHeight="1" x14ac:dyDescent="0.2">
      <c r="A334" s="42"/>
      <c r="B334" s="44"/>
      <c r="C334" s="41"/>
      <c r="D334" s="41"/>
      <c r="E334" s="41"/>
      <c r="F334" s="11"/>
      <c r="G334" s="11"/>
      <c r="H334" s="43"/>
      <c r="K334" s="25"/>
      <c r="M334" s="31"/>
      <c r="N334" s="31"/>
      <c r="O334" s="33"/>
      <c r="Q334" s="6" t="str">
        <f>IF($F334&lt;&gt;"",RIGHT(Tabela1[[#This Row],[Ref.]],2),"")</f>
        <v/>
      </c>
      <c r="R334" s="6" t="str">
        <f t="shared" si="30"/>
        <v/>
      </c>
      <c r="S334" s="4" t="str">
        <f>IF($F334&lt;&gt;"",_xlfn.XLOOKUP(F334,Naturezas!B:B,Naturezas!E:E,"",0,1),"")</f>
        <v/>
      </c>
      <c r="T334" s="4" t="str">
        <f>IF($F334&lt;&gt;"",_xlfn.XLOOKUP($F334,Naturezas!B:B,Naturezas!D:D,"",0,1),"")</f>
        <v/>
      </c>
      <c r="U334" s="5" t="str">
        <f>IF(F334&lt;&gt;"",IF(OR(F334=Naturezas!$B$3,F334=Naturezas!$B$4,F334=Naturezas!$B$5,F334=Naturezas!$B$17,F334=Naturezas!$B$18,F334=Naturezas!$B$19),H334,-H334),"")</f>
        <v/>
      </c>
      <c r="V334" s="4" t="str">
        <f t="shared" si="31"/>
        <v/>
      </c>
      <c r="W334" s="4"/>
      <c r="X334" s="4" t="str">
        <f t="shared" si="32"/>
        <v/>
      </c>
      <c r="Y334" s="6" t="str">
        <f>IF(F334&lt;&gt;"",Tabela1[[#This Row],[Iniciais]],"")</f>
        <v/>
      </c>
      <c r="AA334" s="6" t="str">
        <f>IF($F334&lt;&gt;"",RIGHT(Tabela1[[#This Row],[Ref.]],2),"")</f>
        <v/>
      </c>
      <c r="AB334" s="46" t="str">
        <f>IF($F334&lt;&gt;"",DATE(LEFT(Tabela1[[#This Row],[Ref.]],4),RIGHT(Tabela1[[#This Row],[Ref.]],2),1),"")</f>
        <v/>
      </c>
      <c r="AC334" s="4" t="str">
        <f t="shared" si="33"/>
        <v/>
      </c>
      <c r="AD334" s="5" t="str">
        <f t="shared" si="34"/>
        <v/>
      </c>
      <c r="AE334" s="4"/>
      <c r="AF334" s="6" t="str">
        <f t="shared" si="35"/>
        <v/>
      </c>
    </row>
    <row r="335" spans="1:32" ht="15.75" customHeight="1" x14ac:dyDescent="0.2">
      <c r="A335" s="42"/>
      <c r="B335" s="44"/>
      <c r="C335" s="41"/>
      <c r="D335" s="41"/>
      <c r="E335" s="41"/>
      <c r="F335" s="11"/>
      <c r="G335" s="11"/>
      <c r="H335" s="43"/>
      <c r="K335" s="25"/>
      <c r="M335" s="31"/>
      <c r="N335" s="31"/>
      <c r="O335" s="33"/>
      <c r="Q335" s="6" t="str">
        <f>IF($F335&lt;&gt;"",RIGHT(Tabela1[[#This Row],[Ref.]],2),"")</f>
        <v/>
      </c>
      <c r="R335" s="6" t="str">
        <f t="shared" si="30"/>
        <v/>
      </c>
      <c r="S335" s="4" t="str">
        <f>IF($F335&lt;&gt;"",_xlfn.XLOOKUP(F335,Naturezas!B:B,Naturezas!E:E,"",0,1),"")</f>
        <v/>
      </c>
      <c r="T335" s="4" t="str">
        <f>IF($F335&lt;&gt;"",_xlfn.XLOOKUP($F335,Naturezas!B:B,Naturezas!D:D,"",0,1),"")</f>
        <v/>
      </c>
      <c r="U335" s="5" t="str">
        <f>IF(F335&lt;&gt;"",IF(OR(F335=Naturezas!$B$3,F335=Naturezas!$B$4,F335=Naturezas!$B$5,F335=Naturezas!$B$17,F335=Naturezas!$B$18,F335=Naturezas!$B$19),H335,-H335),"")</f>
        <v/>
      </c>
      <c r="V335" s="4" t="str">
        <f t="shared" si="31"/>
        <v/>
      </c>
      <c r="W335" s="4"/>
      <c r="X335" s="4" t="str">
        <f t="shared" si="32"/>
        <v/>
      </c>
      <c r="Y335" s="6" t="str">
        <f>IF(F335&lt;&gt;"",Tabela1[[#This Row],[Iniciais]],"")</f>
        <v/>
      </c>
      <c r="AA335" s="6" t="str">
        <f>IF($F335&lt;&gt;"",RIGHT(Tabela1[[#This Row],[Ref.]],2),"")</f>
        <v/>
      </c>
      <c r="AB335" s="46" t="str">
        <f>IF($F335&lt;&gt;"",DATE(LEFT(Tabela1[[#This Row],[Ref.]],4),RIGHT(Tabela1[[#This Row],[Ref.]],2),1),"")</f>
        <v/>
      </c>
      <c r="AC335" s="4" t="str">
        <f t="shared" si="33"/>
        <v/>
      </c>
      <c r="AD335" s="5" t="str">
        <f t="shared" si="34"/>
        <v/>
      </c>
      <c r="AE335" s="4"/>
      <c r="AF335" s="6" t="str">
        <f t="shared" si="35"/>
        <v/>
      </c>
    </row>
    <row r="336" spans="1:32" ht="15.75" customHeight="1" x14ac:dyDescent="0.2">
      <c r="A336" s="42"/>
      <c r="B336" s="44"/>
      <c r="C336" s="41"/>
      <c r="D336" s="41"/>
      <c r="E336" s="41"/>
      <c r="F336" s="11"/>
      <c r="G336" s="11"/>
      <c r="H336" s="43"/>
      <c r="K336" s="25"/>
      <c r="M336" s="31"/>
      <c r="N336" s="31"/>
      <c r="O336" s="33"/>
      <c r="Q336" s="6" t="str">
        <f>IF($F336&lt;&gt;"",RIGHT(Tabela1[[#This Row],[Ref.]],2),"")</f>
        <v/>
      </c>
      <c r="R336" s="6" t="str">
        <f t="shared" si="30"/>
        <v/>
      </c>
      <c r="S336" s="4" t="str">
        <f>IF($F336&lt;&gt;"",_xlfn.XLOOKUP(F336,Naturezas!B:B,Naturezas!E:E,"",0,1),"")</f>
        <v/>
      </c>
      <c r="T336" s="4" t="str">
        <f>IF($F336&lt;&gt;"",_xlfn.XLOOKUP($F336,Naturezas!B:B,Naturezas!D:D,"",0,1),"")</f>
        <v/>
      </c>
      <c r="U336" s="5" t="str">
        <f>IF(F336&lt;&gt;"",IF(OR(F336=Naturezas!$B$3,F336=Naturezas!$B$4,F336=Naturezas!$B$5,F336=Naturezas!$B$17,F336=Naturezas!$B$18,F336=Naturezas!$B$19),H336,-H336),"")</f>
        <v/>
      </c>
      <c r="V336" s="4" t="str">
        <f t="shared" si="31"/>
        <v/>
      </c>
      <c r="W336" s="4"/>
      <c r="X336" s="4" t="str">
        <f t="shared" si="32"/>
        <v/>
      </c>
      <c r="Y336" s="6" t="str">
        <f>IF(F336&lt;&gt;"",Tabela1[[#This Row],[Iniciais]],"")</f>
        <v/>
      </c>
      <c r="AA336" s="6" t="str">
        <f>IF($F336&lt;&gt;"",RIGHT(Tabela1[[#This Row],[Ref.]],2),"")</f>
        <v/>
      </c>
      <c r="AB336" s="46" t="str">
        <f>IF($F336&lt;&gt;"",DATE(LEFT(Tabela1[[#This Row],[Ref.]],4),RIGHT(Tabela1[[#This Row],[Ref.]],2),1),"")</f>
        <v/>
      </c>
      <c r="AC336" s="4" t="str">
        <f t="shared" si="33"/>
        <v/>
      </c>
      <c r="AD336" s="5" t="str">
        <f t="shared" si="34"/>
        <v/>
      </c>
      <c r="AE336" s="4"/>
      <c r="AF336" s="6" t="str">
        <f t="shared" si="35"/>
        <v/>
      </c>
    </row>
    <row r="337" spans="1:32" ht="15.75" customHeight="1" x14ac:dyDescent="0.2">
      <c r="A337" s="42"/>
      <c r="B337" s="44"/>
      <c r="C337" s="41"/>
      <c r="D337" s="41"/>
      <c r="E337" s="41"/>
      <c r="F337" s="11"/>
      <c r="G337" s="11"/>
      <c r="H337" s="43"/>
      <c r="K337" s="25"/>
      <c r="M337" s="31"/>
      <c r="N337" s="31"/>
      <c r="O337" s="33"/>
      <c r="Q337" s="6" t="str">
        <f>IF($F337&lt;&gt;"",RIGHT(Tabela1[[#This Row],[Ref.]],2),"")</f>
        <v/>
      </c>
      <c r="R337" s="6" t="str">
        <f t="shared" si="30"/>
        <v/>
      </c>
      <c r="S337" s="4" t="str">
        <f>IF($F337&lt;&gt;"",_xlfn.XLOOKUP(F337,Naturezas!B:B,Naturezas!E:E,"",0,1),"")</f>
        <v/>
      </c>
      <c r="T337" s="4" t="str">
        <f>IF($F337&lt;&gt;"",_xlfn.XLOOKUP($F337,Naturezas!B:B,Naturezas!D:D,"",0,1),"")</f>
        <v/>
      </c>
      <c r="U337" s="5" t="str">
        <f>IF(F337&lt;&gt;"",IF(OR(F337=Naturezas!$B$3,F337=Naturezas!$B$4,F337=Naturezas!$B$5,F337=Naturezas!$B$17,F337=Naturezas!$B$18,F337=Naturezas!$B$19),H337,-H337),"")</f>
        <v/>
      </c>
      <c r="V337" s="4" t="str">
        <f t="shared" si="31"/>
        <v/>
      </c>
      <c r="W337" s="4"/>
      <c r="X337" s="4" t="str">
        <f t="shared" si="32"/>
        <v/>
      </c>
      <c r="Y337" s="6" t="str">
        <f>IF(F337&lt;&gt;"",Tabela1[[#This Row],[Iniciais]],"")</f>
        <v/>
      </c>
      <c r="AA337" s="6" t="str">
        <f>IF($F337&lt;&gt;"",RIGHT(Tabela1[[#This Row],[Ref.]],2),"")</f>
        <v/>
      </c>
      <c r="AB337" s="46" t="str">
        <f>IF($F337&lt;&gt;"",DATE(LEFT(Tabela1[[#This Row],[Ref.]],4),RIGHT(Tabela1[[#This Row],[Ref.]],2),1),"")</f>
        <v/>
      </c>
      <c r="AC337" s="4" t="str">
        <f t="shared" si="33"/>
        <v/>
      </c>
      <c r="AD337" s="5" t="str">
        <f t="shared" si="34"/>
        <v/>
      </c>
      <c r="AE337" s="4"/>
      <c r="AF337" s="6" t="str">
        <f t="shared" si="35"/>
        <v/>
      </c>
    </row>
    <row r="338" spans="1:32" ht="15.75" customHeight="1" x14ac:dyDescent="0.2">
      <c r="A338" s="42"/>
      <c r="B338" s="44"/>
      <c r="C338" s="41"/>
      <c r="D338" s="41"/>
      <c r="E338" s="41"/>
      <c r="F338" s="11"/>
      <c r="G338" s="11"/>
      <c r="H338" s="43"/>
      <c r="K338" s="25"/>
      <c r="M338" s="31"/>
      <c r="N338" s="31"/>
      <c r="O338" s="33"/>
      <c r="Q338" s="6" t="str">
        <f>IF($F338&lt;&gt;"",RIGHT(Tabela1[[#This Row],[Ref.]],2),"")</f>
        <v/>
      </c>
      <c r="R338" s="6" t="str">
        <f t="shared" si="30"/>
        <v/>
      </c>
      <c r="S338" s="4" t="str">
        <f>IF($F338&lt;&gt;"",_xlfn.XLOOKUP(F338,Naturezas!B:B,Naturezas!E:E,"",0,1),"")</f>
        <v/>
      </c>
      <c r="T338" s="4" t="str">
        <f>IF($F338&lt;&gt;"",_xlfn.XLOOKUP($F338,Naturezas!B:B,Naturezas!D:D,"",0,1),"")</f>
        <v/>
      </c>
      <c r="U338" s="5" t="str">
        <f>IF(F338&lt;&gt;"",IF(OR(F338=Naturezas!$B$3,F338=Naturezas!$B$4,F338=Naturezas!$B$5,F338=Naturezas!$B$17,F338=Naturezas!$B$18,F338=Naturezas!$B$19),H338,-H338),"")</f>
        <v/>
      </c>
      <c r="V338" s="4" t="str">
        <f t="shared" si="31"/>
        <v/>
      </c>
      <c r="W338" s="4"/>
      <c r="X338" s="4" t="str">
        <f t="shared" si="32"/>
        <v/>
      </c>
      <c r="Y338" s="6" t="str">
        <f>IF(F338&lt;&gt;"",Tabela1[[#This Row],[Iniciais]],"")</f>
        <v/>
      </c>
      <c r="AA338" s="6" t="str">
        <f>IF($F338&lt;&gt;"",RIGHT(Tabela1[[#This Row],[Ref.]],2),"")</f>
        <v/>
      </c>
      <c r="AB338" s="46" t="str">
        <f>IF($F338&lt;&gt;"",DATE(LEFT(Tabela1[[#This Row],[Ref.]],4),RIGHT(Tabela1[[#This Row],[Ref.]],2),1),"")</f>
        <v/>
      </c>
      <c r="AC338" s="4" t="str">
        <f t="shared" si="33"/>
        <v/>
      </c>
      <c r="AD338" s="5" t="str">
        <f t="shared" si="34"/>
        <v/>
      </c>
      <c r="AE338" s="4"/>
      <c r="AF338" s="6" t="str">
        <f t="shared" si="35"/>
        <v/>
      </c>
    </row>
    <row r="339" spans="1:32" ht="15.75" customHeight="1" x14ac:dyDescent="0.2">
      <c r="A339" s="42"/>
      <c r="B339" s="44"/>
      <c r="C339" s="41"/>
      <c r="D339" s="41"/>
      <c r="E339" s="41"/>
      <c r="F339" s="11"/>
      <c r="G339" s="11"/>
      <c r="H339" s="43"/>
      <c r="K339" s="25"/>
      <c r="M339" s="31"/>
      <c r="N339" s="31"/>
      <c r="O339" s="33"/>
      <c r="Q339" s="6" t="str">
        <f>IF($F339&lt;&gt;"",RIGHT(Tabela1[[#This Row],[Ref.]],2),"")</f>
        <v/>
      </c>
      <c r="R339" s="6" t="str">
        <f t="shared" si="30"/>
        <v/>
      </c>
      <c r="S339" s="4" t="str">
        <f>IF($F339&lt;&gt;"",_xlfn.XLOOKUP(F339,Naturezas!B:B,Naturezas!E:E,"",0,1),"")</f>
        <v/>
      </c>
      <c r="T339" s="4" t="str">
        <f>IF($F339&lt;&gt;"",_xlfn.XLOOKUP($F339,Naturezas!B:B,Naturezas!D:D,"",0,1),"")</f>
        <v/>
      </c>
      <c r="U339" s="5" t="str">
        <f>IF(F339&lt;&gt;"",IF(OR(F339=Naturezas!$B$3,F339=Naturezas!$B$4,F339=Naturezas!$B$5,F339=Naturezas!$B$17,F339=Naturezas!$B$18,F339=Naturezas!$B$19),H339,-H339),"")</f>
        <v/>
      </c>
      <c r="V339" s="4" t="str">
        <f t="shared" si="31"/>
        <v/>
      </c>
      <c r="W339" s="4"/>
      <c r="X339" s="4" t="str">
        <f t="shared" si="32"/>
        <v/>
      </c>
      <c r="Y339" s="6" t="str">
        <f>IF(F339&lt;&gt;"",Tabela1[[#This Row],[Iniciais]],"")</f>
        <v/>
      </c>
      <c r="AA339" s="6" t="str">
        <f>IF($F339&lt;&gt;"",RIGHT(Tabela1[[#This Row],[Ref.]],2),"")</f>
        <v/>
      </c>
      <c r="AB339" s="46" t="str">
        <f>IF($F339&lt;&gt;"",DATE(LEFT(Tabela1[[#This Row],[Ref.]],4),RIGHT(Tabela1[[#This Row],[Ref.]],2),1),"")</f>
        <v/>
      </c>
      <c r="AC339" s="4" t="str">
        <f t="shared" si="33"/>
        <v/>
      </c>
      <c r="AD339" s="5" t="str">
        <f t="shared" si="34"/>
        <v/>
      </c>
      <c r="AE339" s="4"/>
      <c r="AF339" s="6" t="str">
        <f t="shared" si="35"/>
        <v/>
      </c>
    </row>
    <row r="340" spans="1:32" ht="15.75" customHeight="1" x14ac:dyDescent="0.2">
      <c r="A340" s="42"/>
      <c r="B340" s="44"/>
      <c r="C340" s="41"/>
      <c r="D340" s="41"/>
      <c r="E340" s="41"/>
      <c r="F340" s="11"/>
      <c r="G340" s="11"/>
      <c r="H340" s="43"/>
      <c r="K340" s="25"/>
      <c r="M340" s="31"/>
      <c r="N340" s="31"/>
      <c r="O340" s="33"/>
      <c r="Q340" s="6" t="str">
        <f>IF($F340&lt;&gt;"",RIGHT(Tabela1[[#This Row],[Ref.]],2),"")</f>
        <v/>
      </c>
      <c r="R340" s="6" t="str">
        <f t="shared" si="30"/>
        <v/>
      </c>
      <c r="S340" s="4" t="str">
        <f>IF($F340&lt;&gt;"",_xlfn.XLOOKUP(F340,Naturezas!B:B,Naturezas!E:E,"",0,1),"")</f>
        <v/>
      </c>
      <c r="T340" s="4" t="str">
        <f>IF($F340&lt;&gt;"",_xlfn.XLOOKUP($F340,Naturezas!B:B,Naturezas!D:D,"",0,1),"")</f>
        <v/>
      </c>
      <c r="U340" s="5" t="str">
        <f>IF(F340&lt;&gt;"",IF(OR(F340=Naturezas!$B$3,F340=Naturezas!$B$4,F340=Naturezas!$B$5,F340=Naturezas!$B$17,F340=Naturezas!$B$18,F340=Naturezas!$B$19),H340,-H340),"")</f>
        <v/>
      </c>
      <c r="V340" s="4" t="str">
        <f t="shared" si="31"/>
        <v/>
      </c>
      <c r="W340" s="4"/>
      <c r="X340" s="4" t="str">
        <f t="shared" si="32"/>
        <v/>
      </c>
      <c r="Y340" s="6" t="str">
        <f>IF(F340&lt;&gt;"",Tabela1[[#This Row],[Iniciais]],"")</f>
        <v/>
      </c>
      <c r="AA340" s="6" t="str">
        <f>IF($F340&lt;&gt;"",RIGHT(Tabela1[[#This Row],[Ref.]],2),"")</f>
        <v/>
      </c>
      <c r="AB340" s="46" t="str">
        <f>IF($F340&lt;&gt;"",DATE(LEFT(Tabela1[[#This Row],[Ref.]],4),RIGHT(Tabela1[[#This Row],[Ref.]],2),1),"")</f>
        <v/>
      </c>
      <c r="AC340" s="4" t="str">
        <f t="shared" si="33"/>
        <v/>
      </c>
      <c r="AD340" s="5" t="str">
        <f t="shared" si="34"/>
        <v/>
      </c>
      <c r="AE340" s="4"/>
      <c r="AF340" s="6" t="str">
        <f t="shared" si="35"/>
        <v/>
      </c>
    </row>
    <row r="341" spans="1:32" ht="15.75" customHeight="1" x14ac:dyDescent="0.2">
      <c r="A341" s="42"/>
      <c r="B341" s="44"/>
      <c r="C341" s="41"/>
      <c r="D341" s="41"/>
      <c r="E341" s="41"/>
      <c r="F341" s="11"/>
      <c r="G341" s="11"/>
      <c r="H341" s="43"/>
      <c r="K341" s="25"/>
      <c r="M341" s="31"/>
      <c r="N341" s="31"/>
      <c r="O341" s="33"/>
      <c r="Q341" s="6" t="str">
        <f>IF($F341&lt;&gt;"",RIGHT(Tabela1[[#This Row],[Ref.]],2),"")</f>
        <v/>
      </c>
      <c r="R341" s="6" t="str">
        <f t="shared" si="30"/>
        <v/>
      </c>
      <c r="S341" s="4" t="str">
        <f>IF($F341&lt;&gt;"",_xlfn.XLOOKUP(F341,Naturezas!B:B,Naturezas!E:E,"",0,1),"")</f>
        <v/>
      </c>
      <c r="T341" s="4" t="str">
        <f>IF($F341&lt;&gt;"",_xlfn.XLOOKUP($F341,Naturezas!B:B,Naturezas!D:D,"",0,1),"")</f>
        <v/>
      </c>
      <c r="U341" s="5" t="str">
        <f>IF(F341&lt;&gt;"",IF(OR(F341=Naturezas!$B$3,F341=Naturezas!$B$4,F341=Naturezas!$B$5,F341=Naturezas!$B$17,F341=Naturezas!$B$18,F341=Naturezas!$B$19),H341,-H341),"")</f>
        <v/>
      </c>
      <c r="V341" s="4" t="str">
        <f t="shared" si="31"/>
        <v/>
      </c>
      <c r="W341" s="4"/>
      <c r="X341" s="4" t="str">
        <f t="shared" si="32"/>
        <v/>
      </c>
      <c r="Y341" s="6" t="str">
        <f>IF(F341&lt;&gt;"",Tabela1[[#This Row],[Iniciais]],"")</f>
        <v/>
      </c>
      <c r="AA341" s="6" t="str">
        <f>IF($F341&lt;&gt;"",RIGHT(Tabela1[[#This Row],[Ref.]],2),"")</f>
        <v/>
      </c>
      <c r="AB341" s="46" t="str">
        <f>IF($F341&lt;&gt;"",DATE(LEFT(Tabela1[[#This Row],[Ref.]],4),RIGHT(Tabela1[[#This Row],[Ref.]],2),1),"")</f>
        <v/>
      </c>
      <c r="AC341" s="4" t="str">
        <f t="shared" si="33"/>
        <v/>
      </c>
      <c r="AD341" s="5" t="str">
        <f t="shared" si="34"/>
        <v/>
      </c>
      <c r="AE341" s="4"/>
      <c r="AF341" s="6" t="str">
        <f t="shared" si="35"/>
        <v/>
      </c>
    </row>
    <row r="342" spans="1:32" ht="15.75" customHeight="1" x14ac:dyDescent="0.2">
      <c r="A342" s="42"/>
      <c r="B342" s="44"/>
      <c r="C342" s="41"/>
      <c r="D342" s="41"/>
      <c r="E342" s="41"/>
      <c r="F342" s="11"/>
      <c r="G342" s="11"/>
      <c r="H342" s="43"/>
      <c r="K342" s="25"/>
      <c r="M342" s="31"/>
      <c r="N342" s="31"/>
      <c r="O342" s="33"/>
      <c r="Q342" s="6" t="str">
        <f>IF($F342&lt;&gt;"",RIGHT(Tabela1[[#This Row],[Ref.]],2),"")</f>
        <v/>
      </c>
      <c r="R342" s="6" t="str">
        <f t="shared" si="30"/>
        <v/>
      </c>
      <c r="S342" s="4" t="str">
        <f>IF($F342&lt;&gt;"",_xlfn.XLOOKUP(F342,Naturezas!B:B,Naturezas!E:E,"",0,1),"")</f>
        <v/>
      </c>
      <c r="T342" s="4" t="str">
        <f>IF($F342&lt;&gt;"",_xlfn.XLOOKUP($F342,Naturezas!B:B,Naturezas!D:D,"",0,1),"")</f>
        <v/>
      </c>
      <c r="U342" s="5" t="str">
        <f>IF(F342&lt;&gt;"",IF(OR(F342=Naturezas!$B$3,F342=Naturezas!$B$4,F342=Naturezas!$B$5,F342=Naturezas!$B$17,F342=Naturezas!$B$18,F342=Naturezas!$B$19),H342,-H342),"")</f>
        <v/>
      </c>
      <c r="V342" s="4" t="str">
        <f t="shared" si="31"/>
        <v/>
      </c>
      <c r="W342" s="4"/>
      <c r="X342" s="4" t="str">
        <f t="shared" si="32"/>
        <v/>
      </c>
      <c r="Y342" s="6" t="str">
        <f>IF(F342&lt;&gt;"",Tabela1[[#This Row],[Iniciais]],"")</f>
        <v/>
      </c>
      <c r="AA342" s="6" t="str">
        <f>IF($F342&lt;&gt;"",RIGHT(Tabela1[[#This Row],[Ref.]],2),"")</f>
        <v/>
      </c>
      <c r="AB342" s="46" t="str">
        <f>IF($F342&lt;&gt;"",DATE(LEFT(Tabela1[[#This Row],[Ref.]],4),RIGHT(Tabela1[[#This Row],[Ref.]],2),1),"")</f>
        <v/>
      </c>
      <c r="AC342" s="4" t="str">
        <f t="shared" si="33"/>
        <v/>
      </c>
      <c r="AD342" s="5" t="str">
        <f t="shared" si="34"/>
        <v/>
      </c>
      <c r="AE342" s="4"/>
      <c r="AF342" s="6" t="str">
        <f t="shared" si="35"/>
        <v/>
      </c>
    </row>
    <row r="343" spans="1:32" ht="15.75" customHeight="1" x14ac:dyDescent="0.2">
      <c r="A343" s="42"/>
      <c r="B343" s="44"/>
      <c r="C343" s="41"/>
      <c r="D343" s="41"/>
      <c r="E343" s="41"/>
      <c r="F343" s="11"/>
      <c r="G343" s="11"/>
      <c r="H343" s="43"/>
      <c r="K343" s="25"/>
      <c r="M343" s="31"/>
      <c r="N343" s="31"/>
      <c r="O343" s="33"/>
      <c r="Q343" s="6" t="str">
        <f>IF($F343&lt;&gt;"",RIGHT(Tabela1[[#This Row],[Ref.]],2),"")</f>
        <v/>
      </c>
      <c r="R343" s="6" t="str">
        <f t="shared" si="30"/>
        <v/>
      </c>
      <c r="S343" s="4" t="str">
        <f>IF($F343&lt;&gt;"",_xlfn.XLOOKUP(F343,Naturezas!B:B,Naturezas!E:E,"",0,1),"")</f>
        <v/>
      </c>
      <c r="T343" s="4" t="str">
        <f>IF($F343&lt;&gt;"",_xlfn.XLOOKUP($F343,Naturezas!B:B,Naturezas!D:D,"",0,1),"")</f>
        <v/>
      </c>
      <c r="U343" s="5" t="str">
        <f>IF(F343&lt;&gt;"",IF(OR(F343=Naturezas!$B$3,F343=Naturezas!$B$4,F343=Naturezas!$B$5,F343=Naturezas!$B$17,F343=Naturezas!$B$18,F343=Naturezas!$B$19),H343,-H343),"")</f>
        <v/>
      </c>
      <c r="V343" s="4" t="str">
        <f t="shared" si="31"/>
        <v/>
      </c>
      <c r="W343" s="4"/>
      <c r="X343" s="4" t="str">
        <f t="shared" si="32"/>
        <v/>
      </c>
      <c r="Y343" s="6" t="str">
        <f>IF(F343&lt;&gt;"",Tabela1[[#This Row],[Iniciais]],"")</f>
        <v/>
      </c>
      <c r="AA343" s="6" t="str">
        <f>IF($F343&lt;&gt;"",RIGHT(Tabela1[[#This Row],[Ref.]],2),"")</f>
        <v/>
      </c>
      <c r="AB343" s="46" t="str">
        <f>IF($F343&lt;&gt;"",DATE(LEFT(Tabela1[[#This Row],[Ref.]],4),RIGHT(Tabela1[[#This Row],[Ref.]],2),1),"")</f>
        <v/>
      </c>
      <c r="AC343" s="4" t="str">
        <f t="shared" si="33"/>
        <v/>
      </c>
      <c r="AD343" s="5" t="str">
        <f t="shared" si="34"/>
        <v/>
      </c>
      <c r="AE343" s="4"/>
      <c r="AF343" s="6" t="str">
        <f t="shared" si="35"/>
        <v/>
      </c>
    </row>
    <row r="344" spans="1:32" ht="15.75" customHeight="1" x14ac:dyDescent="0.2">
      <c r="A344" s="42"/>
      <c r="B344" s="44"/>
      <c r="C344" s="41"/>
      <c r="D344" s="41"/>
      <c r="E344" s="41"/>
      <c r="F344" s="11"/>
      <c r="G344" s="11"/>
      <c r="H344" s="43"/>
      <c r="K344" s="25"/>
      <c r="M344" s="31"/>
      <c r="N344" s="31"/>
      <c r="O344" s="33"/>
      <c r="Q344" s="6" t="str">
        <f>IF($F344&lt;&gt;"",RIGHT(Tabela1[[#This Row],[Ref.]],2),"")</f>
        <v/>
      </c>
      <c r="R344" s="6" t="str">
        <f t="shared" si="30"/>
        <v/>
      </c>
      <c r="S344" s="4" t="str">
        <f>IF($F344&lt;&gt;"",_xlfn.XLOOKUP(F344,Naturezas!B:B,Naturezas!E:E,"",0,1),"")</f>
        <v/>
      </c>
      <c r="T344" s="4" t="str">
        <f>IF($F344&lt;&gt;"",_xlfn.XLOOKUP($F344,Naturezas!B:B,Naturezas!D:D,"",0,1),"")</f>
        <v/>
      </c>
      <c r="U344" s="5" t="str">
        <f>IF(F344&lt;&gt;"",IF(OR(F344=Naturezas!$B$3,F344=Naturezas!$B$4,F344=Naturezas!$B$5,F344=Naturezas!$B$17,F344=Naturezas!$B$18,F344=Naturezas!$B$19),H344,-H344),"")</f>
        <v/>
      </c>
      <c r="V344" s="4" t="str">
        <f t="shared" si="31"/>
        <v/>
      </c>
      <c r="W344" s="4"/>
      <c r="X344" s="4" t="str">
        <f t="shared" si="32"/>
        <v/>
      </c>
      <c r="Y344" s="6" t="str">
        <f>IF(F344&lt;&gt;"",Tabela1[[#This Row],[Iniciais]],"")</f>
        <v/>
      </c>
      <c r="AA344" s="6" t="str">
        <f>IF($F344&lt;&gt;"",RIGHT(Tabela1[[#This Row],[Ref.]],2),"")</f>
        <v/>
      </c>
      <c r="AB344" s="46" t="str">
        <f>IF($F344&lt;&gt;"",DATE(LEFT(Tabela1[[#This Row],[Ref.]],4),RIGHT(Tabela1[[#This Row],[Ref.]],2),1),"")</f>
        <v/>
      </c>
      <c r="AC344" s="4" t="str">
        <f t="shared" si="33"/>
        <v/>
      </c>
      <c r="AD344" s="5" t="str">
        <f t="shared" si="34"/>
        <v/>
      </c>
      <c r="AE344" s="4"/>
      <c r="AF344" s="6" t="str">
        <f t="shared" si="35"/>
        <v/>
      </c>
    </row>
    <row r="345" spans="1:32" ht="15.75" customHeight="1" x14ac:dyDescent="0.2">
      <c r="A345" s="42"/>
      <c r="B345" s="44"/>
      <c r="C345" s="41"/>
      <c r="D345" s="41"/>
      <c r="E345" s="41"/>
      <c r="F345" s="11"/>
      <c r="G345" s="11"/>
      <c r="H345" s="43"/>
      <c r="K345" s="25"/>
      <c r="M345" s="31"/>
      <c r="N345" s="31"/>
      <c r="O345" s="33"/>
      <c r="Q345" s="6" t="str">
        <f>IF($F345&lt;&gt;"",RIGHT(Tabela1[[#This Row],[Ref.]],2),"")</f>
        <v/>
      </c>
      <c r="R345" s="6" t="str">
        <f t="shared" si="30"/>
        <v/>
      </c>
      <c r="S345" s="4" t="str">
        <f>IF($F345&lt;&gt;"",_xlfn.XLOOKUP(F345,Naturezas!B:B,Naturezas!E:E,"",0,1),"")</f>
        <v/>
      </c>
      <c r="T345" s="4" t="str">
        <f>IF($F345&lt;&gt;"",_xlfn.XLOOKUP($F345,Naturezas!B:B,Naturezas!D:D,"",0,1),"")</f>
        <v/>
      </c>
      <c r="U345" s="5" t="str">
        <f>IF(F345&lt;&gt;"",IF(OR(F345=Naturezas!$B$3,F345=Naturezas!$B$4,F345=Naturezas!$B$5,F345=Naturezas!$B$17,F345=Naturezas!$B$18,F345=Naturezas!$B$19),H345,-H345),"")</f>
        <v/>
      </c>
      <c r="V345" s="4" t="str">
        <f t="shared" si="31"/>
        <v/>
      </c>
      <c r="W345" s="4"/>
      <c r="X345" s="4" t="str">
        <f t="shared" si="32"/>
        <v/>
      </c>
      <c r="Y345" s="6" t="str">
        <f>IF(F345&lt;&gt;"",Tabela1[[#This Row],[Iniciais]],"")</f>
        <v/>
      </c>
      <c r="AA345" s="6" t="str">
        <f>IF($F345&lt;&gt;"",RIGHT(Tabela1[[#This Row],[Ref.]],2),"")</f>
        <v/>
      </c>
      <c r="AB345" s="46" t="str">
        <f>IF($F345&lt;&gt;"",DATE(LEFT(Tabela1[[#This Row],[Ref.]],4),RIGHT(Tabela1[[#This Row],[Ref.]],2),1),"")</f>
        <v/>
      </c>
      <c r="AC345" s="4" t="str">
        <f t="shared" si="33"/>
        <v/>
      </c>
      <c r="AD345" s="5" t="str">
        <f t="shared" si="34"/>
        <v/>
      </c>
      <c r="AE345" s="4"/>
      <c r="AF345" s="6" t="str">
        <f t="shared" si="35"/>
        <v/>
      </c>
    </row>
    <row r="346" spans="1:32" ht="15.75" customHeight="1" x14ac:dyDescent="0.2">
      <c r="A346" s="42"/>
      <c r="B346" s="44"/>
      <c r="C346" s="41"/>
      <c r="D346" s="41"/>
      <c r="E346" s="41"/>
      <c r="F346" s="11"/>
      <c r="G346" s="11"/>
      <c r="H346" s="43"/>
      <c r="K346" s="25"/>
      <c r="M346" s="31"/>
      <c r="N346" s="31"/>
      <c r="O346" s="33"/>
      <c r="Q346" s="6" t="str">
        <f>IF($F346&lt;&gt;"",RIGHT(Tabela1[[#This Row],[Ref.]],2),"")</f>
        <v/>
      </c>
      <c r="R346" s="6" t="str">
        <f t="shared" si="30"/>
        <v/>
      </c>
      <c r="S346" s="4" t="str">
        <f>IF($F346&lt;&gt;"",_xlfn.XLOOKUP(F346,Naturezas!B:B,Naturezas!E:E,"",0,1),"")</f>
        <v/>
      </c>
      <c r="T346" s="4" t="str">
        <f>IF($F346&lt;&gt;"",_xlfn.XLOOKUP($F346,Naturezas!B:B,Naturezas!D:D,"",0,1),"")</f>
        <v/>
      </c>
      <c r="U346" s="5" t="str">
        <f>IF(F346&lt;&gt;"",IF(OR(F346=Naturezas!$B$3,F346=Naturezas!$B$4,F346=Naturezas!$B$5,F346=Naturezas!$B$17,F346=Naturezas!$B$18,F346=Naturezas!$B$19),H346,-H346),"")</f>
        <v/>
      </c>
      <c r="V346" s="4" t="str">
        <f t="shared" si="31"/>
        <v/>
      </c>
      <c r="W346" s="4"/>
      <c r="X346" s="4" t="str">
        <f t="shared" si="32"/>
        <v/>
      </c>
      <c r="Y346" s="6" t="str">
        <f>IF(F346&lt;&gt;"",Tabela1[[#This Row],[Iniciais]],"")</f>
        <v/>
      </c>
      <c r="AA346" s="6" t="str">
        <f>IF($F346&lt;&gt;"",RIGHT(Tabela1[[#This Row],[Ref.]],2),"")</f>
        <v/>
      </c>
      <c r="AB346" s="46" t="str">
        <f>IF($F346&lt;&gt;"",DATE(LEFT(Tabela1[[#This Row],[Ref.]],4),RIGHT(Tabela1[[#This Row],[Ref.]],2),1),"")</f>
        <v/>
      </c>
      <c r="AC346" s="4" t="str">
        <f t="shared" si="33"/>
        <v/>
      </c>
      <c r="AD346" s="5" t="str">
        <f t="shared" si="34"/>
        <v/>
      </c>
      <c r="AE346" s="4"/>
      <c r="AF346" s="6" t="str">
        <f t="shared" si="35"/>
        <v/>
      </c>
    </row>
    <row r="347" spans="1:32" ht="15.75" customHeight="1" x14ac:dyDescent="0.2">
      <c r="A347" s="42"/>
      <c r="B347" s="44"/>
      <c r="C347" s="41"/>
      <c r="D347" s="41"/>
      <c r="E347" s="41"/>
      <c r="F347" s="11"/>
      <c r="G347" s="11"/>
      <c r="H347" s="43"/>
      <c r="K347" s="25"/>
      <c r="M347" s="31"/>
      <c r="N347" s="31"/>
      <c r="O347" s="33"/>
      <c r="Q347" s="6" t="str">
        <f>IF($F347&lt;&gt;"",RIGHT(Tabela1[[#This Row],[Ref.]],2),"")</f>
        <v/>
      </c>
      <c r="R347" s="6" t="str">
        <f t="shared" si="30"/>
        <v/>
      </c>
      <c r="S347" s="4" t="str">
        <f>IF($F347&lt;&gt;"",_xlfn.XLOOKUP(F347,Naturezas!B:B,Naturezas!E:E,"",0,1),"")</f>
        <v/>
      </c>
      <c r="T347" s="4" t="str">
        <f>IF($F347&lt;&gt;"",_xlfn.XLOOKUP($F347,Naturezas!B:B,Naturezas!D:D,"",0,1),"")</f>
        <v/>
      </c>
      <c r="U347" s="5" t="str">
        <f>IF(F347&lt;&gt;"",IF(OR(F347=Naturezas!$B$3,F347=Naturezas!$B$4,F347=Naturezas!$B$5,F347=Naturezas!$B$17,F347=Naturezas!$B$18,F347=Naturezas!$B$19),H347,-H347),"")</f>
        <v/>
      </c>
      <c r="V347" s="4" t="str">
        <f t="shared" si="31"/>
        <v/>
      </c>
      <c r="W347" s="4"/>
      <c r="X347" s="4" t="str">
        <f t="shared" si="32"/>
        <v/>
      </c>
      <c r="Y347" s="6" t="str">
        <f>IF(F347&lt;&gt;"",Tabela1[[#This Row],[Iniciais]],"")</f>
        <v/>
      </c>
      <c r="AA347" s="6" t="str">
        <f>IF($F347&lt;&gt;"",RIGHT(Tabela1[[#This Row],[Ref.]],2),"")</f>
        <v/>
      </c>
      <c r="AB347" s="46" t="str">
        <f>IF($F347&lt;&gt;"",DATE(LEFT(Tabela1[[#This Row],[Ref.]],4),RIGHT(Tabela1[[#This Row],[Ref.]],2),1),"")</f>
        <v/>
      </c>
      <c r="AC347" s="4" t="str">
        <f t="shared" si="33"/>
        <v/>
      </c>
      <c r="AD347" s="5" t="str">
        <f t="shared" si="34"/>
        <v/>
      </c>
      <c r="AE347" s="4"/>
      <c r="AF347" s="6" t="str">
        <f t="shared" si="35"/>
        <v/>
      </c>
    </row>
    <row r="348" spans="1:32" ht="15.75" customHeight="1" x14ac:dyDescent="0.2">
      <c r="A348" s="42"/>
      <c r="B348" s="44"/>
      <c r="C348" s="41"/>
      <c r="D348" s="41"/>
      <c r="E348" s="41"/>
      <c r="F348" s="11"/>
      <c r="G348" s="11"/>
      <c r="H348" s="43"/>
      <c r="K348" s="25"/>
      <c r="M348" s="31"/>
      <c r="N348" s="31"/>
      <c r="O348" s="33"/>
      <c r="Q348" s="6" t="str">
        <f>IF($F348&lt;&gt;"",RIGHT(Tabela1[[#This Row],[Ref.]],2),"")</f>
        <v/>
      </c>
      <c r="R348" s="6" t="str">
        <f t="shared" si="30"/>
        <v/>
      </c>
      <c r="S348" s="4" t="str">
        <f>IF($F348&lt;&gt;"",_xlfn.XLOOKUP(F348,Naturezas!B:B,Naturezas!E:E,"",0,1),"")</f>
        <v/>
      </c>
      <c r="T348" s="4" t="str">
        <f>IF($F348&lt;&gt;"",_xlfn.XLOOKUP($F348,Naturezas!B:B,Naturezas!D:D,"",0,1),"")</f>
        <v/>
      </c>
      <c r="U348" s="5" t="str">
        <f>IF(F348&lt;&gt;"",IF(OR(F348=Naturezas!$B$3,F348=Naturezas!$B$4,F348=Naturezas!$B$5,F348=Naturezas!$B$17,F348=Naturezas!$B$18,F348=Naturezas!$B$19),H348,-H348),"")</f>
        <v/>
      </c>
      <c r="V348" s="4" t="str">
        <f t="shared" si="31"/>
        <v/>
      </c>
      <c r="W348" s="4"/>
      <c r="X348" s="4" t="str">
        <f t="shared" si="32"/>
        <v/>
      </c>
      <c r="Y348" s="6" t="str">
        <f>IF(F348&lt;&gt;"",Tabela1[[#This Row],[Iniciais]],"")</f>
        <v/>
      </c>
      <c r="AA348" s="6" t="str">
        <f>IF($F348&lt;&gt;"",RIGHT(Tabela1[[#This Row],[Ref.]],2),"")</f>
        <v/>
      </c>
      <c r="AB348" s="46" t="str">
        <f>IF($F348&lt;&gt;"",DATE(LEFT(Tabela1[[#This Row],[Ref.]],4),RIGHT(Tabela1[[#This Row],[Ref.]],2),1),"")</f>
        <v/>
      </c>
      <c r="AC348" s="4" t="str">
        <f t="shared" si="33"/>
        <v/>
      </c>
      <c r="AD348" s="5" t="str">
        <f t="shared" si="34"/>
        <v/>
      </c>
      <c r="AE348" s="4"/>
      <c r="AF348" s="6" t="str">
        <f t="shared" si="35"/>
        <v/>
      </c>
    </row>
    <row r="349" spans="1:32" ht="15.75" customHeight="1" x14ac:dyDescent="0.2">
      <c r="A349" s="42"/>
      <c r="B349" s="44"/>
      <c r="C349" s="41"/>
      <c r="D349" s="41"/>
      <c r="E349" s="41"/>
      <c r="F349" s="11"/>
      <c r="G349" s="11"/>
      <c r="H349" s="43"/>
      <c r="K349" s="25"/>
      <c r="M349" s="31"/>
      <c r="N349" s="31"/>
      <c r="O349" s="33"/>
      <c r="Q349" s="6" t="str">
        <f>IF($F349&lt;&gt;"",RIGHT(Tabela1[[#This Row],[Ref.]],2),"")</f>
        <v/>
      </c>
      <c r="R349" s="6" t="str">
        <f t="shared" si="30"/>
        <v/>
      </c>
      <c r="S349" s="4" t="str">
        <f>IF($F349&lt;&gt;"",_xlfn.XLOOKUP(F349,Naturezas!B:B,Naturezas!E:E,"",0,1),"")</f>
        <v/>
      </c>
      <c r="T349" s="4" t="str">
        <f>IF($F349&lt;&gt;"",_xlfn.XLOOKUP($F349,Naturezas!B:B,Naturezas!D:D,"",0,1),"")</f>
        <v/>
      </c>
      <c r="U349" s="5" t="str">
        <f>IF(F349&lt;&gt;"",IF(OR(F349=Naturezas!$B$3,F349=Naturezas!$B$4,F349=Naturezas!$B$5,F349=Naturezas!$B$17,F349=Naturezas!$B$18,F349=Naturezas!$B$19),H349,-H349),"")</f>
        <v/>
      </c>
      <c r="V349" s="4" t="str">
        <f t="shared" si="31"/>
        <v/>
      </c>
      <c r="W349" s="4"/>
      <c r="X349" s="4" t="str">
        <f t="shared" si="32"/>
        <v/>
      </c>
      <c r="Y349" s="6" t="str">
        <f>IF(F349&lt;&gt;"",Tabela1[[#This Row],[Iniciais]],"")</f>
        <v/>
      </c>
      <c r="AA349" s="6" t="str">
        <f>IF($F349&lt;&gt;"",RIGHT(Tabela1[[#This Row],[Ref.]],2),"")</f>
        <v/>
      </c>
      <c r="AB349" s="46" t="str">
        <f>IF($F349&lt;&gt;"",DATE(LEFT(Tabela1[[#This Row],[Ref.]],4),RIGHT(Tabela1[[#This Row],[Ref.]],2),1),"")</f>
        <v/>
      </c>
      <c r="AC349" s="4" t="str">
        <f t="shared" si="33"/>
        <v/>
      </c>
      <c r="AD349" s="5" t="str">
        <f t="shared" si="34"/>
        <v/>
      </c>
      <c r="AE349" s="4"/>
      <c r="AF349" s="6" t="str">
        <f t="shared" si="35"/>
        <v/>
      </c>
    </row>
    <row r="350" spans="1:32" ht="15.75" customHeight="1" x14ac:dyDescent="0.2">
      <c r="A350" s="42"/>
      <c r="B350" s="44"/>
      <c r="C350" s="41"/>
      <c r="D350" s="41"/>
      <c r="E350" s="41"/>
      <c r="F350" s="11"/>
      <c r="G350" s="11"/>
      <c r="H350" s="43"/>
      <c r="K350" s="25"/>
      <c r="M350" s="31"/>
      <c r="N350" s="31"/>
      <c r="O350" s="33"/>
      <c r="Q350" s="6" t="str">
        <f>IF($F350&lt;&gt;"",RIGHT(Tabela1[[#This Row],[Ref.]],2),"")</f>
        <v/>
      </c>
      <c r="R350" s="6" t="str">
        <f t="shared" si="30"/>
        <v/>
      </c>
      <c r="S350" s="4" t="str">
        <f>IF($F350&lt;&gt;"",_xlfn.XLOOKUP(F350,Naturezas!B:B,Naturezas!E:E,"",0,1),"")</f>
        <v/>
      </c>
      <c r="T350" s="4" t="str">
        <f>IF($F350&lt;&gt;"",_xlfn.XLOOKUP($F350,Naturezas!B:B,Naturezas!D:D,"",0,1),"")</f>
        <v/>
      </c>
      <c r="U350" s="5" t="str">
        <f>IF(F350&lt;&gt;"",IF(OR(F350=Naturezas!$B$3,F350=Naturezas!$B$4,F350=Naturezas!$B$5,F350=Naturezas!$B$17,F350=Naturezas!$B$18,F350=Naturezas!$B$19),H350,-H350),"")</f>
        <v/>
      </c>
      <c r="V350" s="4" t="str">
        <f t="shared" si="31"/>
        <v/>
      </c>
      <c r="W350" s="4"/>
      <c r="X350" s="4" t="str">
        <f t="shared" si="32"/>
        <v/>
      </c>
      <c r="Y350" s="6" t="str">
        <f>IF(F350&lt;&gt;"",Tabela1[[#This Row],[Iniciais]],"")</f>
        <v/>
      </c>
      <c r="AA350" s="6" t="str">
        <f>IF($F350&lt;&gt;"",RIGHT(Tabela1[[#This Row],[Ref.]],2),"")</f>
        <v/>
      </c>
      <c r="AB350" s="46" t="str">
        <f>IF($F350&lt;&gt;"",DATE(LEFT(Tabela1[[#This Row],[Ref.]],4),RIGHT(Tabela1[[#This Row],[Ref.]],2),1),"")</f>
        <v/>
      </c>
      <c r="AC350" s="4" t="str">
        <f t="shared" si="33"/>
        <v/>
      </c>
      <c r="AD350" s="5" t="str">
        <f t="shared" si="34"/>
        <v/>
      </c>
      <c r="AE350" s="4"/>
      <c r="AF350" s="6" t="str">
        <f t="shared" si="35"/>
        <v/>
      </c>
    </row>
    <row r="351" spans="1:32" ht="15.75" customHeight="1" x14ac:dyDescent="0.2">
      <c r="A351" s="42"/>
      <c r="B351" s="44"/>
      <c r="C351" s="41"/>
      <c r="D351" s="41"/>
      <c r="E351" s="41"/>
      <c r="F351" s="11"/>
      <c r="G351" s="11"/>
      <c r="H351" s="43"/>
      <c r="K351" s="25"/>
      <c r="M351" s="31"/>
      <c r="N351" s="31"/>
      <c r="O351" s="33"/>
      <c r="Q351" s="6" t="str">
        <f>IF($F351&lt;&gt;"",RIGHT(Tabela1[[#This Row],[Ref.]],2),"")</f>
        <v/>
      </c>
      <c r="R351" s="6" t="str">
        <f t="shared" si="30"/>
        <v/>
      </c>
      <c r="S351" s="4" t="str">
        <f>IF($F351&lt;&gt;"",_xlfn.XLOOKUP(F351,Naturezas!B:B,Naturezas!E:E,"",0,1),"")</f>
        <v/>
      </c>
      <c r="T351" s="4" t="str">
        <f>IF($F351&lt;&gt;"",_xlfn.XLOOKUP($F351,Naturezas!B:B,Naturezas!D:D,"",0,1),"")</f>
        <v/>
      </c>
      <c r="U351" s="5" t="str">
        <f>IF(F351&lt;&gt;"",IF(OR(F351=Naturezas!$B$3,F351=Naturezas!$B$4,F351=Naturezas!$B$5,F351=Naturezas!$B$17,F351=Naturezas!$B$18,F351=Naturezas!$B$19),H351,-H351),"")</f>
        <v/>
      </c>
      <c r="V351" s="4" t="str">
        <f t="shared" si="31"/>
        <v/>
      </c>
      <c r="W351" s="4"/>
      <c r="X351" s="4" t="str">
        <f t="shared" si="32"/>
        <v/>
      </c>
      <c r="Y351" s="6" t="str">
        <f>IF(F351&lt;&gt;"",Tabela1[[#This Row],[Iniciais]],"")</f>
        <v/>
      </c>
      <c r="AA351" s="6" t="str">
        <f>IF($F351&lt;&gt;"",RIGHT(Tabela1[[#This Row],[Ref.]],2),"")</f>
        <v/>
      </c>
      <c r="AB351" s="46" t="str">
        <f>IF($F351&lt;&gt;"",DATE(LEFT(Tabela1[[#This Row],[Ref.]],4),RIGHT(Tabela1[[#This Row],[Ref.]],2),1),"")</f>
        <v/>
      </c>
      <c r="AC351" s="4" t="str">
        <f t="shared" si="33"/>
        <v/>
      </c>
      <c r="AD351" s="5" t="str">
        <f t="shared" si="34"/>
        <v/>
      </c>
      <c r="AE351" s="4"/>
      <c r="AF351" s="6" t="str">
        <f t="shared" si="35"/>
        <v/>
      </c>
    </row>
    <row r="352" spans="1:32" ht="15.75" customHeight="1" x14ac:dyDescent="0.2">
      <c r="A352" s="42"/>
      <c r="B352" s="44"/>
      <c r="C352" s="41"/>
      <c r="D352" s="41"/>
      <c r="E352" s="41"/>
      <c r="F352" s="11"/>
      <c r="G352" s="11"/>
      <c r="H352" s="43"/>
      <c r="K352" s="25"/>
      <c r="M352" s="31"/>
      <c r="N352" s="31"/>
      <c r="O352" s="33"/>
      <c r="Q352" s="6" t="str">
        <f>IF($F352&lt;&gt;"",RIGHT(Tabela1[[#This Row],[Ref.]],2),"")</f>
        <v/>
      </c>
      <c r="R352" s="6" t="str">
        <f t="shared" si="30"/>
        <v/>
      </c>
      <c r="S352" s="4" t="str">
        <f>IF($F352&lt;&gt;"",_xlfn.XLOOKUP(F352,Naturezas!B:B,Naturezas!E:E,"",0,1),"")</f>
        <v/>
      </c>
      <c r="T352" s="4" t="str">
        <f>IF($F352&lt;&gt;"",_xlfn.XLOOKUP($F352,Naturezas!B:B,Naturezas!D:D,"",0,1),"")</f>
        <v/>
      </c>
      <c r="U352" s="5" t="str">
        <f>IF(F352&lt;&gt;"",IF(OR(F352=Naturezas!$B$3,F352=Naturezas!$B$4,F352=Naturezas!$B$5,F352=Naturezas!$B$17,F352=Naturezas!$B$18,F352=Naturezas!$B$19),H352,-H352),"")</f>
        <v/>
      </c>
      <c r="V352" s="4" t="str">
        <f t="shared" si="31"/>
        <v/>
      </c>
      <c r="W352" s="4"/>
      <c r="X352" s="4" t="str">
        <f t="shared" si="32"/>
        <v/>
      </c>
      <c r="Y352" s="6" t="str">
        <f>IF(F352&lt;&gt;"",Tabela1[[#This Row],[Iniciais]],"")</f>
        <v/>
      </c>
      <c r="AA352" s="6" t="str">
        <f>IF($F352&lt;&gt;"",RIGHT(Tabela1[[#This Row],[Ref.]],2),"")</f>
        <v/>
      </c>
      <c r="AB352" s="46" t="str">
        <f>IF($F352&lt;&gt;"",DATE(LEFT(Tabela1[[#This Row],[Ref.]],4),RIGHT(Tabela1[[#This Row],[Ref.]],2),1),"")</f>
        <v/>
      </c>
      <c r="AC352" s="4" t="str">
        <f t="shared" si="33"/>
        <v/>
      </c>
      <c r="AD352" s="5" t="str">
        <f t="shared" si="34"/>
        <v/>
      </c>
      <c r="AE352" s="4"/>
      <c r="AF352" s="6" t="str">
        <f t="shared" si="35"/>
        <v/>
      </c>
    </row>
    <row r="353" spans="1:32" ht="15.75" customHeight="1" x14ac:dyDescent="0.2">
      <c r="A353" s="42"/>
      <c r="B353" s="44"/>
      <c r="C353" s="41"/>
      <c r="D353" s="41"/>
      <c r="E353" s="41"/>
      <c r="F353" s="11"/>
      <c r="G353" s="11"/>
      <c r="H353" s="43"/>
      <c r="K353" s="25"/>
      <c r="M353" s="31"/>
      <c r="N353" s="31"/>
      <c r="O353" s="33"/>
      <c r="Q353" s="6" t="str">
        <f>IF($F353&lt;&gt;"",RIGHT(Tabela1[[#This Row],[Ref.]],2),"")</f>
        <v/>
      </c>
      <c r="R353" s="6" t="str">
        <f t="shared" si="30"/>
        <v/>
      </c>
      <c r="S353" s="4" t="str">
        <f>IF($F353&lt;&gt;"",_xlfn.XLOOKUP(F353,Naturezas!B:B,Naturezas!E:E,"",0,1),"")</f>
        <v/>
      </c>
      <c r="T353" s="4" t="str">
        <f>IF($F353&lt;&gt;"",_xlfn.XLOOKUP($F353,Naturezas!B:B,Naturezas!D:D,"",0,1),"")</f>
        <v/>
      </c>
      <c r="U353" s="5" t="str">
        <f>IF(F353&lt;&gt;"",IF(OR(F353=Naturezas!$B$3,F353=Naturezas!$B$4,F353=Naturezas!$B$5,F353=Naturezas!$B$17,F353=Naturezas!$B$18,F353=Naturezas!$B$19),H353,-H353),"")</f>
        <v/>
      </c>
      <c r="V353" s="4" t="str">
        <f t="shared" si="31"/>
        <v/>
      </c>
      <c r="W353" s="4"/>
      <c r="X353" s="4" t="str">
        <f t="shared" si="32"/>
        <v/>
      </c>
      <c r="Y353" s="6" t="str">
        <f>IF(F353&lt;&gt;"",Tabela1[[#This Row],[Iniciais]],"")</f>
        <v/>
      </c>
      <c r="AA353" s="6" t="str">
        <f>IF($F353&lt;&gt;"",RIGHT(Tabela1[[#This Row],[Ref.]],2),"")</f>
        <v/>
      </c>
      <c r="AB353" s="46" t="str">
        <f>IF($F353&lt;&gt;"",DATE(LEFT(Tabela1[[#This Row],[Ref.]],4),RIGHT(Tabela1[[#This Row],[Ref.]],2),1),"")</f>
        <v/>
      </c>
      <c r="AC353" s="4" t="str">
        <f t="shared" si="33"/>
        <v/>
      </c>
      <c r="AD353" s="5" t="str">
        <f t="shared" si="34"/>
        <v/>
      </c>
      <c r="AE353" s="4"/>
      <c r="AF353" s="6" t="str">
        <f t="shared" si="35"/>
        <v/>
      </c>
    </row>
    <row r="354" spans="1:32" ht="15.75" customHeight="1" x14ac:dyDescent="0.2">
      <c r="A354" s="42"/>
      <c r="B354" s="44"/>
      <c r="C354" s="41"/>
      <c r="D354" s="41"/>
      <c r="E354" s="41"/>
      <c r="F354" s="11"/>
      <c r="G354" s="11"/>
      <c r="H354" s="43"/>
      <c r="K354" s="25"/>
      <c r="M354" s="31"/>
      <c r="N354" s="31"/>
      <c r="O354" s="33"/>
      <c r="Q354" s="6" t="str">
        <f>IF($F354&lt;&gt;"",RIGHT(Tabela1[[#This Row],[Ref.]],2),"")</f>
        <v/>
      </c>
      <c r="R354" s="6" t="str">
        <f t="shared" si="30"/>
        <v/>
      </c>
      <c r="S354" s="4" t="str">
        <f>IF($F354&lt;&gt;"",_xlfn.XLOOKUP(F354,Naturezas!B:B,Naturezas!E:E,"",0,1),"")</f>
        <v/>
      </c>
      <c r="T354" s="4" t="str">
        <f>IF($F354&lt;&gt;"",_xlfn.XLOOKUP($F354,Naturezas!B:B,Naturezas!D:D,"",0,1),"")</f>
        <v/>
      </c>
      <c r="U354" s="5" t="str">
        <f>IF(F354&lt;&gt;"",IF(OR(F354=Naturezas!$B$3,F354=Naturezas!$B$4,F354=Naturezas!$B$5,F354=Naturezas!$B$17,F354=Naturezas!$B$18,F354=Naturezas!$B$19),H354,-H354),"")</f>
        <v/>
      </c>
      <c r="V354" s="4" t="str">
        <f t="shared" si="31"/>
        <v/>
      </c>
      <c r="W354" s="4"/>
      <c r="X354" s="4" t="str">
        <f t="shared" si="32"/>
        <v/>
      </c>
      <c r="Y354" s="6" t="str">
        <f>IF(F354&lt;&gt;"",Tabela1[[#This Row],[Iniciais]],"")</f>
        <v/>
      </c>
      <c r="AA354" s="6" t="str">
        <f>IF($F354&lt;&gt;"",RIGHT(Tabela1[[#This Row],[Ref.]],2),"")</f>
        <v/>
      </c>
      <c r="AB354" s="46" t="str">
        <f>IF($F354&lt;&gt;"",DATE(LEFT(Tabela1[[#This Row],[Ref.]],4),RIGHT(Tabela1[[#This Row],[Ref.]],2),1),"")</f>
        <v/>
      </c>
      <c r="AC354" s="4" t="str">
        <f t="shared" si="33"/>
        <v/>
      </c>
      <c r="AD354" s="5" t="str">
        <f t="shared" si="34"/>
        <v/>
      </c>
      <c r="AE354" s="4"/>
      <c r="AF354" s="6" t="str">
        <f t="shared" si="35"/>
        <v/>
      </c>
    </row>
    <row r="355" spans="1:32" ht="15.75" customHeight="1" x14ac:dyDescent="0.2">
      <c r="A355" s="42"/>
      <c r="B355" s="44"/>
      <c r="C355" s="41"/>
      <c r="D355" s="41"/>
      <c r="E355" s="41"/>
      <c r="F355" s="11"/>
      <c r="G355" s="11"/>
      <c r="H355" s="43"/>
      <c r="K355" s="25"/>
      <c r="M355" s="31"/>
      <c r="N355" s="31"/>
      <c r="O355" s="33"/>
      <c r="Q355" s="6" t="str">
        <f>IF($F355&lt;&gt;"",RIGHT(Tabela1[[#This Row],[Ref.]],2),"")</f>
        <v/>
      </c>
      <c r="R355" s="6" t="str">
        <f t="shared" si="30"/>
        <v/>
      </c>
      <c r="S355" s="4" t="str">
        <f>IF($F355&lt;&gt;"",_xlfn.XLOOKUP(F355,Naturezas!B:B,Naturezas!E:E,"",0,1),"")</f>
        <v/>
      </c>
      <c r="T355" s="4" t="str">
        <f>IF($F355&lt;&gt;"",_xlfn.XLOOKUP($F355,Naturezas!B:B,Naturezas!D:D,"",0,1),"")</f>
        <v/>
      </c>
      <c r="U355" s="5" t="str">
        <f>IF(F355&lt;&gt;"",IF(OR(F355=Naturezas!$B$3,F355=Naturezas!$B$4,F355=Naturezas!$B$5,F355=Naturezas!$B$17,F355=Naturezas!$B$18,F355=Naturezas!$B$19),H355,-H355),"")</f>
        <v/>
      </c>
      <c r="V355" s="4" t="str">
        <f t="shared" si="31"/>
        <v/>
      </c>
      <c r="W355" s="4"/>
      <c r="X355" s="4" t="str">
        <f t="shared" si="32"/>
        <v/>
      </c>
      <c r="Y355" s="6" t="str">
        <f>IF(F355&lt;&gt;"",Tabela1[[#This Row],[Iniciais]],"")</f>
        <v/>
      </c>
      <c r="AA355" s="6" t="str">
        <f>IF($F355&lt;&gt;"",RIGHT(Tabela1[[#This Row],[Ref.]],2),"")</f>
        <v/>
      </c>
      <c r="AB355" s="46" t="str">
        <f>IF($F355&lt;&gt;"",DATE(LEFT(Tabela1[[#This Row],[Ref.]],4),RIGHT(Tabela1[[#This Row],[Ref.]],2),1),"")</f>
        <v/>
      </c>
      <c r="AC355" s="4" t="str">
        <f t="shared" si="33"/>
        <v/>
      </c>
      <c r="AD355" s="5" t="str">
        <f t="shared" si="34"/>
        <v/>
      </c>
      <c r="AE355" s="4"/>
      <c r="AF355" s="6" t="str">
        <f t="shared" si="35"/>
        <v/>
      </c>
    </row>
    <row r="356" spans="1:32" ht="15.75" customHeight="1" x14ac:dyDescent="0.2">
      <c r="A356" s="42"/>
      <c r="B356" s="44"/>
      <c r="C356" s="41"/>
      <c r="D356" s="41"/>
      <c r="E356" s="41"/>
      <c r="F356" s="11"/>
      <c r="G356" s="11"/>
      <c r="H356" s="43"/>
      <c r="K356" s="25"/>
      <c r="M356" s="31"/>
      <c r="N356" s="31"/>
      <c r="O356" s="33"/>
      <c r="Q356" s="6" t="str">
        <f>IF($F356&lt;&gt;"",RIGHT(Tabela1[[#This Row],[Ref.]],2),"")</f>
        <v/>
      </c>
      <c r="R356" s="6" t="str">
        <f t="shared" si="30"/>
        <v/>
      </c>
      <c r="S356" s="4" t="str">
        <f>IF($F356&lt;&gt;"",_xlfn.XLOOKUP(F356,Naturezas!B:B,Naturezas!E:E,"",0,1),"")</f>
        <v/>
      </c>
      <c r="T356" s="4" t="str">
        <f>IF($F356&lt;&gt;"",_xlfn.XLOOKUP($F356,Naturezas!B:B,Naturezas!D:D,"",0,1),"")</f>
        <v/>
      </c>
      <c r="U356" s="5" t="str">
        <f>IF(F356&lt;&gt;"",IF(OR(F356=Naturezas!$B$3,F356=Naturezas!$B$4,F356=Naturezas!$B$5,F356=Naturezas!$B$17,F356=Naturezas!$B$18,F356=Naturezas!$B$19),H356,-H356),"")</f>
        <v/>
      </c>
      <c r="V356" s="4" t="str">
        <f t="shared" si="31"/>
        <v/>
      </c>
      <c r="W356" s="4"/>
      <c r="X356" s="4" t="str">
        <f t="shared" si="32"/>
        <v/>
      </c>
      <c r="Y356" s="6" t="str">
        <f>IF(F356&lt;&gt;"",Tabela1[[#This Row],[Iniciais]],"")</f>
        <v/>
      </c>
      <c r="AA356" s="6" t="str">
        <f>IF($F356&lt;&gt;"",RIGHT(Tabela1[[#This Row],[Ref.]],2),"")</f>
        <v/>
      </c>
      <c r="AB356" s="46" t="str">
        <f>IF($F356&lt;&gt;"",DATE(LEFT(Tabela1[[#This Row],[Ref.]],4),RIGHT(Tabela1[[#This Row],[Ref.]],2),1),"")</f>
        <v/>
      </c>
      <c r="AC356" s="4" t="str">
        <f t="shared" si="33"/>
        <v/>
      </c>
      <c r="AD356" s="5" t="str">
        <f t="shared" si="34"/>
        <v/>
      </c>
      <c r="AE356" s="4"/>
      <c r="AF356" s="6" t="str">
        <f t="shared" si="35"/>
        <v/>
      </c>
    </row>
    <row r="357" spans="1:32" ht="15.75" customHeight="1" x14ac:dyDescent="0.2">
      <c r="A357" s="42"/>
      <c r="B357" s="44"/>
      <c r="C357" s="41"/>
      <c r="D357" s="41"/>
      <c r="E357" s="41"/>
      <c r="F357" s="11"/>
      <c r="G357" s="11"/>
      <c r="H357" s="43"/>
      <c r="K357" s="25"/>
      <c r="M357" s="31"/>
      <c r="N357" s="31"/>
      <c r="O357" s="33"/>
      <c r="Q357" s="6" t="str">
        <f>IF($F357&lt;&gt;"",RIGHT(Tabela1[[#This Row],[Ref.]],2),"")</f>
        <v/>
      </c>
      <c r="R357" s="6" t="str">
        <f t="shared" si="30"/>
        <v/>
      </c>
      <c r="S357" s="4" t="str">
        <f>IF($F357&lt;&gt;"",_xlfn.XLOOKUP(F357,Naturezas!B:B,Naturezas!E:E,"",0,1),"")</f>
        <v/>
      </c>
      <c r="T357" s="4" t="str">
        <f>IF($F357&lt;&gt;"",_xlfn.XLOOKUP($F357,Naturezas!B:B,Naturezas!D:D,"",0,1),"")</f>
        <v/>
      </c>
      <c r="U357" s="5" t="str">
        <f>IF(F357&lt;&gt;"",IF(OR(F357=Naturezas!$B$3,F357=Naturezas!$B$4,F357=Naturezas!$B$5,F357=Naturezas!$B$17,F357=Naturezas!$B$18,F357=Naturezas!$B$19),H357,-H357),"")</f>
        <v/>
      </c>
      <c r="V357" s="4" t="str">
        <f t="shared" si="31"/>
        <v/>
      </c>
      <c r="W357" s="4"/>
      <c r="X357" s="4" t="str">
        <f t="shared" si="32"/>
        <v/>
      </c>
      <c r="Y357" s="6" t="str">
        <f>IF(F357&lt;&gt;"",Tabela1[[#This Row],[Iniciais]],"")</f>
        <v/>
      </c>
      <c r="AA357" s="6" t="str">
        <f>IF($F357&lt;&gt;"",RIGHT(Tabela1[[#This Row],[Ref.]],2),"")</f>
        <v/>
      </c>
      <c r="AB357" s="46" t="str">
        <f>IF($F357&lt;&gt;"",DATE(LEFT(Tabela1[[#This Row],[Ref.]],4),RIGHT(Tabela1[[#This Row],[Ref.]],2),1),"")</f>
        <v/>
      </c>
      <c r="AC357" s="4" t="str">
        <f t="shared" si="33"/>
        <v/>
      </c>
      <c r="AD357" s="5" t="str">
        <f t="shared" si="34"/>
        <v/>
      </c>
      <c r="AE357" s="4"/>
      <c r="AF357" s="6" t="str">
        <f t="shared" si="35"/>
        <v/>
      </c>
    </row>
    <row r="358" spans="1:32" ht="15.75" customHeight="1" x14ac:dyDescent="0.2">
      <c r="A358" s="42"/>
      <c r="B358" s="44"/>
      <c r="C358" s="41"/>
      <c r="D358" s="41"/>
      <c r="E358" s="41"/>
      <c r="F358" s="11"/>
      <c r="G358" s="11"/>
      <c r="H358" s="43"/>
      <c r="K358" s="25"/>
      <c r="M358" s="31"/>
      <c r="N358" s="31"/>
      <c r="O358" s="33"/>
      <c r="Q358" s="6" t="str">
        <f>IF($F358&lt;&gt;"",RIGHT(Tabela1[[#This Row],[Ref.]],2),"")</f>
        <v/>
      </c>
      <c r="R358" s="6" t="str">
        <f t="shared" si="30"/>
        <v/>
      </c>
      <c r="S358" s="4" t="str">
        <f>IF($F358&lt;&gt;"",_xlfn.XLOOKUP(F358,Naturezas!B:B,Naturezas!E:E,"",0,1),"")</f>
        <v/>
      </c>
      <c r="T358" s="4" t="str">
        <f>IF($F358&lt;&gt;"",_xlfn.XLOOKUP($F358,Naturezas!B:B,Naturezas!D:D,"",0,1),"")</f>
        <v/>
      </c>
      <c r="U358" s="5" t="str">
        <f>IF(F358&lt;&gt;"",IF(OR(F358=Naturezas!$B$3,F358=Naturezas!$B$4,F358=Naturezas!$B$5,F358=Naturezas!$B$17,F358=Naturezas!$B$18,F358=Naturezas!$B$19),H358,-H358),"")</f>
        <v/>
      </c>
      <c r="V358" s="4" t="str">
        <f t="shared" si="31"/>
        <v/>
      </c>
      <c r="W358" s="4"/>
      <c r="X358" s="4" t="str">
        <f t="shared" si="32"/>
        <v/>
      </c>
      <c r="Y358" s="6" t="str">
        <f>IF(F358&lt;&gt;"",Tabela1[[#This Row],[Iniciais]],"")</f>
        <v/>
      </c>
      <c r="AA358" s="6" t="str">
        <f>IF($F358&lt;&gt;"",RIGHT(Tabela1[[#This Row],[Ref.]],2),"")</f>
        <v/>
      </c>
      <c r="AB358" s="46" t="str">
        <f>IF($F358&lt;&gt;"",DATE(LEFT(Tabela1[[#This Row],[Ref.]],4),RIGHT(Tabela1[[#This Row],[Ref.]],2),1),"")</f>
        <v/>
      </c>
      <c r="AC358" s="4" t="str">
        <f t="shared" si="33"/>
        <v/>
      </c>
      <c r="AD358" s="5" t="str">
        <f t="shared" si="34"/>
        <v/>
      </c>
      <c r="AE358" s="4"/>
      <c r="AF358" s="6" t="str">
        <f t="shared" si="35"/>
        <v/>
      </c>
    </row>
    <row r="359" spans="1:32" ht="15.75" customHeight="1" x14ac:dyDescent="0.2">
      <c r="A359" s="42"/>
      <c r="B359" s="44"/>
      <c r="C359" s="41"/>
      <c r="D359" s="41"/>
      <c r="E359" s="41"/>
      <c r="F359" s="11"/>
      <c r="G359" s="11"/>
      <c r="H359" s="43"/>
      <c r="K359" s="25"/>
      <c r="M359" s="31"/>
      <c r="N359" s="31"/>
      <c r="O359" s="33"/>
      <c r="Q359" s="6" t="str">
        <f>IF($F359&lt;&gt;"",RIGHT(Tabela1[[#This Row],[Ref.]],2),"")</f>
        <v/>
      </c>
      <c r="R359" s="6" t="str">
        <f t="shared" si="30"/>
        <v/>
      </c>
      <c r="S359" s="4" t="str">
        <f>IF($F359&lt;&gt;"",_xlfn.XLOOKUP(F359,Naturezas!B:B,Naturezas!E:E,"",0,1),"")</f>
        <v/>
      </c>
      <c r="T359" s="4" t="str">
        <f>IF($F359&lt;&gt;"",_xlfn.XLOOKUP($F359,Naturezas!B:B,Naturezas!D:D,"",0,1),"")</f>
        <v/>
      </c>
      <c r="U359" s="5" t="str">
        <f>IF(F359&lt;&gt;"",IF(OR(F359=Naturezas!$B$3,F359=Naturezas!$B$4,F359=Naturezas!$B$5,F359=Naturezas!$B$17,F359=Naturezas!$B$18,F359=Naturezas!$B$19),H359,-H359),"")</f>
        <v/>
      </c>
      <c r="V359" s="4" t="str">
        <f t="shared" si="31"/>
        <v/>
      </c>
      <c r="W359" s="4"/>
      <c r="X359" s="4" t="str">
        <f t="shared" si="32"/>
        <v/>
      </c>
      <c r="Y359" s="6" t="str">
        <f>IF(F359&lt;&gt;"",Tabela1[[#This Row],[Iniciais]],"")</f>
        <v/>
      </c>
      <c r="AA359" s="6" t="str">
        <f>IF($F359&lt;&gt;"",RIGHT(Tabela1[[#This Row],[Ref.]],2),"")</f>
        <v/>
      </c>
      <c r="AB359" s="46" t="str">
        <f>IF($F359&lt;&gt;"",DATE(LEFT(Tabela1[[#This Row],[Ref.]],4),RIGHT(Tabela1[[#This Row],[Ref.]],2),1),"")</f>
        <v/>
      </c>
      <c r="AC359" s="4" t="str">
        <f t="shared" si="33"/>
        <v/>
      </c>
      <c r="AD359" s="5" t="str">
        <f t="shared" si="34"/>
        <v/>
      </c>
      <c r="AE359" s="4"/>
      <c r="AF359" s="6" t="str">
        <f t="shared" si="35"/>
        <v/>
      </c>
    </row>
    <row r="360" spans="1:32" ht="15.75" customHeight="1" x14ac:dyDescent="0.2">
      <c r="A360" s="42"/>
      <c r="B360" s="44"/>
      <c r="C360" s="41"/>
      <c r="D360" s="41"/>
      <c r="E360" s="41"/>
      <c r="F360" s="11"/>
      <c r="G360" s="11"/>
      <c r="H360" s="43"/>
      <c r="K360" s="25"/>
      <c r="M360" s="31"/>
      <c r="N360" s="31"/>
      <c r="O360" s="33"/>
      <c r="Q360" s="6" t="str">
        <f>IF($F360&lt;&gt;"",RIGHT(Tabela1[[#This Row],[Ref.]],2),"")</f>
        <v/>
      </c>
      <c r="R360" s="6" t="str">
        <f t="shared" si="30"/>
        <v/>
      </c>
      <c r="S360" s="4" t="str">
        <f>IF($F360&lt;&gt;"",_xlfn.XLOOKUP(F360,Naturezas!B:B,Naturezas!E:E,"",0,1),"")</f>
        <v/>
      </c>
      <c r="T360" s="4" t="str">
        <f>IF($F360&lt;&gt;"",_xlfn.XLOOKUP($F360,Naturezas!B:B,Naturezas!D:D,"",0,1),"")</f>
        <v/>
      </c>
      <c r="U360" s="5" t="str">
        <f>IF(F360&lt;&gt;"",IF(OR(F360=Naturezas!$B$3,F360=Naturezas!$B$4,F360=Naturezas!$B$5,F360=Naturezas!$B$17,F360=Naturezas!$B$18,F360=Naturezas!$B$19),H360,-H360),"")</f>
        <v/>
      </c>
      <c r="V360" s="4" t="str">
        <f t="shared" si="31"/>
        <v/>
      </c>
      <c r="W360" s="4"/>
      <c r="X360" s="4" t="str">
        <f t="shared" si="32"/>
        <v/>
      </c>
      <c r="Y360" s="6" t="str">
        <f>IF(F360&lt;&gt;"",Tabela1[[#This Row],[Iniciais]],"")</f>
        <v/>
      </c>
      <c r="AA360" s="6" t="str">
        <f>IF($F360&lt;&gt;"",RIGHT(Tabela1[[#This Row],[Ref.]],2),"")</f>
        <v/>
      </c>
      <c r="AB360" s="46" t="str">
        <f>IF($F360&lt;&gt;"",DATE(LEFT(Tabela1[[#This Row],[Ref.]],4),RIGHT(Tabela1[[#This Row],[Ref.]],2),1),"")</f>
        <v/>
      </c>
      <c r="AC360" s="4" t="str">
        <f t="shared" si="33"/>
        <v/>
      </c>
      <c r="AD360" s="5" t="str">
        <f t="shared" si="34"/>
        <v/>
      </c>
      <c r="AE360" s="4"/>
      <c r="AF360" s="6" t="str">
        <f t="shared" si="35"/>
        <v/>
      </c>
    </row>
    <row r="361" spans="1:32" ht="15.75" customHeight="1" x14ac:dyDescent="0.2">
      <c r="A361" s="42"/>
      <c r="B361" s="44"/>
      <c r="C361" s="41"/>
      <c r="D361" s="41"/>
      <c r="E361" s="41"/>
      <c r="F361" s="11"/>
      <c r="G361" s="11"/>
      <c r="H361" s="43"/>
      <c r="K361" s="25"/>
      <c r="M361" s="31"/>
      <c r="N361" s="31"/>
      <c r="O361" s="33"/>
      <c r="Q361" s="6" t="str">
        <f>IF($F361&lt;&gt;"",RIGHT(Tabela1[[#This Row],[Ref.]],2),"")</f>
        <v/>
      </c>
      <c r="R361" s="6" t="str">
        <f t="shared" si="30"/>
        <v/>
      </c>
      <c r="S361" s="4" t="str">
        <f>IF($F361&lt;&gt;"",_xlfn.XLOOKUP(F361,Naturezas!B:B,Naturezas!E:E,"",0,1),"")</f>
        <v/>
      </c>
      <c r="T361" s="4" t="str">
        <f>IF($F361&lt;&gt;"",_xlfn.XLOOKUP($F361,Naturezas!B:B,Naturezas!D:D,"",0,1),"")</f>
        <v/>
      </c>
      <c r="U361" s="5" t="str">
        <f>IF(F361&lt;&gt;"",IF(OR(F361=Naturezas!$B$3,F361=Naturezas!$B$4,F361=Naturezas!$B$5,F361=Naturezas!$B$17,F361=Naturezas!$B$18,F361=Naturezas!$B$19),H361,-H361),"")</f>
        <v/>
      </c>
      <c r="V361" s="4" t="str">
        <f t="shared" si="31"/>
        <v/>
      </c>
      <c r="W361" s="4"/>
      <c r="X361" s="4" t="str">
        <f t="shared" si="32"/>
        <v/>
      </c>
      <c r="Y361" s="6" t="str">
        <f>IF(F361&lt;&gt;"",Tabela1[[#This Row],[Iniciais]],"")</f>
        <v/>
      </c>
      <c r="AA361" s="6" t="str">
        <f>IF($F361&lt;&gt;"",RIGHT(Tabela1[[#This Row],[Ref.]],2),"")</f>
        <v/>
      </c>
      <c r="AB361" s="46" t="str">
        <f>IF($F361&lt;&gt;"",DATE(LEFT(Tabela1[[#This Row],[Ref.]],4),RIGHT(Tabela1[[#This Row],[Ref.]],2),1),"")</f>
        <v/>
      </c>
      <c r="AC361" s="4" t="str">
        <f t="shared" si="33"/>
        <v/>
      </c>
      <c r="AD361" s="5" t="str">
        <f t="shared" si="34"/>
        <v/>
      </c>
      <c r="AE361" s="4"/>
      <c r="AF361" s="6" t="str">
        <f t="shared" si="35"/>
        <v/>
      </c>
    </row>
    <row r="362" spans="1:32" ht="15.75" customHeight="1" x14ac:dyDescent="0.2">
      <c r="A362" s="42"/>
      <c r="B362" s="44"/>
      <c r="C362" s="41"/>
      <c r="D362" s="41"/>
      <c r="E362" s="41"/>
      <c r="F362" s="11"/>
      <c r="G362" s="11"/>
      <c r="H362" s="43"/>
      <c r="K362" s="25"/>
      <c r="M362" s="31"/>
      <c r="N362" s="31"/>
      <c r="O362" s="33"/>
      <c r="Q362" s="6" t="str">
        <f>IF($F362&lt;&gt;"",RIGHT(Tabela1[[#This Row],[Ref.]],2),"")</f>
        <v/>
      </c>
      <c r="R362" s="6" t="str">
        <f t="shared" si="30"/>
        <v/>
      </c>
      <c r="S362" s="4" t="str">
        <f>IF($F362&lt;&gt;"",_xlfn.XLOOKUP(F362,Naturezas!B:B,Naturezas!E:E,"",0,1),"")</f>
        <v/>
      </c>
      <c r="T362" s="4" t="str">
        <f>IF($F362&lt;&gt;"",_xlfn.XLOOKUP($F362,Naturezas!B:B,Naturezas!D:D,"",0,1),"")</f>
        <v/>
      </c>
      <c r="U362" s="5" t="str">
        <f>IF(F362&lt;&gt;"",IF(OR(F362=Naturezas!$B$3,F362=Naturezas!$B$4,F362=Naturezas!$B$5,F362=Naturezas!$B$17,F362=Naturezas!$B$18,F362=Naturezas!$B$19),H362,-H362),"")</f>
        <v/>
      </c>
      <c r="V362" s="4" t="str">
        <f t="shared" si="31"/>
        <v/>
      </c>
      <c r="W362" s="4"/>
      <c r="X362" s="4" t="str">
        <f t="shared" si="32"/>
        <v/>
      </c>
      <c r="Y362" s="6" t="str">
        <f>IF(F362&lt;&gt;"",Tabela1[[#This Row],[Iniciais]],"")</f>
        <v/>
      </c>
      <c r="AA362" s="6" t="str">
        <f>IF($F362&lt;&gt;"",RIGHT(Tabela1[[#This Row],[Ref.]],2),"")</f>
        <v/>
      </c>
      <c r="AB362" s="46" t="str">
        <f>IF($F362&lt;&gt;"",DATE(LEFT(Tabela1[[#This Row],[Ref.]],4),RIGHT(Tabela1[[#This Row],[Ref.]],2),1),"")</f>
        <v/>
      </c>
      <c r="AC362" s="4" t="str">
        <f t="shared" si="33"/>
        <v/>
      </c>
      <c r="AD362" s="5" t="str">
        <f t="shared" si="34"/>
        <v/>
      </c>
      <c r="AE362" s="4"/>
      <c r="AF362" s="6" t="str">
        <f t="shared" si="35"/>
        <v/>
      </c>
    </row>
    <row r="363" spans="1:32" ht="15.75" customHeight="1" x14ac:dyDescent="0.2">
      <c r="A363" s="42"/>
      <c r="B363" s="44"/>
      <c r="C363" s="41"/>
      <c r="D363" s="41"/>
      <c r="E363" s="41"/>
      <c r="F363" s="11"/>
      <c r="G363" s="11"/>
      <c r="H363" s="43"/>
      <c r="K363" s="25"/>
      <c r="M363" s="31"/>
      <c r="N363" s="31"/>
      <c r="O363" s="33"/>
      <c r="Q363" s="6" t="str">
        <f>IF($F363&lt;&gt;"",RIGHT(Tabela1[[#This Row],[Ref.]],2),"")</f>
        <v/>
      </c>
      <c r="R363" s="6" t="str">
        <f t="shared" si="30"/>
        <v/>
      </c>
      <c r="S363" s="4" t="str">
        <f>IF($F363&lt;&gt;"",_xlfn.XLOOKUP(F363,Naturezas!B:B,Naturezas!E:E,"",0,1),"")</f>
        <v/>
      </c>
      <c r="T363" s="4" t="str">
        <f>IF($F363&lt;&gt;"",_xlfn.XLOOKUP($F363,Naturezas!B:B,Naturezas!D:D,"",0,1),"")</f>
        <v/>
      </c>
      <c r="U363" s="5" t="str">
        <f>IF(F363&lt;&gt;"",IF(OR(F363=Naturezas!$B$3,F363=Naturezas!$B$4,F363=Naturezas!$B$5,F363=Naturezas!$B$17,F363=Naturezas!$B$18,F363=Naturezas!$B$19),H363,-H363),"")</f>
        <v/>
      </c>
      <c r="V363" s="4" t="str">
        <f t="shared" si="31"/>
        <v/>
      </c>
      <c r="W363" s="4"/>
      <c r="X363" s="4" t="str">
        <f t="shared" si="32"/>
        <v/>
      </c>
      <c r="Y363" s="6" t="str">
        <f>IF(F363&lt;&gt;"",Tabela1[[#This Row],[Iniciais]],"")</f>
        <v/>
      </c>
      <c r="AA363" s="6" t="str">
        <f>IF($F363&lt;&gt;"",RIGHT(Tabela1[[#This Row],[Ref.]],2),"")</f>
        <v/>
      </c>
      <c r="AB363" s="46" t="str">
        <f>IF($F363&lt;&gt;"",DATE(LEFT(Tabela1[[#This Row],[Ref.]],4),RIGHT(Tabela1[[#This Row],[Ref.]],2),1),"")</f>
        <v/>
      </c>
      <c r="AC363" s="4" t="str">
        <f t="shared" si="33"/>
        <v/>
      </c>
      <c r="AD363" s="5" t="str">
        <f t="shared" si="34"/>
        <v/>
      </c>
      <c r="AE363" s="4"/>
      <c r="AF363" s="6" t="str">
        <f t="shared" si="35"/>
        <v/>
      </c>
    </row>
    <row r="364" spans="1:32" ht="15.75" customHeight="1" x14ac:dyDescent="0.2">
      <c r="A364" s="42"/>
      <c r="B364" s="44"/>
      <c r="C364" s="41"/>
      <c r="D364" s="41"/>
      <c r="E364" s="41"/>
      <c r="F364" s="11"/>
      <c r="G364" s="11"/>
      <c r="H364" s="43"/>
      <c r="K364" s="25"/>
      <c r="M364" s="31"/>
      <c r="N364" s="31"/>
      <c r="O364" s="33"/>
      <c r="Q364" s="6" t="str">
        <f>IF($F364&lt;&gt;"",RIGHT(Tabela1[[#This Row],[Ref.]],2),"")</f>
        <v/>
      </c>
      <c r="R364" s="6" t="str">
        <f t="shared" si="30"/>
        <v/>
      </c>
      <c r="S364" s="4" t="str">
        <f>IF($F364&lt;&gt;"",_xlfn.XLOOKUP(F364,Naturezas!B:B,Naturezas!E:E,"",0,1),"")</f>
        <v/>
      </c>
      <c r="T364" s="4" t="str">
        <f>IF($F364&lt;&gt;"",_xlfn.XLOOKUP($F364,Naturezas!B:B,Naturezas!D:D,"",0,1),"")</f>
        <v/>
      </c>
      <c r="U364" s="5" t="str">
        <f>IF(F364&lt;&gt;"",IF(OR(F364=Naturezas!$B$3,F364=Naturezas!$B$4,F364=Naturezas!$B$5,F364=Naturezas!$B$17,F364=Naturezas!$B$18,F364=Naturezas!$B$19),H364,-H364),"")</f>
        <v/>
      </c>
      <c r="V364" s="4" t="str">
        <f t="shared" si="31"/>
        <v/>
      </c>
      <c r="W364" s="4"/>
      <c r="X364" s="4" t="str">
        <f t="shared" si="32"/>
        <v/>
      </c>
      <c r="Y364" s="6" t="str">
        <f>IF(F364&lt;&gt;"",Tabela1[[#This Row],[Iniciais]],"")</f>
        <v/>
      </c>
      <c r="AA364" s="6" t="str">
        <f>IF($F364&lt;&gt;"",RIGHT(Tabela1[[#This Row],[Ref.]],2),"")</f>
        <v/>
      </c>
      <c r="AB364" s="46" t="str">
        <f>IF($F364&lt;&gt;"",DATE(LEFT(Tabela1[[#This Row],[Ref.]],4),RIGHT(Tabela1[[#This Row],[Ref.]],2),1),"")</f>
        <v/>
      </c>
      <c r="AC364" s="4" t="str">
        <f t="shared" si="33"/>
        <v/>
      </c>
      <c r="AD364" s="5" t="str">
        <f t="shared" si="34"/>
        <v/>
      </c>
      <c r="AE364" s="4"/>
      <c r="AF364" s="6" t="str">
        <f t="shared" si="35"/>
        <v/>
      </c>
    </row>
    <row r="365" spans="1:32" ht="15.75" customHeight="1" x14ac:dyDescent="0.2">
      <c r="A365" s="42"/>
      <c r="B365" s="44"/>
      <c r="C365" s="41"/>
      <c r="D365" s="41"/>
      <c r="E365" s="41"/>
      <c r="F365" s="11"/>
      <c r="G365" s="11"/>
      <c r="H365" s="43"/>
      <c r="K365" s="25"/>
      <c r="M365" s="31"/>
      <c r="N365" s="31"/>
      <c r="O365" s="33"/>
      <c r="Q365" s="6" t="str">
        <f>IF($F365&lt;&gt;"",RIGHT(Tabela1[[#This Row],[Ref.]],2),"")</f>
        <v/>
      </c>
      <c r="R365" s="6" t="str">
        <f t="shared" si="30"/>
        <v/>
      </c>
      <c r="S365" s="4" t="str">
        <f>IF($F365&lt;&gt;"",_xlfn.XLOOKUP(F365,Naturezas!B:B,Naturezas!E:E,"",0,1),"")</f>
        <v/>
      </c>
      <c r="T365" s="4" t="str">
        <f>IF($F365&lt;&gt;"",_xlfn.XLOOKUP($F365,Naturezas!B:B,Naturezas!D:D,"",0,1),"")</f>
        <v/>
      </c>
      <c r="U365" s="5" t="str">
        <f>IF(F365&lt;&gt;"",IF(OR(F365=Naturezas!$B$3,F365=Naturezas!$B$4,F365=Naturezas!$B$5,F365=Naturezas!$B$17,F365=Naturezas!$B$18,F365=Naturezas!$B$19),H365,-H365),"")</f>
        <v/>
      </c>
      <c r="V365" s="4" t="str">
        <f t="shared" si="31"/>
        <v/>
      </c>
      <c r="W365" s="4"/>
      <c r="X365" s="4" t="str">
        <f t="shared" si="32"/>
        <v/>
      </c>
      <c r="Y365" s="6" t="str">
        <f>IF(F365&lt;&gt;"",Tabela1[[#This Row],[Iniciais]],"")</f>
        <v/>
      </c>
      <c r="AA365" s="6" t="str">
        <f>IF($F365&lt;&gt;"",RIGHT(Tabela1[[#This Row],[Ref.]],2),"")</f>
        <v/>
      </c>
      <c r="AB365" s="46" t="str">
        <f>IF($F365&lt;&gt;"",DATE(LEFT(Tabela1[[#This Row],[Ref.]],4),RIGHT(Tabela1[[#This Row],[Ref.]],2),1),"")</f>
        <v/>
      </c>
      <c r="AC365" s="4" t="str">
        <f t="shared" si="33"/>
        <v/>
      </c>
      <c r="AD365" s="5" t="str">
        <f t="shared" si="34"/>
        <v/>
      </c>
      <c r="AE365" s="4"/>
      <c r="AF365" s="6" t="str">
        <f t="shared" si="35"/>
        <v/>
      </c>
    </row>
    <row r="366" spans="1:32" ht="15.75" customHeight="1" x14ac:dyDescent="0.2">
      <c r="A366" s="42"/>
      <c r="B366" s="44"/>
      <c r="C366" s="41"/>
      <c r="D366" s="41"/>
      <c r="E366" s="41"/>
      <c r="F366" s="11"/>
      <c r="G366" s="11"/>
      <c r="H366" s="43"/>
      <c r="K366" s="25"/>
      <c r="M366" s="31"/>
      <c r="N366" s="31"/>
      <c r="O366" s="33"/>
      <c r="Q366" s="6" t="str">
        <f>IF($F366&lt;&gt;"",RIGHT(Tabela1[[#This Row],[Ref.]],2),"")</f>
        <v/>
      </c>
      <c r="R366" s="6" t="str">
        <f t="shared" si="30"/>
        <v/>
      </c>
      <c r="S366" s="4" t="str">
        <f>IF($F366&lt;&gt;"",_xlfn.XLOOKUP(F366,Naturezas!B:B,Naturezas!E:E,"",0,1),"")</f>
        <v/>
      </c>
      <c r="T366" s="4" t="str">
        <f>IF($F366&lt;&gt;"",_xlfn.XLOOKUP($F366,Naturezas!B:B,Naturezas!D:D,"",0,1),"")</f>
        <v/>
      </c>
      <c r="U366" s="5" t="str">
        <f>IF(F366&lt;&gt;"",IF(OR(F366=Naturezas!$B$3,F366=Naturezas!$B$4,F366=Naturezas!$B$5,F366=Naturezas!$B$17,F366=Naturezas!$B$18,F366=Naturezas!$B$19),H366,-H366),"")</f>
        <v/>
      </c>
      <c r="V366" s="4" t="str">
        <f t="shared" si="31"/>
        <v/>
      </c>
      <c r="W366" s="4"/>
      <c r="X366" s="4" t="str">
        <f t="shared" si="32"/>
        <v/>
      </c>
      <c r="Y366" s="6" t="str">
        <f>IF(F366&lt;&gt;"",Tabela1[[#This Row],[Iniciais]],"")</f>
        <v/>
      </c>
      <c r="AA366" s="6" t="str">
        <f>IF($F366&lt;&gt;"",RIGHT(Tabela1[[#This Row],[Ref.]],2),"")</f>
        <v/>
      </c>
      <c r="AB366" s="46" t="str">
        <f>IF($F366&lt;&gt;"",DATE(LEFT(Tabela1[[#This Row],[Ref.]],4),RIGHT(Tabela1[[#This Row],[Ref.]],2),1),"")</f>
        <v/>
      </c>
      <c r="AC366" s="4" t="str">
        <f t="shared" si="33"/>
        <v/>
      </c>
      <c r="AD366" s="5" t="str">
        <f t="shared" si="34"/>
        <v/>
      </c>
      <c r="AE366" s="4"/>
      <c r="AF366" s="6" t="str">
        <f t="shared" si="35"/>
        <v/>
      </c>
    </row>
    <row r="367" spans="1:32" ht="15.75" customHeight="1" x14ac:dyDescent="0.2">
      <c r="A367" s="42"/>
      <c r="B367" s="44"/>
      <c r="C367" s="41"/>
      <c r="D367" s="41"/>
      <c r="E367" s="41"/>
      <c r="F367" s="11"/>
      <c r="G367" s="11"/>
      <c r="H367" s="43"/>
      <c r="K367" s="25"/>
      <c r="M367" s="31"/>
      <c r="N367" s="31"/>
      <c r="O367" s="33"/>
      <c r="Q367" s="6" t="str">
        <f>IF($F367&lt;&gt;"",RIGHT(Tabela1[[#This Row],[Ref.]],2),"")</f>
        <v/>
      </c>
      <c r="R367" s="6" t="str">
        <f t="shared" si="30"/>
        <v/>
      </c>
      <c r="S367" s="4" t="str">
        <f>IF($F367&lt;&gt;"",_xlfn.XLOOKUP(F367,Naturezas!B:B,Naturezas!E:E,"",0,1),"")</f>
        <v/>
      </c>
      <c r="T367" s="4" t="str">
        <f>IF($F367&lt;&gt;"",_xlfn.XLOOKUP($F367,Naturezas!B:B,Naturezas!D:D,"",0,1),"")</f>
        <v/>
      </c>
      <c r="U367" s="5" t="str">
        <f>IF(F367&lt;&gt;"",IF(OR(F367=Naturezas!$B$3,F367=Naturezas!$B$4,F367=Naturezas!$B$5,F367=Naturezas!$B$17,F367=Naturezas!$B$18,F367=Naturezas!$B$19),H367,-H367),"")</f>
        <v/>
      </c>
      <c r="V367" s="4" t="str">
        <f t="shared" si="31"/>
        <v/>
      </c>
      <c r="W367" s="4"/>
      <c r="X367" s="4" t="str">
        <f t="shared" si="32"/>
        <v/>
      </c>
      <c r="Y367" s="6" t="str">
        <f>IF(F367&lt;&gt;"",Tabela1[[#This Row],[Iniciais]],"")</f>
        <v/>
      </c>
      <c r="AA367" s="6" t="str">
        <f>IF($F367&lt;&gt;"",RIGHT(Tabela1[[#This Row],[Ref.]],2),"")</f>
        <v/>
      </c>
      <c r="AB367" s="46" t="str">
        <f>IF($F367&lt;&gt;"",DATE(LEFT(Tabela1[[#This Row],[Ref.]],4),RIGHT(Tabela1[[#This Row],[Ref.]],2),1),"")</f>
        <v/>
      </c>
      <c r="AC367" s="4" t="str">
        <f t="shared" si="33"/>
        <v/>
      </c>
      <c r="AD367" s="5" t="str">
        <f t="shared" si="34"/>
        <v/>
      </c>
      <c r="AE367" s="4"/>
      <c r="AF367" s="6" t="str">
        <f t="shared" si="35"/>
        <v/>
      </c>
    </row>
    <row r="368" spans="1:32" ht="15.75" customHeight="1" x14ac:dyDescent="0.2">
      <c r="A368" s="42"/>
      <c r="B368" s="44"/>
      <c r="C368" s="41"/>
      <c r="D368" s="41"/>
      <c r="E368" s="41"/>
      <c r="F368" s="11"/>
      <c r="G368" s="11"/>
      <c r="H368" s="43"/>
      <c r="K368" s="25"/>
      <c r="M368" s="31"/>
      <c r="N368" s="31"/>
      <c r="O368" s="33"/>
      <c r="Q368" s="6" t="str">
        <f>IF($F368&lt;&gt;"",RIGHT(Tabela1[[#This Row],[Ref.]],2),"")</f>
        <v/>
      </c>
      <c r="R368" s="6" t="str">
        <f t="shared" si="30"/>
        <v/>
      </c>
      <c r="S368" s="4" t="str">
        <f>IF($F368&lt;&gt;"",_xlfn.XLOOKUP(F368,Naturezas!B:B,Naturezas!E:E,"",0,1),"")</f>
        <v/>
      </c>
      <c r="T368" s="4" t="str">
        <f>IF($F368&lt;&gt;"",_xlfn.XLOOKUP($F368,Naturezas!B:B,Naturezas!D:D,"",0,1),"")</f>
        <v/>
      </c>
      <c r="U368" s="5" t="str">
        <f>IF(F368&lt;&gt;"",IF(OR(F368=Naturezas!$B$3,F368=Naturezas!$B$4,F368=Naturezas!$B$5,F368=Naturezas!$B$17,F368=Naturezas!$B$18,F368=Naturezas!$B$19),H368,-H368),"")</f>
        <v/>
      </c>
      <c r="V368" s="4" t="str">
        <f t="shared" si="31"/>
        <v/>
      </c>
      <c r="W368" s="4"/>
      <c r="X368" s="4" t="str">
        <f t="shared" si="32"/>
        <v/>
      </c>
      <c r="Y368" s="6" t="str">
        <f>IF(F368&lt;&gt;"",Tabela1[[#This Row],[Iniciais]],"")</f>
        <v/>
      </c>
      <c r="AA368" s="6" t="str">
        <f>IF($F368&lt;&gt;"",RIGHT(Tabela1[[#This Row],[Ref.]],2),"")</f>
        <v/>
      </c>
      <c r="AB368" s="46" t="str">
        <f>IF($F368&lt;&gt;"",DATE(LEFT(Tabela1[[#This Row],[Ref.]],4),RIGHT(Tabela1[[#This Row],[Ref.]],2),1),"")</f>
        <v/>
      </c>
      <c r="AC368" s="4" t="str">
        <f t="shared" si="33"/>
        <v/>
      </c>
      <c r="AD368" s="5" t="str">
        <f t="shared" si="34"/>
        <v/>
      </c>
      <c r="AE368" s="4"/>
      <c r="AF368" s="6" t="str">
        <f t="shared" si="35"/>
        <v/>
      </c>
    </row>
    <row r="369" spans="1:32" ht="15.75" customHeight="1" x14ac:dyDescent="0.2">
      <c r="A369" s="42"/>
      <c r="B369" s="44"/>
      <c r="C369" s="41"/>
      <c r="D369" s="41"/>
      <c r="E369" s="41"/>
      <c r="F369" s="11"/>
      <c r="G369" s="11"/>
      <c r="H369" s="43"/>
      <c r="K369" s="25"/>
      <c r="M369" s="31"/>
      <c r="N369" s="31"/>
      <c r="O369" s="33"/>
      <c r="Q369" s="6" t="str">
        <f>IF($F369&lt;&gt;"",RIGHT(Tabela1[[#This Row],[Ref.]],2),"")</f>
        <v/>
      </c>
      <c r="R369" s="6" t="str">
        <f t="shared" si="30"/>
        <v/>
      </c>
      <c r="S369" s="4" t="str">
        <f>IF($F369&lt;&gt;"",_xlfn.XLOOKUP(F369,Naturezas!B:B,Naturezas!E:E,"",0,1),"")</f>
        <v/>
      </c>
      <c r="T369" s="4" t="str">
        <f>IF($F369&lt;&gt;"",_xlfn.XLOOKUP($F369,Naturezas!B:B,Naturezas!D:D,"",0,1),"")</f>
        <v/>
      </c>
      <c r="U369" s="5" t="str">
        <f>IF(F369&lt;&gt;"",IF(OR(F369=Naturezas!$B$3,F369=Naturezas!$B$4,F369=Naturezas!$B$5,F369=Naturezas!$B$17,F369=Naturezas!$B$18,F369=Naturezas!$B$19),H369,-H369),"")</f>
        <v/>
      </c>
      <c r="V369" s="4" t="str">
        <f t="shared" si="31"/>
        <v/>
      </c>
      <c r="W369" s="4"/>
      <c r="X369" s="4" t="str">
        <f t="shared" si="32"/>
        <v/>
      </c>
      <c r="Y369" s="6" t="str">
        <f>IF(F369&lt;&gt;"",Tabela1[[#This Row],[Iniciais]],"")</f>
        <v/>
      </c>
      <c r="AA369" s="6" t="str">
        <f>IF($F369&lt;&gt;"",RIGHT(Tabela1[[#This Row],[Ref.]],2),"")</f>
        <v/>
      </c>
      <c r="AB369" s="46" t="str">
        <f>IF($F369&lt;&gt;"",DATE(LEFT(Tabela1[[#This Row],[Ref.]],4),RIGHT(Tabela1[[#This Row],[Ref.]],2),1),"")</f>
        <v/>
      </c>
      <c r="AC369" s="4" t="str">
        <f t="shared" si="33"/>
        <v/>
      </c>
      <c r="AD369" s="5" t="str">
        <f t="shared" si="34"/>
        <v/>
      </c>
      <c r="AE369" s="4"/>
      <c r="AF369" s="6" t="str">
        <f t="shared" si="35"/>
        <v/>
      </c>
    </row>
    <row r="370" spans="1:32" ht="15.75" customHeight="1" x14ac:dyDescent="0.2">
      <c r="A370" s="42"/>
      <c r="B370" s="44"/>
      <c r="C370" s="41"/>
      <c r="D370" s="41"/>
      <c r="E370" s="41"/>
      <c r="F370" s="11"/>
      <c r="G370" s="11"/>
      <c r="H370" s="43"/>
      <c r="K370" s="25"/>
      <c r="M370" s="31"/>
      <c r="N370" s="31"/>
      <c r="O370" s="33"/>
      <c r="Q370" s="6" t="str">
        <f>IF($F370&lt;&gt;"",RIGHT(Tabela1[[#This Row],[Ref.]],2),"")</f>
        <v/>
      </c>
      <c r="R370" s="6" t="str">
        <f t="shared" si="30"/>
        <v/>
      </c>
      <c r="S370" s="4" t="str">
        <f>IF($F370&lt;&gt;"",_xlfn.XLOOKUP(F370,Naturezas!B:B,Naturezas!E:E,"",0,1),"")</f>
        <v/>
      </c>
      <c r="T370" s="4" t="str">
        <f>IF($F370&lt;&gt;"",_xlfn.XLOOKUP($F370,Naturezas!B:B,Naturezas!D:D,"",0,1),"")</f>
        <v/>
      </c>
      <c r="U370" s="5" t="str">
        <f>IF(F370&lt;&gt;"",IF(OR(F370=Naturezas!$B$3,F370=Naturezas!$B$4,F370=Naturezas!$B$5,F370=Naturezas!$B$17,F370=Naturezas!$B$18,F370=Naturezas!$B$19),H370,-H370),"")</f>
        <v/>
      </c>
      <c r="V370" s="4" t="str">
        <f t="shared" si="31"/>
        <v/>
      </c>
      <c r="W370" s="4"/>
      <c r="X370" s="4" t="str">
        <f t="shared" si="32"/>
        <v/>
      </c>
      <c r="Y370" s="6" t="str">
        <f>IF(F370&lt;&gt;"",Tabela1[[#This Row],[Iniciais]],"")</f>
        <v/>
      </c>
      <c r="AA370" s="6" t="str">
        <f>IF($F370&lt;&gt;"",RIGHT(Tabela1[[#This Row],[Ref.]],2),"")</f>
        <v/>
      </c>
      <c r="AB370" s="46" t="str">
        <f>IF($F370&lt;&gt;"",DATE(LEFT(Tabela1[[#This Row],[Ref.]],4),RIGHT(Tabela1[[#This Row],[Ref.]],2),1),"")</f>
        <v/>
      </c>
      <c r="AC370" s="4" t="str">
        <f t="shared" si="33"/>
        <v/>
      </c>
      <c r="AD370" s="5" t="str">
        <f t="shared" si="34"/>
        <v/>
      </c>
      <c r="AE370" s="4"/>
      <c r="AF370" s="6" t="str">
        <f t="shared" si="35"/>
        <v/>
      </c>
    </row>
    <row r="371" spans="1:32" ht="15.75" customHeight="1" x14ac:dyDescent="0.2">
      <c r="A371" s="42"/>
      <c r="B371" s="44"/>
      <c r="C371" s="41"/>
      <c r="D371" s="41"/>
      <c r="E371" s="41"/>
      <c r="F371" s="11"/>
      <c r="G371" s="11"/>
      <c r="H371" s="43"/>
      <c r="K371" s="25"/>
      <c r="M371" s="31"/>
      <c r="N371" s="31"/>
      <c r="O371" s="33"/>
      <c r="Q371" s="6" t="str">
        <f>IF($F371&lt;&gt;"",RIGHT(Tabela1[[#This Row],[Ref.]],2),"")</f>
        <v/>
      </c>
      <c r="R371" s="6" t="str">
        <f t="shared" si="30"/>
        <v/>
      </c>
      <c r="S371" s="4" t="str">
        <f>IF($F371&lt;&gt;"",_xlfn.XLOOKUP(F371,Naturezas!B:B,Naturezas!E:E,"",0,1),"")</f>
        <v/>
      </c>
      <c r="T371" s="4" t="str">
        <f>IF($F371&lt;&gt;"",_xlfn.XLOOKUP($F371,Naturezas!B:B,Naturezas!D:D,"",0,1),"")</f>
        <v/>
      </c>
      <c r="U371" s="5" t="str">
        <f>IF(F371&lt;&gt;"",IF(OR(F371=Naturezas!$B$3,F371=Naturezas!$B$4,F371=Naturezas!$B$5,F371=Naturezas!$B$17,F371=Naturezas!$B$18,F371=Naturezas!$B$19),H371,-H371),"")</f>
        <v/>
      </c>
      <c r="V371" s="4" t="str">
        <f t="shared" si="31"/>
        <v/>
      </c>
      <c r="W371" s="4"/>
      <c r="X371" s="4" t="str">
        <f t="shared" si="32"/>
        <v/>
      </c>
      <c r="Y371" s="6" t="str">
        <f>IF(F371&lt;&gt;"",Tabela1[[#This Row],[Iniciais]],"")</f>
        <v/>
      </c>
      <c r="AA371" s="6" t="str">
        <f>IF($F371&lt;&gt;"",RIGHT(Tabela1[[#This Row],[Ref.]],2),"")</f>
        <v/>
      </c>
      <c r="AB371" s="46" t="str">
        <f>IF($F371&lt;&gt;"",DATE(LEFT(Tabela1[[#This Row],[Ref.]],4),RIGHT(Tabela1[[#This Row],[Ref.]],2),1),"")</f>
        <v/>
      </c>
      <c r="AC371" s="4" t="str">
        <f t="shared" si="33"/>
        <v/>
      </c>
      <c r="AD371" s="5" t="str">
        <f t="shared" si="34"/>
        <v/>
      </c>
      <c r="AE371" s="4"/>
      <c r="AF371" s="6" t="str">
        <f t="shared" si="35"/>
        <v/>
      </c>
    </row>
    <row r="372" spans="1:32" ht="15.75" customHeight="1" x14ac:dyDescent="0.2">
      <c r="A372" s="42"/>
      <c r="B372" s="44"/>
      <c r="C372" s="41"/>
      <c r="D372" s="41"/>
      <c r="E372" s="41"/>
      <c r="F372" s="11"/>
      <c r="G372" s="11"/>
      <c r="H372" s="43"/>
      <c r="K372" s="25"/>
      <c r="M372" s="31"/>
      <c r="N372" s="31"/>
      <c r="O372" s="33"/>
      <c r="Q372" s="6" t="str">
        <f>IF($F372&lt;&gt;"",RIGHT(Tabela1[[#This Row],[Ref.]],2),"")</f>
        <v/>
      </c>
      <c r="R372" s="6" t="str">
        <f t="shared" si="30"/>
        <v/>
      </c>
      <c r="S372" s="4" t="str">
        <f>IF($F372&lt;&gt;"",_xlfn.XLOOKUP(F372,Naturezas!B:B,Naturezas!E:E,"",0,1),"")</f>
        <v/>
      </c>
      <c r="T372" s="4" t="str">
        <f>IF($F372&lt;&gt;"",_xlfn.XLOOKUP($F372,Naturezas!B:B,Naturezas!D:D,"",0,1),"")</f>
        <v/>
      </c>
      <c r="U372" s="5" t="str">
        <f>IF(F372&lt;&gt;"",IF(OR(F372=Naturezas!$B$3,F372=Naturezas!$B$4,F372=Naturezas!$B$5,F372=Naturezas!$B$17,F372=Naturezas!$B$18,F372=Naturezas!$B$19),H372,-H372),"")</f>
        <v/>
      </c>
      <c r="V372" s="4" t="str">
        <f t="shared" si="31"/>
        <v/>
      </c>
      <c r="W372" s="4"/>
      <c r="X372" s="4" t="str">
        <f t="shared" si="32"/>
        <v/>
      </c>
      <c r="Y372" s="6" t="str">
        <f>IF(F372&lt;&gt;"",Tabela1[[#This Row],[Iniciais]],"")</f>
        <v/>
      </c>
      <c r="AA372" s="6" t="str">
        <f>IF($F372&lt;&gt;"",RIGHT(Tabela1[[#This Row],[Ref.]],2),"")</f>
        <v/>
      </c>
      <c r="AB372" s="46" t="str">
        <f>IF($F372&lt;&gt;"",DATE(LEFT(Tabela1[[#This Row],[Ref.]],4),RIGHT(Tabela1[[#This Row],[Ref.]],2),1),"")</f>
        <v/>
      </c>
      <c r="AC372" s="4" t="str">
        <f t="shared" si="33"/>
        <v/>
      </c>
      <c r="AD372" s="5" t="str">
        <f t="shared" si="34"/>
        <v/>
      </c>
      <c r="AE372" s="4"/>
      <c r="AF372" s="6" t="str">
        <f t="shared" si="35"/>
        <v/>
      </c>
    </row>
    <row r="373" spans="1:32" ht="15.75" customHeight="1" x14ac:dyDescent="0.2">
      <c r="A373" s="42"/>
      <c r="B373" s="44"/>
      <c r="C373" s="41"/>
      <c r="D373" s="41"/>
      <c r="E373" s="41"/>
      <c r="F373" s="11"/>
      <c r="G373" s="11"/>
      <c r="H373" s="43"/>
      <c r="K373" s="25"/>
      <c r="M373" s="31"/>
      <c r="N373" s="31"/>
      <c r="O373" s="33"/>
      <c r="Q373" s="6" t="str">
        <f>IF($F373&lt;&gt;"",RIGHT(Tabela1[[#This Row],[Ref.]],2),"")</f>
        <v/>
      </c>
      <c r="R373" s="6" t="str">
        <f t="shared" si="30"/>
        <v/>
      </c>
      <c r="S373" s="4" t="str">
        <f>IF($F373&lt;&gt;"",_xlfn.XLOOKUP(F373,Naturezas!B:B,Naturezas!E:E,"",0,1),"")</f>
        <v/>
      </c>
      <c r="T373" s="4" t="str">
        <f>IF($F373&lt;&gt;"",_xlfn.XLOOKUP($F373,Naturezas!B:B,Naturezas!D:D,"",0,1),"")</f>
        <v/>
      </c>
      <c r="U373" s="5" t="str">
        <f>IF(F373&lt;&gt;"",IF(OR(F373=Naturezas!$B$3,F373=Naturezas!$B$4,F373=Naturezas!$B$5,F373=Naturezas!$B$17,F373=Naturezas!$B$18,F373=Naturezas!$B$19),H373,-H373),"")</f>
        <v/>
      </c>
      <c r="V373" s="4" t="str">
        <f t="shared" si="31"/>
        <v/>
      </c>
      <c r="W373" s="4"/>
      <c r="X373" s="4" t="str">
        <f t="shared" si="32"/>
        <v/>
      </c>
      <c r="Y373" s="6" t="str">
        <f>IF(F373&lt;&gt;"",Tabela1[[#This Row],[Iniciais]],"")</f>
        <v/>
      </c>
      <c r="AA373" s="6" t="str">
        <f>IF($F373&lt;&gt;"",RIGHT(Tabela1[[#This Row],[Ref.]],2),"")</f>
        <v/>
      </c>
      <c r="AB373" s="46" t="str">
        <f>IF($F373&lt;&gt;"",DATE(LEFT(Tabela1[[#This Row],[Ref.]],4),RIGHT(Tabela1[[#This Row],[Ref.]],2),1),"")</f>
        <v/>
      </c>
      <c r="AC373" s="4" t="str">
        <f t="shared" si="33"/>
        <v/>
      </c>
      <c r="AD373" s="5" t="str">
        <f t="shared" si="34"/>
        <v/>
      </c>
      <c r="AE373" s="4"/>
      <c r="AF373" s="6" t="str">
        <f t="shared" si="35"/>
        <v/>
      </c>
    </row>
    <row r="374" spans="1:32" ht="15.75" customHeight="1" x14ac:dyDescent="0.2">
      <c r="A374" s="42"/>
      <c r="B374" s="44"/>
      <c r="C374" s="41"/>
      <c r="D374" s="41"/>
      <c r="E374" s="41"/>
      <c r="F374" s="11"/>
      <c r="G374" s="11"/>
      <c r="H374" s="43"/>
      <c r="K374" s="25"/>
      <c r="M374" s="31"/>
      <c r="N374" s="31"/>
      <c r="O374" s="33"/>
      <c r="Q374" s="6" t="str">
        <f>IF($F374&lt;&gt;"",RIGHT(Tabela1[[#This Row],[Ref.]],2),"")</f>
        <v/>
      </c>
      <c r="R374" s="6" t="str">
        <f t="shared" si="30"/>
        <v/>
      </c>
      <c r="S374" s="4" t="str">
        <f>IF($F374&lt;&gt;"",_xlfn.XLOOKUP(F374,Naturezas!B:B,Naturezas!E:E,"",0,1),"")</f>
        <v/>
      </c>
      <c r="T374" s="4" t="str">
        <f>IF($F374&lt;&gt;"",_xlfn.XLOOKUP($F374,Naturezas!B:B,Naturezas!D:D,"",0,1),"")</f>
        <v/>
      </c>
      <c r="U374" s="5" t="str">
        <f>IF(F374&lt;&gt;"",IF(OR(F374=Naturezas!$B$3,F374=Naturezas!$B$4,F374=Naturezas!$B$5,F374=Naturezas!$B$17,F374=Naturezas!$B$18,F374=Naturezas!$B$19),H374,-H374),"")</f>
        <v/>
      </c>
      <c r="V374" s="4" t="str">
        <f t="shared" si="31"/>
        <v/>
      </c>
      <c r="W374" s="4"/>
      <c r="X374" s="4" t="str">
        <f t="shared" si="32"/>
        <v/>
      </c>
      <c r="Y374" s="6" t="str">
        <f>IF(F374&lt;&gt;"",Tabela1[[#This Row],[Iniciais]],"")</f>
        <v/>
      </c>
      <c r="AA374" s="6" t="str">
        <f>IF($F374&lt;&gt;"",RIGHT(Tabela1[[#This Row],[Ref.]],2),"")</f>
        <v/>
      </c>
      <c r="AB374" s="46" t="str">
        <f>IF($F374&lt;&gt;"",DATE(LEFT(Tabela1[[#This Row],[Ref.]],4),RIGHT(Tabela1[[#This Row],[Ref.]],2),1),"")</f>
        <v/>
      </c>
      <c r="AC374" s="4" t="str">
        <f t="shared" si="33"/>
        <v/>
      </c>
      <c r="AD374" s="5" t="str">
        <f t="shared" si="34"/>
        <v/>
      </c>
      <c r="AE374" s="4"/>
      <c r="AF374" s="6" t="str">
        <f t="shared" si="35"/>
        <v/>
      </c>
    </row>
    <row r="375" spans="1:32" ht="15.75" customHeight="1" x14ac:dyDescent="0.2">
      <c r="A375" s="42"/>
      <c r="B375" s="44"/>
      <c r="C375" s="41"/>
      <c r="D375" s="41"/>
      <c r="E375" s="41"/>
      <c r="F375" s="11"/>
      <c r="G375" s="11"/>
      <c r="H375" s="43"/>
      <c r="K375" s="25"/>
      <c r="M375" s="31"/>
      <c r="N375" s="31"/>
      <c r="O375" s="33"/>
      <c r="Q375" s="6" t="str">
        <f>IF($F375&lt;&gt;"",RIGHT(Tabela1[[#This Row],[Ref.]],2),"")</f>
        <v/>
      </c>
      <c r="R375" s="6" t="str">
        <f t="shared" si="30"/>
        <v/>
      </c>
      <c r="S375" s="4" t="str">
        <f>IF($F375&lt;&gt;"",_xlfn.XLOOKUP(F375,Naturezas!B:B,Naturezas!E:E,"",0,1),"")</f>
        <v/>
      </c>
      <c r="T375" s="4" t="str">
        <f>IF($F375&lt;&gt;"",_xlfn.XLOOKUP($F375,Naturezas!B:B,Naturezas!D:D,"",0,1),"")</f>
        <v/>
      </c>
      <c r="U375" s="5" t="str">
        <f>IF(F375&lt;&gt;"",IF(OR(F375=Naturezas!$B$3,F375=Naturezas!$B$4,F375=Naturezas!$B$5,F375=Naturezas!$B$17,F375=Naturezas!$B$18,F375=Naturezas!$B$19),H375,-H375),"")</f>
        <v/>
      </c>
      <c r="V375" s="4" t="str">
        <f t="shared" si="31"/>
        <v/>
      </c>
      <c r="W375" s="4"/>
      <c r="X375" s="4" t="str">
        <f t="shared" si="32"/>
        <v/>
      </c>
      <c r="Y375" s="6" t="str">
        <f>IF(F375&lt;&gt;"",Tabela1[[#This Row],[Iniciais]],"")</f>
        <v/>
      </c>
      <c r="AA375" s="6" t="str">
        <f>IF($F375&lt;&gt;"",RIGHT(Tabela1[[#This Row],[Ref.]],2),"")</f>
        <v/>
      </c>
      <c r="AB375" s="46" t="str">
        <f>IF($F375&lt;&gt;"",DATE(LEFT(Tabela1[[#This Row],[Ref.]],4),RIGHT(Tabela1[[#This Row],[Ref.]],2),1),"")</f>
        <v/>
      </c>
      <c r="AC375" s="4" t="str">
        <f t="shared" si="33"/>
        <v/>
      </c>
      <c r="AD375" s="5" t="str">
        <f t="shared" si="34"/>
        <v/>
      </c>
      <c r="AE375" s="4"/>
      <c r="AF375" s="6" t="str">
        <f t="shared" si="35"/>
        <v/>
      </c>
    </row>
    <row r="376" spans="1:32" ht="15.75" customHeight="1" x14ac:dyDescent="0.2">
      <c r="A376" s="42"/>
      <c r="B376" s="44"/>
      <c r="C376" s="41"/>
      <c r="D376" s="41"/>
      <c r="E376" s="41"/>
      <c r="F376" s="11"/>
      <c r="G376" s="11"/>
      <c r="H376" s="43"/>
      <c r="K376" s="25"/>
      <c r="M376" s="31"/>
      <c r="N376" s="31"/>
      <c r="O376" s="33"/>
      <c r="Q376" s="6" t="str">
        <f>IF($F376&lt;&gt;"",RIGHT(Tabela1[[#This Row],[Ref.]],2),"")</f>
        <v/>
      </c>
      <c r="R376" s="6" t="str">
        <f t="shared" si="30"/>
        <v/>
      </c>
      <c r="S376" s="4" t="str">
        <f>IF($F376&lt;&gt;"",_xlfn.XLOOKUP(F376,Naturezas!B:B,Naturezas!E:E,"",0,1),"")</f>
        <v/>
      </c>
      <c r="T376" s="4" t="str">
        <f>IF($F376&lt;&gt;"",_xlfn.XLOOKUP($F376,Naturezas!B:B,Naturezas!D:D,"",0,1),"")</f>
        <v/>
      </c>
      <c r="U376" s="5" t="str">
        <f>IF(F376&lt;&gt;"",IF(OR(F376=Naturezas!$B$3,F376=Naturezas!$B$4,F376=Naturezas!$B$5,F376=Naturezas!$B$17,F376=Naturezas!$B$18,F376=Naturezas!$B$19),H376,-H376),"")</f>
        <v/>
      </c>
      <c r="V376" s="4" t="str">
        <f t="shared" si="31"/>
        <v/>
      </c>
      <c r="W376" s="4"/>
      <c r="X376" s="4" t="str">
        <f t="shared" si="32"/>
        <v/>
      </c>
      <c r="Y376" s="6" t="str">
        <f>IF(F376&lt;&gt;"",Tabela1[[#This Row],[Iniciais]],"")</f>
        <v/>
      </c>
      <c r="AA376" s="6" t="str">
        <f>IF($F376&lt;&gt;"",RIGHT(Tabela1[[#This Row],[Ref.]],2),"")</f>
        <v/>
      </c>
      <c r="AB376" s="46" t="str">
        <f>IF($F376&lt;&gt;"",DATE(LEFT(Tabela1[[#This Row],[Ref.]],4),RIGHT(Tabela1[[#This Row],[Ref.]],2),1),"")</f>
        <v/>
      </c>
      <c r="AC376" s="4" t="str">
        <f t="shared" si="33"/>
        <v/>
      </c>
      <c r="AD376" s="5" t="str">
        <f t="shared" si="34"/>
        <v/>
      </c>
      <c r="AE376" s="4"/>
      <c r="AF376" s="6" t="str">
        <f t="shared" si="35"/>
        <v/>
      </c>
    </row>
    <row r="377" spans="1:32" ht="15.75" customHeight="1" x14ac:dyDescent="0.2">
      <c r="A377" s="42"/>
      <c r="B377" s="44"/>
      <c r="C377" s="41"/>
      <c r="D377" s="41"/>
      <c r="E377" s="41"/>
      <c r="F377" s="11"/>
      <c r="G377" s="11"/>
      <c r="H377" s="43"/>
      <c r="K377" s="25"/>
      <c r="M377" s="31"/>
      <c r="N377" s="31"/>
      <c r="O377" s="33"/>
      <c r="Q377" s="6" t="str">
        <f>IF($F377&lt;&gt;"",RIGHT(Tabela1[[#This Row],[Ref.]],2),"")</f>
        <v/>
      </c>
      <c r="R377" s="6" t="str">
        <f t="shared" si="30"/>
        <v/>
      </c>
      <c r="S377" s="4" t="str">
        <f>IF($F377&lt;&gt;"",_xlfn.XLOOKUP(F377,Naturezas!B:B,Naturezas!E:E,"",0,1),"")</f>
        <v/>
      </c>
      <c r="T377" s="4" t="str">
        <f>IF($F377&lt;&gt;"",_xlfn.XLOOKUP($F377,Naturezas!B:B,Naturezas!D:D,"",0,1),"")</f>
        <v/>
      </c>
      <c r="U377" s="5" t="str">
        <f>IF(F377&lt;&gt;"",IF(OR(F377=Naturezas!$B$3,F377=Naturezas!$B$4,F377=Naturezas!$B$5,F377=Naturezas!$B$17,F377=Naturezas!$B$18,F377=Naturezas!$B$19),H377,-H377),"")</f>
        <v/>
      </c>
      <c r="V377" s="4" t="str">
        <f t="shared" si="31"/>
        <v/>
      </c>
      <c r="W377" s="4"/>
      <c r="X377" s="4" t="str">
        <f t="shared" si="32"/>
        <v/>
      </c>
      <c r="Y377" s="6" t="str">
        <f>IF(F377&lt;&gt;"",Tabela1[[#This Row],[Iniciais]],"")</f>
        <v/>
      </c>
      <c r="AA377" s="6" t="str">
        <f>IF($F377&lt;&gt;"",RIGHT(Tabela1[[#This Row],[Ref.]],2),"")</f>
        <v/>
      </c>
      <c r="AB377" s="46" t="str">
        <f>IF($F377&lt;&gt;"",DATE(LEFT(Tabela1[[#This Row],[Ref.]],4),RIGHT(Tabela1[[#This Row],[Ref.]],2),1),"")</f>
        <v/>
      </c>
      <c r="AC377" s="4" t="str">
        <f t="shared" si="33"/>
        <v/>
      </c>
      <c r="AD377" s="5" t="str">
        <f t="shared" si="34"/>
        <v/>
      </c>
      <c r="AE377" s="4"/>
      <c r="AF377" s="6" t="str">
        <f t="shared" si="35"/>
        <v/>
      </c>
    </row>
    <row r="378" spans="1:32" ht="15.75" customHeight="1" x14ac:dyDescent="0.2">
      <c r="A378" s="42"/>
      <c r="B378" s="44"/>
      <c r="C378" s="41"/>
      <c r="D378" s="41"/>
      <c r="E378" s="41"/>
      <c r="F378" s="11"/>
      <c r="G378" s="11"/>
      <c r="H378" s="43"/>
      <c r="K378" s="25"/>
      <c r="M378" s="31"/>
      <c r="N378" s="31"/>
      <c r="O378" s="33"/>
      <c r="Q378" s="6" t="str">
        <f>IF($F378&lt;&gt;"",RIGHT(Tabela1[[#This Row],[Ref.]],2),"")</f>
        <v/>
      </c>
      <c r="R378" s="6" t="str">
        <f t="shared" si="30"/>
        <v/>
      </c>
      <c r="S378" s="4" t="str">
        <f>IF($F378&lt;&gt;"",_xlfn.XLOOKUP(F378,Naturezas!B:B,Naturezas!E:E,"",0,1),"")</f>
        <v/>
      </c>
      <c r="T378" s="4" t="str">
        <f>IF($F378&lt;&gt;"",_xlfn.XLOOKUP($F378,Naturezas!B:B,Naturezas!D:D,"",0,1),"")</f>
        <v/>
      </c>
      <c r="U378" s="5" t="str">
        <f>IF(F378&lt;&gt;"",IF(OR(F378=Naturezas!$B$3,F378=Naturezas!$B$4,F378=Naturezas!$B$5,F378=Naturezas!$B$17,F378=Naturezas!$B$18,F378=Naturezas!$B$19),H378,-H378),"")</f>
        <v/>
      </c>
      <c r="V378" s="4" t="str">
        <f t="shared" si="31"/>
        <v/>
      </c>
      <c r="W378" s="4"/>
      <c r="X378" s="4" t="str">
        <f t="shared" si="32"/>
        <v/>
      </c>
      <c r="Y378" s="6" t="str">
        <f>IF(F378&lt;&gt;"",Tabela1[[#This Row],[Iniciais]],"")</f>
        <v/>
      </c>
      <c r="AA378" s="6" t="str">
        <f>IF($F378&lt;&gt;"",RIGHT(Tabela1[[#This Row],[Ref.]],2),"")</f>
        <v/>
      </c>
      <c r="AB378" s="46" t="str">
        <f>IF($F378&lt;&gt;"",DATE(LEFT(Tabela1[[#This Row],[Ref.]],4),RIGHT(Tabela1[[#This Row],[Ref.]],2),1),"")</f>
        <v/>
      </c>
      <c r="AC378" s="4" t="str">
        <f t="shared" si="33"/>
        <v/>
      </c>
      <c r="AD378" s="5" t="str">
        <f t="shared" si="34"/>
        <v/>
      </c>
      <c r="AE378" s="4"/>
      <c r="AF378" s="6" t="str">
        <f t="shared" si="35"/>
        <v/>
      </c>
    </row>
    <row r="379" spans="1:32" ht="15.75" customHeight="1" x14ac:dyDescent="0.2">
      <c r="A379" s="42"/>
      <c r="B379" s="44"/>
      <c r="C379" s="41"/>
      <c r="D379" s="41"/>
      <c r="E379" s="41"/>
      <c r="F379" s="11"/>
      <c r="G379" s="11"/>
      <c r="H379" s="43"/>
      <c r="K379" s="25"/>
      <c r="M379" s="31"/>
      <c r="N379" s="31"/>
      <c r="O379" s="33"/>
      <c r="Q379" s="6" t="str">
        <f>IF($F379&lt;&gt;"",RIGHT(Tabela1[[#This Row],[Ref.]],2),"")</f>
        <v/>
      </c>
      <c r="R379" s="6" t="str">
        <f t="shared" si="30"/>
        <v/>
      </c>
      <c r="S379" s="4" t="str">
        <f>IF($F379&lt;&gt;"",_xlfn.XLOOKUP(F379,Naturezas!B:B,Naturezas!E:E,"",0,1),"")</f>
        <v/>
      </c>
      <c r="T379" s="4" t="str">
        <f>IF($F379&lt;&gt;"",_xlfn.XLOOKUP($F379,Naturezas!B:B,Naturezas!D:D,"",0,1),"")</f>
        <v/>
      </c>
      <c r="U379" s="5" t="str">
        <f>IF(F379&lt;&gt;"",IF(OR(F379=Naturezas!$B$3,F379=Naturezas!$B$4,F379=Naturezas!$B$5,F379=Naturezas!$B$17,F379=Naturezas!$B$18,F379=Naturezas!$B$19),H379,-H379),"")</f>
        <v/>
      </c>
      <c r="V379" s="4" t="str">
        <f t="shared" si="31"/>
        <v/>
      </c>
      <c r="W379" s="4"/>
      <c r="X379" s="4" t="str">
        <f t="shared" si="32"/>
        <v/>
      </c>
      <c r="Y379" s="6" t="str">
        <f>IF(F379&lt;&gt;"",Tabela1[[#This Row],[Iniciais]],"")</f>
        <v/>
      </c>
      <c r="AA379" s="6" t="str">
        <f>IF($F379&lt;&gt;"",RIGHT(Tabela1[[#This Row],[Ref.]],2),"")</f>
        <v/>
      </c>
      <c r="AB379" s="46" t="str">
        <f>IF($F379&lt;&gt;"",DATE(LEFT(Tabela1[[#This Row],[Ref.]],4),RIGHT(Tabela1[[#This Row],[Ref.]],2),1),"")</f>
        <v/>
      </c>
      <c r="AC379" s="4" t="str">
        <f t="shared" si="33"/>
        <v/>
      </c>
      <c r="AD379" s="5" t="str">
        <f t="shared" si="34"/>
        <v/>
      </c>
      <c r="AE379" s="4"/>
      <c r="AF379" s="6" t="str">
        <f t="shared" si="35"/>
        <v/>
      </c>
    </row>
    <row r="380" spans="1:32" ht="15.75" customHeight="1" x14ac:dyDescent="0.2">
      <c r="A380" s="42"/>
      <c r="B380" s="44"/>
      <c r="C380" s="41"/>
      <c r="D380" s="41"/>
      <c r="E380" s="41"/>
      <c r="F380" s="11"/>
      <c r="G380" s="11"/>
      <c r="H380" s="43"/>
      <c r="K380" s="25"/>
      <c r="M380" s="31"/>
      <c r="N380" s="31"/>
      <c r="O380" s="33"/>
      <c r="Q380" s="6" t="str">
        <f>IF($F380&lt;&gt;"",RIGHT(Tabela1[[#This Row],[Ref.]],2),"")</f>
        <v/>
      </c>
      <c r="R380" s="6" t="str">
        <f t="shared" si="30"/>
        <v/>
      </c>
      <c r="S380" s="4" t="str">
        <f>IF($F380&lt;&gt;"",_xlfn.XLOOKUP(F380,Naturezas!B:B,Naturezas!E:E,"",0,1),"")</f>
        <v/>
      </c>
      <c r="T380" s="4" t="str">
        <f>IF($F380&lt;&gt;"",_xlfn.XLOOKUP($F380,Naturezas!B:B,Naturezas!D:D,"",0,1),"")</f>
        <v/>
      </c>
      <c r="U380" s="5" t="str">
        <f>IF(F380&lt;&gt;"",IF(OR(F380=Naturezas!$B$3,F380=Naturezas!$B$4,F380=Naturezas!$B$5,F380=Naturezas!$B$17,F380=Naturezas!$B$18,F380=Naturezas!$B$19),H380,-H380),"")</f>
        <v/>
      </c>
      <c r="V380" s="4" t="str">
        <f t="shared" si="31"/>
        <v/>
      </c>
      <c r="W380" s="4"/>
      <c r="X380" s="4" t="str">
        <f t="shared" si="32"/>
        <v/>
      </c>
      <c r="Y380" s="6" t="str">
        <f>IF(F380&lt;&gt;"",Tabela1[[#This Row],[Iniciais]],"")</f>
        <v/>
      </c>
      <c r="AA380" s="6" t="str">
        <f>IF($F380&lt;&gt;"",RIGHT(Tabela1[[#This Row],[Ref.]],2),"")</f>
        <v/>
      </c>
      <c r="AB380" s="46" t="str">
        <f>IF($F380&lt;&gt;"",DATE(LEFT(Tabela1[[#This Row],[Ref.]],4),RIGHT(Tabela1[[#This Row],[Ref.]],2),1),"")</f>
        <v/>
      </c>
      <c r="AC380" s="4" t="str">
        <f t="shared" si="33"/>
        <v/>
      </c>
      <c r="AD380" s="5" t="str">
        <f t="shared" si="34"/>
        <v/>
      </c>
      <c r="AE380" s="4"/>
      <c r="AF380" s="6" t="str">
        <f t="shared" si="35"/>
        <v/>
      </c>
    </row>
    <row r="381" spans="1:32" ht="15.75" customHeight="1" x14ac:dyDescent="0.2">
      <c r="A381" s="42"/>
      <c r="B381" s="44"/>
      <c r="C381" s="41"/>
      <c r="D381" s="41"/>
      <c r="E381" s="41"/>
      <c r="F381" s="11"/>
      <c r="G381" s="11"/>
      <c r="H381" s="43"/>
      <c r="K381" s="25"/>
      <c r="M381" s="31"/>
      <c r="N381" s="31"/>
      <c r="O381" s="33"/>
      <c r="Q381" s="6" t="str">
        <f>IF($F381&lt;&gt;"",RIGHT(Tabela1[[#This Row],[Ref.]],2),"")</f>
        <v/>
      </c>
      <c r="R381" s="6" t="str">
        <f t="shared" si="30"/>
        <v/>
      </c>
      <c r="S381" s="4" t="str">
        <f>IF($F381&lt;&gt;"",_xlfn.XLOOKUP(F381,Naturezas!B:B,Naturezas!E:E,"",0,1),"")</f>
        <v/>
      </c>
      <c r="T381" s="4" t="str">
        <f>IF($F381&lt;&gt;"",_xlfn.XLOOKUP($F381,Naturezas!B:B,Naturezas!D:D,"",0,1),"")</f>
        <v/>
      </c>
      <c r="U381" s="5" t="str">
        <f>IF(F381&lt;&gt;"",IF(OR(F381=Naturezas!$B$3,F381=Naturezas!$B$4,F381=Naturezas!$B$5,F381=Naturezas!$B$17,F381=Naturezas!$B$18,F381=Naturezas!$B$19),H381,-H381),"")</f>
        <v/>
      </c>
      <c r="V381" s="4" t="str">
        <f t="shared" si="31"/>
        <v/>
      </c>
      <c r="W381" s="4"/>
      <c r="X381" s="4" t="str">
        <f t="shared" si="32"/>
        <v/>
      </c>
      <c r="Y381" s="6" t="str">
        <f>IF(F381&lt;&gt;"",Tabela1[[#This Row],[Iniciais]],"")</f>
        <v/>
      </c>
      <c r="AA381" s="6" t="str">
        <f>IF($F381&lt;&gt;"",RIGHT(Tabela1[[#This Row],[Ref.]],2),"")</f>
        <v/>
      </c>
      <c r="AB381" s="46" t="str">
        <f>IF($F381&lt;&gt;"",DATE(LEFT(Tabela1[[#This Row],[Ref.]],4),RIGHT(Tabela1[[#This Row],[Ref.]],2),1),"")</f>
        <v/>
      </c>
      <c r="AC381" s="4" t="str">
        <f t="shared" si="33"/>
        <v/>
      </c>
      <c r="AD381" s="5" t="str">
        <f t="shared" si="34"/>
        <v/>
      </c>
      <c r="AE381" s="4"/>
      <c r="AF381" s="6" t="str">
        <f t="shared" si="35"/>
        <v/>
      </c>
    </row>
    <row r="382" spans="1:32" ht="15.75" customHeight="1" x14ac:dyDescent="0.2">
      <c r="A382" s="42"/>
      <c r="B382" s="44"/>
      <c r="C382" s="41"/>
      <c r="D382" s="41"/>
      <c r="E382" s="41"/>
      <c r="F382" s="11"/>
      <c r="G382" s="11"/>
      <c r="H382" s="43"/>
      <c r="K382" s="25"/>
      <c r="M382" s="31"/>
      <c r="N382" s="31"/>
      <c r="O382" s="33"/>
      <c r="Q382" s="6" t="str">
        <f>IF($F382&lt;&gt;"",RIGHT(Tabela1[[#This Row],[Ref.]],2),"")</f>
        <v/>
      </c>
      <c r="R382" s="6" t="str">
        <f t="shared" si="30"/>
        <v/>
      </c>
      <c r="S382" s="4" t="str">
        <f>IF($F382&lt;&gt;"",_xlfn.XLOOKUP(F382,Naturezas!B:B,Naturezas!E:E,"",0,1),"")</f>
        <v/>
      </c>
      <c r="T382" s="4" t="str">
        <f>IF($F382&lt;&gt;"",_xlfn.XLOOKUP($F382,Naturezas!B:B,Naturezas!D:D,"",0,1),"")</f>
        <v/>
      </c>
      <c r="U382" s="5" t="str">
        <f>IF(F382&lt;&gt;"",IF(OR(F382=Naturezas!$B$3,F382=Naturezas!$B$4,F382=Naturezas!$B$5,F382=Naturezas!$B$17,F382=Naturezas!$B$18,F382=Naturezas!$B$19),H382,-H382),"")</f>
        <v/>
      </c>
      <c r="V382" s="4" t="str">
        <f t="shared" si="31"/>
        <v/>
      </c>
      <c r="W382" s="4"/>
      <c r="X382" s="4" t="str">
        <f t="shared" si="32"/>
        <v/>
      </c>
      <c r="Y382" s="6" t="str">
        <f>IF(F382&lt;&gt;"",Tabela1[[#This Row],[Iniciais]],"")</f>
        <v/>
      </c>
      <c r="AA382" s="6" t="str">
        <f>IF($F382&lt;&gt;"",RIGHT(Tabela1[[#This Row],[Ref.]],2),"")</f>
        <v/>
      </c>
      <c r="AB382" s="46" t="str">
        <f>IF($F382&lt;&gt;"",DATE(LEFT(Tabela1[[#This Row],[Ref.]],4),RIGHT(Tabela1[[#This Row],[Ref.]],2),1),"")</f>
        <v/>
      </c>
      <c r="AC382" s="4" t="str">
        <f t="shared" si="33"/>
        <v/>
      </c>
      <c r="AD382" s="5" t="str">
        <f t="shared" si="34"/>
        <v/>
      </c>
      <c r="AE382" s="4"/>
      <c r="AF382" s="6" t="str">
        <f t="shared" si="35"/>
        <v/>
      </c>
    </row>
    <row r="383" spans="1:32" ht="15.75" customHeight="1" x14ac:dyDescent="0.2">
      <c r="A383" s="42"/>
      <c r="B383" s="44"/>
      <c r="C383" s="41"/>
      <c r="D383" s="41"/>
      <c r="E383" s="41"/>
      <c r="F383" s="11"/>
      <c r="G383" s="11"/>
      <c r="H383" s="43"/>
      <c r="K383" s="25"/>
      <c r="M383" s="31"/>
      <c r="N383" s="31"/>
      <c r="O383" s="33"/>
      <c r="Q383" s="6" t="str">
        <f>IF($F383&lt;&gt;"",RIGHT(Tabela1[[#This Row],[Ref.]],2),"")</f>
        <v/>
      </c>
      <c r="R383" s="6" t="str">
        <f t="shared" si="30"/>
        <v/>
      </c>
      <c r="S383" s="4" t="str">
        <f>IF($F383&lt;&gt;"",_xlfn.XLOOKUP(F383,Naturezas!B:B,Naturezas!E:E,"",0,1),"")</f>
        <v/>
      </c>
      <c r="T383" s="4" t="str">
        <f>IF($F383&lt;&gt;"",_xlfn.XLOOKUP($F383,Naturezas!B:B,Naturezas!D:D,"",0,1),"")</f>
        <v/>
      </c>
      <c r="U383" s="5" t="str">
        <f>IF(F383&lt;&gt;"",IF(OR(F383=Naturezas!$B$3,F383=Naturezas!$B$4,F383=Naturezas!$B$5,F383=Naturezas!$B$17,F383=Naturezas!$B$18,F383=Naturezas!$B$19),H383,-H383),"")</f>
        <v/>
      </c>
      <c r="V383" s="4" t="str">
        <f t="shared" si="31"/>
        <v/>
      </c>
      <c r="W383" s="4"/>
      <c r="X383" s="4" t="str">
        <f t="shared" si="32"/>
        <v/>
      </c>
      <c r="Y383" s="6" t="str">
        <f>IF(F383&lt;&gt;"",Tabela1[[#This Row],[Iniciais]],"")</f>
        <v/>
      </c>
      <c r="AA383" s="6" t="str">
        <f>IF($F383&lt;&gt;"",RIGHT(Tabela1[[#This Row],[Ref.]],2),"")</f>
        <v/>
      </c>
      <c r="AB383" s="46" t="str">
        <f>IF($F383&lt;&gt;"",DATE(LEFT(Tabela1[[#This Row],[Ref.]],4),RIGHT(Tabela1[[#This Row],[Ref.]],2),1),"")</f>
        <v/>
      </c>
      <c r="AC383" s="4" t="str">
        <f t="shared" si="33"/>
        <v/>
      </c>
      <c r="AD383" s="5" t="str">
        <f t="shared" si="34"/>
        <v/>
      </c>
      <c r="AE383" s="4"/>
      <c r="AF383" s="6" t="str">
        <f t="shared" si="35"/>
        <v/>
      </c>
    </row>
    <row r="384" spans="1:32" ht="15.75" customHeight="1" x14ac:dyDescent="0.2">
      <c r="A384" s="42"/>
      <c r="B384" s="44"/>
      <c r="C384" s="41"/>
      <c r="D384" s="41"/>
      <c r="E384" s="41"/>
      <c r="F384" s="11"/>
      <c r="G384" s="11"/>
      <c r="H384" s="43"/>
      <c r="K384" s="25"/>
      <c r="M384" s="31"/>
      <c r="N384" s="31"/>
      <c r="O384" s="33"/>
      <c r="Q384" s="6" t="str">
        <f>IF($F384&lt;&gt;"",RIGHT(Tabela1[[#This Row],[Ref.]],2),"")</f>
        <v/>
      </c>
      <c r="R384" s="6" t="str">
        <f t="shared" si="30"/>
        <v/>
      </c>
      <c r="S384" s="4" t="str">
        <f>IF($F384&lt;&gt;"",_xlfn.XLOOKUP(F384,Naturezas!B:B,Naturezas!E:E,"",0,1),"")</f>
        <v/>
      </c>
      <c r="T384" s="4" t="str">
        <f>IF($F384&lt;&gt;"",_xlfn.XLOOKUP($F384,Naturezas!B:B,Naturezas!D:D,"",0,1),"")</f>
        <v/>
      </c>
      <c r="U384" s="5" t="str">
        <f>IF(F384&lt;&gt;"",IF(OR(F384=Naturezas!$B$3,F384=Naturezas!$B$4,F384=Naturezas!$B$5,F384=Naturezas!$B$17,F384=Naturezas!$B$18,F384=Naturezas!$B$19),H384,-H384),"")</f>
        <v/>
      </c>
      <c r="V384" s="4" t="str">
        <f t="shared" si="31"/>
        <v/>
      </c>
      <c r="W384" s="4"/>
      <c r="X384" s="4" t="str">
        <f t="shared" si="32"/>
        <v/>
      </c>
      <c r="Y384" s="6" t="str">
        <f>IF(F384&lt;&gt;"",Tabela1[[#This Row],[Iniciais]],"")</f>
        <v/>
      </c>
      <c r="AA384" s="6" t="str">
        <f>IF($F384&lt;&gt;"",RIGHT(Tabela1[[#This Row],[Ref.]],2),"")</f>
        <v/>
      </c>
      <c r="AB384" s="46" t="str">
        <f>IF($F384&lt;&gt;"",DATE(LEFT(Tabela1[[#This Row],[Ref.]],4),RIGHT(Tabela1[[#This Row],[Ref.]],2),1),"")</f>
        <v/>
      </c>
      <c r="AC384" s="4" t="str">
        <f t="shared" si="33"/>
        <v/>
      </c>
      <c r="AD384" s="5" t="str">
        <f t="shared" si="34"/>
        <v/>
      </c>
      <c r="AE384" s="4"/>
      <c r="AF384" s="6" t="str">
        <f t="shared" si="35"/>
        <v/>
      </c>
    </row>
    <row r="385" spans="1:32" ht="15.75" customHeight="1" x14ac:dyDescent="0.2">
      <c r="A385" s="42"/>
      <c r="B385" s="44"/>
      <c r="C385" s="41"/>
      <c r="D385" s="41"/>
      <c r="E385" s="41"/>
      <c r="F385" s="11"/>
      <c r="G385" s="11"/>
      <c r="H385" s="43"/>
      <c r="K385" s="25"/>
      <c r="M385" s="31"/>
      <c r="N385" s="31"/>
      <c r="O385" s="33"/>
      <c r="Q385" s="6" t="str">
        <f>IF($F385&lt;&gt;"",RIGHT(Tabela1[[#This Row],[Ref.]],2),"")</f>
        <v/>
      </c>
      <c r="R385" s="6" t="str">
        <f t="shared" si="30"/>
        <v/>
      </c>
      <c r="S385" s="4" t="str">
        <f>IF($F385&lt;&gt;"",_xlfn.XLOOKUP(F385,Naturezas!B:B,Naturezas!E:E,"",0,1),"")</f>
        <v/>
      </c>
      <c r="T385" s="4" t="str">
        <f>IF($F385&lt;&gt;"",_xlfn.XLOOKUP($F385,Naturezas!B:B,Naturezas!D:D,"",0,1),"")</f>
        <v/>
      </c>
      <c r="U385" s="5" t="str">
        <f>IF(F385&lt;&gt;"",IF(OR(F385=Naturezas!$B$3,F385=Naturezas!$B$4,F385=Naturezas!$B$5,F385=Naturezas!$B$17,F385=Naturezas!$B$18,F385=Naturezas!$B$19),H385,-H385),"")</f>
        <v/>
      </c>
      <c r="V385" s="4" t="str">
        <f t="shared" si="31"/>
        <v/>
      </c>
      <c r="W385" s="4"/>
      <c r="X385" s="4" t="str">
        <f t="shared" si="32"/>
        <v/>
      </c>
      <c r="Y385" s="6" t="str">
        <f>IF(F385&lt;&gt;"",Tabela1[[#This Row],[Iniciais]],"")</f>
        <v/>
      </c>
      <c r="AA385" s="6" t="str">
        <f>IF($F385&lt;&gt;"",RIGHT(Tabela1[[#This Row],[Ref.]],2),"")</f>
        <v/>
      </c>
      <c r="AB385" s="46" t="str">
        <f>IF($F385&lt;&gt;"",DATE(LEFT(Tabela1[[#This Row],[Ref.]],4),RIGHT(Tabela1[[#This Row],[Ref.]],2),1),"")</f>
        <v/>
      </c>
      <c r="AC385" s="4" t="str">
        <f t="shared" si="33"/>
        <v/>
      </c>
      <c r="AD385" s="5" t="str">
        <f t="shared" si="34"/>
        <v/>
      </c>
      <c r="AE385" s="4"/>
      <c r="AF385" s="6" t="str">
        <f t="shared" si="35"/>
        <v/>
      </c>
    </row>
    <row r="386" spans="1:32" ht="15.75" customHeight="1" x14ac:dyDescent="0.2">
      <c r="A386" s="42"/>
      <c r="B386" s="44"/>
      <c r="C386" s="41"/>
      <c r="D386" s="41"/>
      <c r="E386" s="41"/>
      <c r="F386" s="11"/>
      <c r="G386" s="11"/>
      <c r="H386" s="43"/>
      <c r="K386" s="25"/>
      <c r="M386" s="31"/>
      <c r="N386" s="31"/>
      <c r="O386" s="33"/>
      <c r="Q386" s="6" t="str">
        <f>IF($F386&lt;&gt;"",RIGHT(Tabela1[[#This Row],[Ref.]],2),"")</f>
        <v/>
      </c>
      <c r="R386" s="6" t="str">
        <f t="shared" si="30"/>
        <v/>
      </c>
      <c r="S386" s="4" t="str">
        <f>IF($F386&lt;&gt;"",_xlfn.XLOOKUP(F386,Naturezas!B:B,Naturezas!E:E,"",0,1),"")</f>
        <v/>
      </c>
      <c r="T386" s="4" t="str">
        <f>IF($F386&lt;&gt;"",_xlfn.XLOOKUP($F386,Naturezas!B:B,Naturezas!D:D,"",0,1),"")</f>
        <v/>
      </c>
      <c r="U386" s="5" t="str">
        <f>IF(F386&lt;&gt;"",IF(OR(F386=Naturezas!$B$3,F386=Naturezas!$B$4,F386=Naturezas!$B$5,F386=Naturezas!$B$17,F386=Naturezas!$B$18,F386=Naturezas!$B$19),H386,-H386),"")</f>
        <v/>
      </c>
      <c r="V386" s="4" t="str">
        <f t="shared" si="31"/>
        <v/>
      </c>
      <c r="W386" s="4"/>
      <c r="X386" s="4" t="str">
        <f t="shared" si="32"/>
        <v/>
      </c>
      <c r="Y386" s="6" t="str">
        <f>IF(F386&lt;&gt;"",Tabela1[[#This Row],[Iniciais]],"")</f>
        <v/>
      </c>
      <c r="AA386" s="6" t="str">
        <f>IF($F386&lt;&gt;"",RIGHT(Tabela1[[#This Row],[Ref.]],2),"")</f>
        <v/>
      </c>
      <c r="AB386" s="46" t="str">
        <f>IF($F386&lt;&gt;"",DATE(LEFT(Tabela1[[#This Row],[Ref.]],4),RIGHT(Tabela1[[#This Row],[Ref.]],2),1),"")</f>
        <v/>
      </c>
      <c r="AC386" s="4" t="str">
        <f t="shared" si="33"/>
        <v/>
      </c>
      <c r="AD386" s="5" t="str">
        <f t="shared" si="34"/>
        <v/>
      </c>
      <c r="AE386" s="4"/>
      <c r="AF386" s="6" t="str">
        <f t="shared" si="35"/>
        <v/>
      </c>
    </row>
    <row r="387" spans="1:32" ht="15.75" customHeight="1" x14ac:dyDescent="0.2">
      <c r="A387" s="42"/>
      <c r="B387" s="44"/>
      <c r="C387" s="41"/>
      <c r="D387" s="41"/>
      <c r="E387" s="41"/>
      <c r="F387" s="11"/>
      <c r="G387" s="11"/>
      <c r="H387" s="43"/>
      <c r="K387" s="25"/>
      <c r="M387" s="31"/>
      <c r="N387" s="31"/>
      <c r="O387" s="33"/>
      <c r="Q387" s="6" t="str">
        <f>IF($F387&lt;&gt;"",RIGHT(Tabela1[[#This Row],[Ref.]],2),"")</f>
        <v/>
      </c>
      <c r="R387" s="6" t="str">
        <f t="shared" si="30"/>
        <v/>
      </c>
      <c r="S387" s="4" t="str">
        <f>IF($F387&lt;&gt;"",_xlfn.XLOOKUP(F387,Naturezas!B:B,Naturezas!E:E,"",0,1),"")</f>
        <v/>
      </c>
      <c r="T387" s="4" t="str">
        <f>IF($F387&lt;&gt;"",_xlfn.XLOOKUP($F387,Naturezas!B:B,Naturezas!D:D,"",0,1),"")</f>
        <v/>
      </c>
      <c r="U387" s="5" t="str">
        <f>IF(F387&lt;&gt;"",IF(OR(F387=Naturezas!$B$3,F387=Naturezas!$B$4,F387=Naturezas!$B$5,F387=Naturezas!$B$17,F387=Naturezas!$B$18,F387=Naturezas!$B$19),H387,-H387),"")</f>
        <v/>
      </c>
      <c r="V387" s="4" t="str">
        <f t="shared" si="31"/>
        <v/>
      </c>
      <c r="W387" s="4"/>
      <c r="X387" s="4" t="str">
        <f t="shared" si="32"/>
        <v/>
      </c>
      <c r="Y387" s="6" t="str">
        <f>IF(F387&lt;&gt;"",Tabela1[[#This Row],[Iniciais]],"")</f>
        <v/>
      </c>
      <c r="AA387" s="6" t="str">
        <f>IF($F387&lt;&gt;"",RIGHT(Tabela1[[#This Row],[Ref.]],2),"")</f>
        <v/>
      </c>
      <c r="AB387" s="46" t="str">
        <f>IF($F387&lt;&gt;"",DATE(LEFT(Tabela1[[#This Row],[Ref.]],4),RIGHT(Tabela1[[#This Row],[Ref.]],2),1),"")</f>
        <v/>
      </c>
      <c r="AC387" s="4" t="str">
        <f t="shared" si="33"/>
        <v/>
      </c>
      <c r="AD387" s="5" t="str">
        <f t="shared" si="34"/>
        <v/>
      </c>
      <c r="AE387" s="4"/>
      <c r="AF387" s="6" t="str">
        <f t="shared" si="35"/>
        <v/>
      </c>
    </row>
    <row r="388" spans="1:32" ht="15.75" customHeight="1" x14ac:dyDescent="0.2">
      <c r="A388" s="42"/>
      <c r="B388" s="44"/>
      <c r="C388" s="41"/>
      <c r="D388" s="41"/>
      <c r="E388" s="41"/>
      <c r="F388" s="11"/>
      <c r="G388" s="11"/>
      <c r="H388" s="43"/>
      <c r="K388" s="25"/>
      <c r="M388" s="31"/>
      <c r="N388" s="31"/>
      <c r="O388" s="33"/>
      <c r="Q388" s="6" t="str">
        <f>IF($F388&lt;&gt;"",RIGHT(Tabela1[[#This Row],[Ref.]],2),"")</f>
        <v/>
      </c>
      <c r="R388" s="6" t="str">
        <f t="shared" si="30"/>
        <v/>
      </c>
      <c r="S388" s="4" t="str">
        <f>IF($F388&lt;&gt;"",_xlfn.XLOOKUP(F388,Naturezas!B:B,Naturezas!E:E,"",0,1),"")</f>
        <v/>
      </c>
      <c r="T388" s="4" t="str">
        <f>IF($F388&lt;&gt;"",_xlfn.XLOOKUP($F388,Naturezas!B:B,Naturezas!D:D,"",0,1),"")</f>
        <v/>
      </c>
      <c r="U388" s="5" t="str">
        <f>IF(F388&lt;&gt;"",IF(OR(F388=Naturezas!$B$3,F388=Naturezas!$B$4,F388=Naturezas!$B$5,F388=Naturezas!$B$17,F388=Naturezas!$B$18,F388=Naturezas!$B$19),H388,-H388),"")</f>
        <v/>
      </c>
      <c r="V388" s="4" t="str">
        <f t="shared" si="31"/>
        <v/>
      </c>
      <c r="W388" s="4"/>
      <c r="X388" s="4" t="str">
        <f t="shared" si="32"/>
        <v/>
      </c>
      <c r="Y388" s="6" t="str">
        <f>IF(F388&lt;&gt;"",Tabela1[[#This Row],[Iniciais]],"")</f>
        <v/>
      </c>
      <c r="AA388" s="6" t="str">
        <f>IF($F388&lt;&gt;"",RIGHT(Tabela1[[#This Row],[Ref.]],2),"")</f>
        <v/>
      </c>
      <c r="AB388" s="46" t="str">
        <f>IF($F388&lt;&gt;"",DATE(LEFT(Tabela1[[#This Row],[Ref.]],4),RIGHT(Tabela1[[#This Row],[Ref.]],2),1),"")</f>
        <v/>
      </c>
      <c r="AC388" s="4" t="str">
        <f t="shared" si="33"/>
        <v/>
      </c>
      <c r="AD388" s="5" t="str">
        <f t="shared" si="34"/>
        <v/>
      </c>
      <c r="AE388" s="4"/>
      <c r="AF388" s="6" t="str">
        <f t="shared" si="35"/>
        <v/>
      </c>
    </row>
    <row r="389" spans="1:32" ht="15.75" customHeight="1" x14ac:dyDescent="0.2">
      <c r="A389" s="42"/>
      <c r="B389" s="44"/>
      <c r="C389" s="41"/>
      <c r="D389" s="41"/>
      <c r="E389" s="41"/>
      <c r="F389" s="11"/>
      <c r="G389" s="11"/>
      <c r="H389" s="43"/>
      <c r="K389" s="25"/>
      <c r="M389" s="31"/>
      <c r="N389" s="31"/>
      <c r="O389" s="33"/>
      <c r="Q389" s="6" t="str">
        <f>IF($F389&lt;&gt;"",RIGHT(Tabela1[[#This Row],[Ref.]],2),"")</f>
        <v/>
      </c>
      <c r="R389" s="6" t="str">
        <f t="shared" si="30"/>
        <v/>
      </c>
      <c r="S389" s="4" t="str">
        <f>IF($F389&lt;&gt;"",_xlfn.XLOOKUP(F389,Naturezas!B:B,Naturezas!E:E,"",0,1),"")</f>
        <v/>
      </c>
      <c r="T389" s="4" t="str">
        <f>IF($F389&lt;&gt;"",_xlfn.XLOOKUP($F389,Naturezas!B:B,Naturezas!D:D,"",0,1),"")</f>
        <v/>
      </c>
      <c r="U389" s="5" t="str">
        <f>IF(F389&lt;&gt;"",IF(OR(F389=Naturezas!$B$3,F389=Naturezas!$B$4,F389=Naturezas!$B$5,F389=Naturezas!$B$17,F389=Naturezas!$B$18,F389=Naturezas!$B$19),H389,-H389),"")</f>
        <v/>
      </c>
      <c r="V389" s="4" t="str">
        <f t="shared" si="31"/>
        <v/>
      </c>
      <c r="W389" s="4"/>
      <c r="X389" s="4" t="str">
        <f t="shared" si="32"/>
        <v/>
      </c>
      <c r="Y389" s="6" t="str">
        <f>IF(F389&lt;&gt;"",Tabela1[[#This Row],[Iniciais]],"")</f>
        <v/>
      </c>
      <c r="AA389" s="6" t="str">
        <f>IF($F389&lt;&gt;"",RIGHT(Tabela1[[#This Row],[Ref.]],2),"")</f>
        <v/>
      </c>
      <c r="AB389" s="46" t="str">
        <f>IF($F389&lt;&gt;"",DATE(LEFT(Tabela1[[#This Row],[Ref.]],4),RIGHT(Tabela1[[#This Row],[Ref.]],2),1),"")</f>
        <v/>
      </c>
      <c r="AC389" s="4" t="str">
        <f t="shared" si="33"/>
        <v/>
      </c>
      <c r="AD389" s="5" t="str">
        <f t="shared" si="34"/>
        <v/>
      </c>
      <c r="AE389" s="4"/>
      <c r="AF389" s="6" t="str">
        <f t="shared" si="35"/>
        <v/>
      </c>
    </row>
    <row r="390" spans="1:32" ht="15.75" customHeight="1" x14ac:dyDescent="0.2">
      <c r="A390" s="42"/>
      <c r="B390" s="44"/>
      <c r="C390" s="41"/>
      <c r="D390" s="41"/>
      <c r="E390" s="41"/>
      <c r="F390" s="11"/>
      <c r="G390" s="11"/>
      <c r="H390" s="43"/>
      <c r="K390" s="25"/>
      <c r="M390" s="31"/>
      <c r="N390" s="31"/>
      <c r="O390" s="33"/>
      <c r="Q390" s="6" t="str">
        <f>IF($F390&lt;&gt;"",RIGHT(Tabela1[[#This Row],[Ref.]],2),"")</f>
        <v/>
      </c>
      <c r="R390" s="6" t="str">
        <f t="shared" si="30"/>
        <v/>
      </c>
      <c r="S390" s="4" t="str">
        <f>IF($F390&lt;&gt;"",_xlfn.XLOOKUP(F390,Naturezas!B:B,Naturezas!E:E,"",0,1),"")</f>
        <v/>
      </c>
      <c r="T390" s="4" t="str">
        <f>IF($F390&lt;&gt;"",_xlfn.XLOOKUP($F390,Naturezas!B:B,Naturezas!D:D,"",0,1),"")</f>
        <v/>
      </c>
      <c r="U390" s="5" t="str">
        <f>IF(F390&lt;&gt;"",IF(OR(F390=Naturezas!$B$3,F390=Naturezas!$B$4,F390=Naturezas!$B$5,F390=Naturezas!$B$17,F390=Naturezas!$B$18,F390=Naturezas!$B$19),H390,-H390),"")</f>
        <v/>
      </c>
      <c r="V390" s="4" t="str">
        <f t="shared" si="31"/>
        <v/>
      </c>
      <c r="W390" s="4"/>
      <c r="X390" s="4" t="str">
        <f t="shared" si="32"/>
        <v/>
      </c>
      <c r="Y390" s="6" t="str">
        <f>IF(F390&lt;&gt;"",Tabela1[[#This Row],[Iniciais]],"")</f>
        <v/>
      </c>
      <c r="AA390" s="6" t="str">
        <f>IF($F390&lt;&gt;"",RIGHT(Tabela1[[#This Row],[Ref.]],2),"")</f>
        <v/>
      </c>
      <c r="AB390" s="46" t="str">
        <f>IF($F390&lt;&gt;"",DATE(LEFT(Tabela1[[#This Row],[Ref.]],4),RIGHT(Tabela1[[#This Row],[Ref.]],2),1),"")</f>
        <v/>
      </c>
      <c r="AC390" s="4" t="str">
        <f t="shared" si="33"/>
        <v/>
      </c>
      <c r="AD390" s="5" t="str">
        <f t="shared" si="34"/>
        <v/>
      </c>
      <c r="AE390" s="4"/>
      <c r="AF390" s="6" t="str">
        <f t="shared" si="35"/>
        <v/>
      </c>
    </row>
    <row r="391" spans="1:32" ht="15.75" customHeight="1" x14ac:dyDescent="0.2">
      <c r="A391" s="42"/>
      <c r="B391" s="44"/>
      <c r="C391" s="41"/>
      <c r="D391" s="41"/>
      <c r="E391" s="41"/>
      <c r="F391" s="11"/>
      <c r="G391" s="11"/>
      <c r="H391" s="43"/>
      <c r="K391" s="25"/>
      <c r="M391" s="31"/>
      <c r="N391" s="31"/>
      <c r="O391" s="33"/>
      <c r="Q391" s="6" t="str">
        <f>IF($F391&lt;&gt;"",RIGHT(Tabela1[[#This Row],[Ref.]],2),"")</f>
        <v/>
      </c>
      <c r="R391" s="6" t="str">
        <f t="shared" si="30"/>
        <v/>
      </c>
      <c r="S391" s="4" t="str">
        <f>IF($F391&lt;&gt;"",_xlfn.XLOOKUP(F391,Naturezas!B:B,Naturezas!E:E,"",0,1),"")</f>
        <v/>
      </c>
      <c r="T391" s="4" t="str">
        <f>IF($F391&lt;&gt;"",_xlfn.XLOOKUP($F391,Naturezas!B:B,Naturezas!D:D,"",0,1),"")</f>
        <v/>
      </c>
      <c r="U391" s="5" t="str">
        <f>IF(F391&lt;&gt;"",IF(OR(F391=Naturezas!$B$3,F391=Naturezas!$B$4,F391=Naturezas!$B$5,F391=Naturezas!$B$17,F391=Naturezas!$B$18,F391=Naturezas!$B$19),H391,-H391),"")</f>
        <v/>
      </c>
      <c r="V391" s="4" t="str">
        <f t="shared" si="31"/>
        <v/>
      </c>
      <c r="W391" s="4"/>
      <c r="X391" s="4" t="str">
        <f t="shared" si="32"/>
        <v/>
      </c>
      <c r="Y391" s="6" t="str">
        <f>IF(F391&lt;&gt;"",Tabela1[[#This Row],[Iniciais]],"")</f>
        <v/>
      </c>
      <c r="AA391" s="6" t="str">
        <f>IF($F391&lt;&gt;"",RIGHT(Tabela1[[#This Row],[Ref.]],2),"")</f>
        <v/>
      </c>
      <c r="AB391" s="46" t="str">
        <f>IF($F391&lt;&gt;"",DATE(LEFT(Tabela1[[#This Row],[Ref.]],4),RIGHT(Tabela1[[#This Row],[Ref.]],2),1),"")</f>
        <v/>
      </c>
      <c r="AC391" s="4" t="str">
        <f t="shared" si="33"/>
        <v/>
      </c>
      <c r="AD391" s="5" t="str">
        <f t="shared" si="34"/>
        <v/>
      </c>
      <c r="AE391" s="4"/>
      <c r="AF391" s="6" t="str">
        <f t="shared" si="35"/>
        <v/>
      </c>
    </row>
    <row r="392" spans="1:32" ht="15.75" customHeight="1" x14ac:dyDescent="0.2">
      <c r="A392" s="42"/>
      <c r="B392" s="44"/>
      <c r="C392" s="41"/>
      <c r="D392" s="41"/>
      <c r="E392" s="41"/>
      <c r="F392" s="11"/>
      <c r="G392" s="11"/>
      <c r="H392" s="43"/>
      <c r="K392" s="25"/>
      <c r="M392" s="31"/>
      <c r="N392" s="31"/>
      <c r="O392" s="33"/>
      <c r="Q392" s="6" t="str">
        <f>IF($F392&lt;&gt;"",RIGHT(Tabela1[[#This Row],[Ref.]],2),"")</f>
        <v/>
      </c>
      <c r="R392" s="6" t="str">
        <f t="shared" si="30"/>
        <v/>
      </c>
      <c r="S392" s="4" t="str">
        <f>IF($F392&lt;&gt;"",_xlfn.XLOOKUP(F392,Naturezas!B:B,Naturezas!E:E,"",0,1),"")</f>
        <v/>
      </c>
      <c r="T392" s="4" t="str">
        <f>IF($F392&lt;&gt;"",_xlfn.XLOOKUP($F392,Naturezas!B:B,Naturezas!D:D,"",0,1),"")</f>
        <v/>
      </c>
      <c r="U392" s="5" t="str">
        <f>IF(F392&lt;&gt;"",IF(OR(F392=Naturezas!$B$3,F392=Naturezas!$B$4,F392=Naturezas!$B$5,F392=Naturezas!$B$17,F392=Naturezas!$B$18,F392=Naturezas!$B$19),H392,-H392),"")</f>
        <v/>
      </c>
      <c r="V392" s="4" t="str">
        <f t="shared" si="31"/>
        <v/>
      </c>
      <c r="W392" s="4"/>
      <c r="X392" s="4" t="str">
        <f t="shared" si="32"/>
        <v/>
      </c>
      <c r="Y392" s="6" t="str">
        <f>IF(F392&lt;&gt;"",Tabela1[[#This Row],[Iniciais]],"")</f>
        <v/>
      </c>
      <c r="AA392" s="6" t="str">
        <f>IF($F392&lt;&gt;"",RIGHT(Tabela1[[#This Row],[Ref.]],2),"")</f>
        <v/>
      </c>
      <c r="AB392" s="46" t="str">
        <f>IF($F392&lt;&gt;"",DATE(LEFT(Tabela1[[#This Row],[Ref.]],4),RIGHT(Tabela1[[#This Row],[Ref.]],2),1),"")</f>
        <v/>
      </c>
      <c r="AC392" s="4" t="str">
        <f t="shared" si="33"/>
        <v/>
      </c>
      <c r="AD392" s="5" t="str">
        <f t="shared" si="34"/>
        <v/>
      </c>
      <c r="AE392" s="4"/>
      <c r="AF392" s="6" t="str">
        <f t="shared" si="35"/>
        <v/>
      </c>
    </row>
    <row r="393" spans="1:32" ht="15.75" customHeight="1" x14ac:dyDescent="0.2">
      <c r="A393" s="42"/>
      <c r="B393" s="44"/>
      <c r="C393" s="41"/>
      <c r="D393" s="41"/>
      <c r="E393" s="41"/>
      <c r="F393" s="11"/>
      <c r="G393" s="11"/>
      <c r="H393" s="43"/>
      <c r="K393" s="25"/>
      <c r="M393" s="31"/>
      <c r="N393" s="31"/>
      <c r="O393" s="33"/>
      <c r="Q393" s="6" t="str">
        <f>IF($F393&lt;&gt;"",RIGHT(Tabela1[[#This Row],[Ref.]],2),"")</f>
        <v/>
      </c>
      <c r="R393" s="6" t="str">
        <f t="shared" si="30"/>
        <v/>
      </c>
      <c r="S393" s="4" t="str">
        <f>IF($F393&lt;&gt;"",_xlfn.XLOOKUP(F393,Naturezas!B:B,Naturezas!E:E,"",0,1),"")</f>
        <v/>
      </c>
      <c r="T393" s="4" t="str">
        <f>IF($F393&lt;&gt;"",_xlfn.XLOOKUP($F393,Naturezas!B:B,Naturezas!D:D,"",0,1),"")</f>
        <v/>
      </c>
      <c r="U393" s="5" t="str">
        <f>IF(F393&lt;&gt;"",IF(OR(F393=Naturezas!$B$3,F393=Naturezas!$B$4,F393=Naturezas!$B$5,F393=Naturezas!$B$17,F393=Naturezas!$B$18,F393=Naturezas!$B$19),H393,-H393),"")</f>
        <v/>
      </c>
      <c r="V393" s="4" t="str">
        <f t="shared" si="31"/>
        <v/>
      </c>
      <c r="W393" s="4"/>
      <c r="X393" s="4" t="str">
        <f t="shared" si="32"/>
        <v/>
      </c>
      <c r="Y393" s="6" t="str">
        <f>IF(F393&lt;&gt;"",Tabela1[[#This Row],[Iniciais]],"")</f>
        <v/>
      </c>
      <c r="AA393" s="6" t="str">
        <f>IF($F393&lt;&gt;"",RIGHT(Tabela1[[#This Row],[Ref.]],2),"")</f>
        <v/>
      </c>
      <c r="AB393" s="46" t="str">
        <f>IF($F393&lt;&gt;"",DATE(LEFT(Tabela1[[#This Row],[Ref.]],4),RIGHT(Tabela1[[#This Row],[Ref.]],2),1),"")</f>
        <v/>
      </c>
      <c r="AC393" s="4" t="str">
        <f t="shared" si="33"/>
        <v/>
      </c>
      <c r="AD393" s="5" t="str">
        <f t="shared" si="34"/>
        <v/>
      </c>
      <c r="AE393" s="4"/>
      <c r="AF393" s="6" t="str">
        <f t="shared" si="35"/>
        <v/>
      </c>
    </row>
    <row r="394" spans="1:32" ht="15.75" customHeight="1" x14ac:dyDescent="0.2">
      <c r="A394" s="42"/>
      <c r="B394" s="44"/>
      <c r="C394" s="41"/>
      <c r="D394" s="41"/>
      <c r="E394" s="41"/>
      <c r="F394" s="11"/>
      <c r="G394" s="11"/>
      <c r="H394" s="43"/>
      <c r="K394" s="25"/>
      <c r="M394" s="31"/>
      <c r="N394" s="31"/>
      <c r="O394" s="33"/>
      <c r="Q394" s="6" t="str">
        <f>IF($F394&lt;&gt;"",RIGHT(Tabela1[[#This Row],[Ref.]],2),"")</f>
        <v/>
      </c>
      <c r="R394" s="6" t="str">
        <f t="shared" ref="R394:R457" si="36">IF($F394&lt;&gt;"",1,"")</f>
        <v/>
      </c>
      <c r="S394" s="4" t="str">
        <f>IF($F394&lt;&gt;"",_xlfn.XLOOKUP(F394,Naturezas!B:B,Naturezas!E:E,"",0,1),"")</f>
        <v/>
      </c>
      <c r="T394" s="4" t="str">
        <f>IF($F394&lt;&gt;"",_xlfn.XLOOKUP($F394,Naturezas!B:B,Naturezas!D:D,"",0,1),"")</f>
        <v/>
      </c>
      <c r="U394" s="5" t="str">
        <f>IF(F394&lt;&gt;"",IF(OR(F394=Naturezas!$B$3,F394=Naturezas!$B$4,F394=Naturezas!$B$5,F394=Naturezas!$B$17,F394=Naturezas!$B$18,F394=Naturezas!$B$19),H394,-H394),"")</f>
        <v/>
      </c>
      <c r="V394" s="4" t="str">
        <f t="shared" ref="V394:V457" si="37">IF(F394&lt;&gt;"",F394,"")</f>
        <v/>
      </c>
      <c r="W394" s="4"/>
      <c r="X394" s="4" t="str">
        <f t="shared" ref="X394:X457" si="38">IF(F394&lt;&gt;"",G394,"")</f>
        <v/>
      </c>
      <c r="Y394" s="6" t="str">
        <f>IF(F394&lt;&gt;"",Tabela1[[#This Row],[Iniciais]],"")</f>
        <v/>
      </c>
      <c r="AA394" s="6" t="str">
        <f>IF($F394&lt;&gt;"",RIGHT(Tabela1[[#This Row],[Ref.]],2),"")</f>
        <v/>
      </c>
      <c r="AB394" s="46" t="str">
        <f>IF($F394&lt;&gt;"",DATE(LEFT(Tabela1[[#This Row],[Ref.]],4),RIGHT(Tabela1[[#This Row],[Ref.]],2),1),"")</f>
        <v/>
      </c>
      <c r="AC394" s="4" t="str">
        <f t="shared" ref="AC394:AC457" si="39">IF($F394&lt;&gt;"",$G394,"")</f>
        <v/>
      </c>
      <c r="AD394" s="5" t="str">
        <f t="shared" ref="AD394:AD457" si="40">IF($F394&lt;&gt;"",$H394,"")</f>
        <v/>
      </c>
      <c r="AE394" s="4"/>
      <c r="AF394" s="6" t="str">
        <f t="shared" ref="AF394:AF457" si="41">IF($F394&lt;&gt;"",$B$2,"")</f>
        <v/>
      </c>
    </row>
    <row r="395" spans="1:32" ht="15.75" customHeight="1" x14ac:dyDescent="0.2">
      <c r="A395" s="42"/>
      <c r="B395" s="44"/>
      <c r="C395" s="41"/>
      <c r="D395" s="41"/>
      <c r="E395" s="41"/>
      <c r="F395" s="11"/>
      <c r="G395" s="11"/>
      <c r="H395" s="43"/>
      <c r="K395" s="25"/>
      <c r="M395" s="31"/>
      <c r="N395" s="31"/>
      <c r="O395" s="33"/>
      <c r="Q395" s="6" t="str">
        <f>IF($F395&lt;&gt;"",RIGHT(Tabela1[[#This Row],[Ref.]],2),"")</f>
        <v/>
      </c>
      <c r="R395" s="6" t="str">
        <f t="shared" si="36"/>
        <v/>
      </c>
      <c r="S395" s="4" t="str">
        <f>IF($F395&lt;&gt;"",_xlfn.XLOOKUP(F395,Naturezas!B:B,Naturezas!E:E,"",0,1),"")</f>
        <v/>
      </c>
      <c r="T395" s="4" t="str">
        <f>IF($F395&lt;&gt;"",_xlfn.XLOOKUP($F395,Naturezas!B:B,Naturezas!D:D,"",0,1),"")</f>
        <v/>
      </c>
      <c r="U395" s="5" t="str">
        <f>IF(F395&lt;&gt;"",IF(OR(F395=Naturezas!$B$3,F395=Naturezas!$B$4,F395=Naturezas!$B$5,F395=Naturezas!$B$17,F395=Naturezas!$B$18,F395=Naturezas!$B$19),H395,-H395),"")</f>
        <v/>
      </c>
      <c r="V395" s="4" t="str">
        <f t="shared" si="37"/>
        <v/>
      </c>
      <c r="W395" s="4"/>
      <c r="X395" s="4" t="str">
        <f t="shared" si="38"/>
        <v/>
      </c>
      <c r="Y395" s="6" t="str">
        <f>IF(F395&lt;&gt;"",Tabela1[[#This Row],[Iniciais]],"")</f>
        <v/>
      </c>
      <c r="AA395" s="6" t="str">
        <f>IF($F395&lt;&gt;"",RIGHT(Tabela1[[#This Row],[Ref.]],2),"")</f>
        <v/>
      </c>
      <c r="AB395" s="46" t="str">
        <f>IF($F395&lt;&gt;"",DATE(LEFT(Tabela1[[#This Row],[Ref.]],4),RIGHT(Tabela1[[#This Row],[Ref.]],2),1),"")</f>
        <v/>
      </c>
      <c r="AC395" s="4" t="str">
        <f t="shared" si="39"/>
        <v/>
      </c>
      <c r="AD395" s="5" t="str">
        <f t="shared" si="40"/>
        <v/>
      </c>
      <c r="AE395" s="4"/>
      <c r="AF395" s="6" t="str">
        <f t="shared" si="41"/>
        <v/>
      </c>
    </row>
    <row r="396" spans="1:32" ht="15.75" customHeight="1" x14ac:dyDescent="0.2">
      <c r="A396" s="42"/>
      <c r="B396" s="44"/>
      <c r="C396" s="41"/>
      <c r="D396" s="41"/>
      <c r="E396" s="41"/>
      <c r="F396" s="11"/>
      <c r="G396" s="11"/>
      <c r="H396" s="43"/>
      <c r="K396" s="25"/>
      <c r="M396" s="31"/>
      <c r="N396" s="31"/>
      <c r="O396" s="33"/>
      <c r="Q396" s="6" t="str">
        <f>IF($F396&lt;&gt;"",RIGHT(Tabela1[[#This Row],[Ref.]],2),"")</f>
        <v/>
      </c>
      <c r="R396" s="6" t="str">
        <f t="shared" si="36"/>
        <v/>
      </c>
      <c r="S396" s="4" t="str">
        <f>IF($F396&lt;&gt;"",_xlfn.XLOOKUP(F396,Naturezas!B:B,Naturezas!E:E,"",0,1),"")</f>
        <v/>
      </c>
      <c r="T396" s="4" t="str">
        <f>IF($F396&lt;&gt;"",_xlfn.XLOOKUP($F396,Naturezas!B:B,Naturezas!D:D,"",0,1),"")</f>
        <v/>
      </c>
      <c r="U396" s="5" t="str">
        <f>IF(F396&lt;&gt;"",IF(OR(F396=Naturezas!$B$3,F396=Naturezas!$B$4,F396=Naturezas!$B$5,F396=Naturezas!$B$17,F396=Naturezas!$B$18,F396=Naturezas!$B$19),H396,-H396),"")</f>
        <v/>
      </c>
      <c r="V396" s="4" t="str">
        <f t="shared" si="37"/>
        <v/>
      </c>
      <c r="W396" s="4"/>
      <c r="X396" s="4" t="str">
        <f t="shared" si="38"/>
        <v/>
      </c>
      <c r="Y396" s="6" t="str">
        <f>IF(F396&lt;&gt;"",Tabela1[[#This Row],[Iniciais]],"")</f>
        <v/>
      </c>
      <c r="AA396" s="6" t="str">
        <f>IF($F396&lt;&gt;"",RIGHT(Tabela1[[#This Row],[Ref.]],2),"")</f>
        <v/>
      </c>
      <c r="AB396" s="46" t="str">
        <f>IF($F396&lt;&gt;"",DATE(LEFT(Tabela1[[#This Row],[Ref.]],4),RIGHT(Tabela1[[#This Row],[Ref.]],2),1),"")</f>
        <v/>
      </c>
      <c r="AC396" s="4" t="str">
        <f t="shared" si="39"/>
        <v/>
      </c>
      <c r="AD396" s="5" t="str">
        <f t="shared" si="40"/>
        <v/>
      </c>
      <c r="AE396" s="4"/>
      <c r="AF396" s="6" t="str">
        <f t="shared" si="41"/>
        <v/>
      </c>
    </row>
    <row r="397" spans="1:32" ht="15.75" customHeight="1" x14ac:dyDescent="0.2">
      <c r="A397" s="42"/>
      <c r="B397" s="44"/>
      <c r="C397" s="41"/>
      <c r="D397" s="41"/>
      <c r="E397" s="41"/>
      <c r="F397" s="11"/>
      <c r="G397" s="11"/>
      <c r="H397" s="43"/>
      <c r="K397" s="25"/>
      <c r="M397" s="31"/>
      <c r="N397" s="31"/>
      <c r="O397" s="33"/>
      <c r="Q397" s="6" t="str">
        <f>IF($F397&lt;&gt;"",RIGHT(Tabela1[[#This Row],[Ref.]],2),"")</f>
        <v/>
      </c>
      <c r="R397" s="6" t="str">
        <f t="shared" si="36"/>
        <v/>
      </c>
      <c r="S397" s="4" t="str">
        <f>IF($F397&lt;&gt;"",_xlfn.XLOOKUP(F397,Naturezas!B:B,Naturezas!E:E,"",0,1),"")</f>
        <v/>
      </c>
      <c r="T397" s="4" t="str">
        <f>IF($F397&lt;&gt;"",_xlfn.XLOOKUP($F397,Naturezas!B:B,Naturezas!D:D,"",0,1),"")</f>
        <v/>
      </c>
      <c r="U397" s="5" t="str">
        <f>IF(F397&lt;&gt;"",IF(OR(F397=Naturezas!$B$3,F397=Naturezas!$B$4,F397=Naturezas!$B$5,F397=Naturezas!$B$17,F397=Naturezas!$B$18,F397=Naturezas!$B$19),H397,-H397),"")</f>
        <v/>
      </c>
      <c r="V397" s="4" t="str">
        <f t="shared" si="37"/>
        <v/>
      </c>
      <c r="W397" s="4"/>
      <c r="X397" s="4" t="str">
        <f t="shared" si="38"/>
        <v/>
      </c>
      <c r="Y397" s="6" t="str">
        <f>IF(F397&lt;&gt;"",Tabela1[[#This Row],[Iniciais]],"")</f>
        <v/>
      </c>
      <c r="AA397" s="6" t="str">
        <f>IF($F397&lt;&gt;"",RIGHT(Tabela1[[#This Row],[Ref.]],2),"")</f>
        <v/>
      </c>
      <c r="AB397" s="46" t="str">
        <f>IF($F397&lt;&gt;"",DATE(LEFT(Tabela1[[#This Row],[Ref.]],4),RIGHT(Tabela1[[#This Row],[Ref.]],2),1),"")</f>
        <v/>
      </c>
      <c r="AC397" s="4" t="str">
        <f t="shared" si="39"/>
        <v/>
      </c>
      <c r="AD397" s="5" t="str">
        <f t="shared" si="40"/>
        <v/>
      </c>
      <c r="AE397" s="4"/>
      <c r="AF397" s="6" t="str">
        <f t="shared" si="41"/>
        <v/>
      </c>
    </row>
    <row r="398" spans="1:32" ht="15.75" customHeight="1" x14ac:dyDescent="0.2">
      <c r="A398" s="42"/>
      <c r="B398" s="44"/>
      <c r="C398" s="41"/>
      <c r="D398" s="41"/>
      <c r="E398" s="41"/>
      <c r="F398" s="11"/>
      <c r="G398" s="11"/>
      <c r="H398" s="43"/>
      <c r="K398" s="25"/>
      <c r="M398" s="31"/>
      <c r="N398" s="31"/>
      <c r="O398" s="33"/>
      <c r="Q398" s="6" t="str">
        <f>IF($F398&lt;&gt;"",RIGHT(Tabela1[[#This Row],[Ref.]],2),"")</f>
        <v/>
      </c>
      <c r="R398" s="6" t="str">
        <f t="shared" si="36"/>
        <v/>
      </c>
      <c r="S398" s="4" t="str">
        <f>IF($F398&lt;&gt;"",_xlfn.XLOOKUP(F398,Naturezas!B:B,Naturezas!E:E,"",0,1),"")</f>
        <v/>
      </c>
      <c r="T398" s="4" t="str">
        <f>IF($F398&lt;&gt;"",_xlfn.XLOOKUP($F398,Naturezas!B:B,Naturezas!D:D,"",0,1),"")</f>
        <v/>
      </c>
      <c r="U398" s="5" t="str">
        <f>IF(F398&lt;&gt;"",IF(OR(F398=Naturezas!$B$3,F398=Naturezas!$B$4,F398=Naturezas!$B$5,F398=Naturezas!$B$17,F398=Naturezas!$B$18,F398=Naturezas!$B$19),H398,-H398),"")</f>
        <v/>
      </c>
      <c r="V398" s="4" t="str">
        <f t="shared" si="37"/>
        <v/>
      </c>
      <c r="W398" s="4"/>
      <c r="X398" s="4" t="str">
        <f t="shared" si="38"/>
        <v/>
      </c>
      <c r="Y398" s="6" t="str">
        <f>IF(F398&lt;&gt;"",Tabela1[[#This Row],[Iniciais]],"")</f>
        <v/>
      </c>
      <c r="AA398" s="6" t="str">
        <f>IF($F398&lt;&gt;"",RIGHT(Tabela1[[#This Row],[Ref.]],2),"")</f>
        <v/>
      </c>
      <c r="AB398" s="46" t="str">
        <f>IF($F398&lt;&gt;"",DATE(LEFT(Tabela1[[#This Row],[Ref.]],4),RIGHT(Tabela1[[#This Row],[Ref.]],2),1),"")</f>
        <v/>
      </c>
      <c r="AC398" s="4" t="str">
        <f t="shared" si="39"/>
        <v/>
      </c>
      <c r="AD398" s="5" t="str">
        <f t="shared" si="40"/>
        <v/>
      </c>
      <c r="AE398" s="4"/>
      <c r="AF398" s="6" t="str">
        <f t="shared" si="41"/>
        <v/>
      </c>
    </row>
    <row r="399" spans="1:32" ht="15.75" customHeight="1" x14ac:dyDescent="0.2">
      <c r="A399" s="42"/>
      <c r="B399" s="44"/>
      <c r="C399" s="41"/>
      <c r="D399" s="41"/>
      <c r="E399" s="41"/>
      <c r="F399" s="11"/>
      <c r="G399" s="11"/>
      <c r="H399" s="43"/>
      <c r="K399" s="25"/>
      <c r="M399" s="31"/>
      <c r="N399" s="31"/>
      <c r="O399" s="33"/>
      <c r="Q399" s="6" t="str">
        <f>IF($F399&lt;&gt;"",RIGHT(Tabela1[[#This Row],[Ref.]],2),"")</f>
        <v/>
      </c>
      <c r="R399" s="6" t="str">
        <f t="shared" si="36"/>
        <v/>
      </c>
      <c r="S399" s="4" t="str">
        <f>IF($F399&lt;&gt;"",_xlfn.XLOOKUP(F399,Naturezas!B:B,Naturezas!E:E,"",0,1),"")</f>
        <v/>
      </c>
      <c r="T399" s="4" t="str">
        <f>IF($F399&lt;&gt;"",_xlfn.XLOOKUP($F399,Naturezas!B:B,Naturezas!D:D,"",0,1),"")</f>
        <v/>
      </c>
      <c r="U399" s="5" t="str">
        <f>IF(F399&lt;&gt;"",IF(OR(F399=Naturezas!$B$3,F399=Naturezas!$B$4,F399=Naturezas!$B$5,F399=Naturezas!$B$17,F399=Naturezas!$B$18,F399=Naturezas!$B$19),H399,-H399),"")</f>
        <v/>
      </c>
      <c r="V399" s="4" t="str">
        <f t="shared" si="37"/>
        <v/>
      </c>
      <c r="W399" s="4"/>
      <c r="X399" s="4" t="str">
        <f t="shared" si="38"/>
        <v/>
      </c>
      <c r="Y399" s="6" t="str">
        <f>IF(F399&lt;&gt;"",Tabela1[[#This Row],[Iniciais]],"")</f>
        <v/>
      </c>
      <c r="AA399" s="6" t="str">
        <f>IF($F399&lt;&gt;"",RIGHT(Tabela1[[#This Row],[Ref.]],2),"")</f>
        <v/>
      </c>
      <c r="AB399" s="46" t="str">
        <f>IF($F399&lt;&gt;"",DATE(LEFT(Tabela1[[#This Row],[Ref.]],4),RIGHT(Tabela1[[#This Row],[Ref.]],2),1),"")</f>
        <v/>
      </c>
      <c r="AC399" s="4" t="str">
        <f t="shared" si="39"/>
        <v/>
      </c>
      <c r="AD399" s="5" t="str">
        <f t="shared" si="40"/>
        <v/>
      </c>
      <c r="AE399" s="4"/>
      <c r="AF399" s="6" t="str">
        <f t="shared" si="41"/>
        <v/>
      </c>
    </row>
    <row r="400" spans="1:32" ht="15.75" customHeight="1" x14ac:dyDescent="0.2">
      <c r="A400" s="42"/>
      <c r="B400" s="44"/>
      <c r="C400" s="41"/>
      <c r="D400" s="41"/>
      <c r="E400" s="41"/>
      <c r="F400" s="11"/>
      <c r="G400" s="11"/>
      <c r="H400" s="43"/>
      <c r="K400" s="25"/>
      <c r="M400" s="31"/>
      <c r="N400" s="31"/>
      <c r="O400" s="33"/>
      <c r="Q400" s="6" t="str">
        <f>IF($F400&lt;&gt;"",RIGHT(Tabela1[[#This Row],[Ref.]],2),"")</f>
        <v/>
      </c>
      <c r="R400" s="6" t="str">
        <f t="shared" si="36"/>
        <v/>
      </c>
      <c r="S400" s="4" t="str">
        <f>IF($F400&lt;&gt;"",_xlfn.XLOOKUP(F400,Naturezas!B:B,Naturezas!E:E,"",0,1),"")</f>
        <v/>
      </c>
      <c r="T400" s="4" t="str">
        <f>IF($F400&lt;&gt;"",_xlfn.XLOOKUP($F400,Naturezas!B:B,Naturezas!D:D,"",0,1),"")</f>
        <v/>
      </c>
      <c r="U400" s="5" t="str">
        <f>IF(F400&lt;&gt;"",IF(OR(F400=Naturezas!$B$3,F400=Naturezas!$B$4,F400=Naturezas!$B$5,F400=Naturezas!$B$17,F400=Naturezas!$B$18,F400=Naturezas!$B$19),H400,-H400),"")</f>
        <v/>
      </c>
      <c r="V400" s="4" t="str">
        <f t="shared" si="37"/>
        <v/>
      </c>
      <c r="W400" s="4"/>
      <c r="X400" s="4" t="str">
        <f t="shared" si="38"/>
        <v/>
      </c>
      <c r="Y400" s="6" t="str">
        <f>IF(F400&lt;&gt;"",Tabela1[[#This Row],[Iniciais]],"")</f>
        <v/>
      </c>
      <c r="AA400" s="6" t="str">
        <f>IF($F400&lt;&gt;"",RIGHT(Tabela1[[#This Row],[Ref.]],2),"")</f>
        <v/>
      </c>
      <c r="AB400" s="46" t="str">
        <f>IF($F400&lt;&gt;"",DATE(LEFT(Tabela1[[#This Row],[Ref.]],4),RIGHT(Tabela1[[#This Row],[Ref.]],2),1),"")</f>
        <v/>
      </c>
      <c r="AC400" s="4" t="str">
        <f t="shared" si="39"/>
        <v/>
      </c>
      <c r="AD400" s="5" t="str">
        <f t="shared" si="40"/>
        <v/>
      </c>
      <c r="AE400" s="4"/>
      <c r="AF400" s="6" t="str">
        <f t="shared" si="41"/>
        <v/>
      </c>
    </row>
    <row r="401" spans="1:32" ht="15.75" customHeight="1" x14ac:dyDescent="0.2">
      <c r="A401" s="42"/>
      <c r="B401" s="44"/>
      <c r="C401" s="41"/>
      <c r="D401" s="41"/>
      <c r="E401" s="41"/>
      <c r="F401" s="11"/>
      <c r="G401" s="11"/>
      <c r="H401" s="43"/>
      <c r="K401" s="25"/>
      <c r="M401" s="31"/>
      <c r="N401" s="31"/>
      <c r="O401" s="33"/>
      <c r="Q401" s="6" t="str">
        <f>IF($F401&lt;&gt;"",RIGHT(Tabela1[[#This Row],[Ref.]],2),"")</f>
        <v/>
      </c>
      <c r="R401" s="6" t="str">
        <f t="shared" si="36"/>
        <v/>
      </c>
      <c r="S401" s="4" t="str">
        <f>IF($F401&lt;&gt;"",_xlfn.XLOOKUP(F401,Naturezas!B:B,Naturezas!E:E,"",0,1),"")</f>
        <v/>
      </c>
      <c r="T401" s="4" t="str">
        <f>IF($F401&lt;&gt;"",_xlfn.XLOOKUP($F401,Naturezas!B:B,Naturezas!D:D,"",0,1),"")</f>
        <v/>
      </c>
      <c r="U401" s="5" t="str">
        <f>IF(F401&lt;&gt;"",IF(OR(F401=Naturezas!$B$3,F401=Naturezas!$B$4,F401=Naturezas!$B$5,F401=Naturezas!$B$17,F401=Naturezas!$B$18,F401=Naturezas!$B$19),H401,-H401),"")</f>
        <v/>
      </c>
      <c r="V401" s="4" t="str">
        <f t="shared" si="37"/>
        <v/>
      </c>
      <c r="W401" s="4"/>
      <c r="X401" s="4" t="str">
        <f t="shared" si="38"/>
        <v/>
      </c>
      <c r="Y401" s="6" t="str">
        <f>IF(F401&lt;&gt;"",Tabela1[[#This Row],[Iniciais]],"")</f>
        <v/>
      </c>
      <c r="AA401" s="6" t="str">
        <f>IF($F401&lt;&gt;"",RIGHT(Tabela1[[#This Row],[Ref.]],2),"")</f>
        <v/>
      </c>
      <c r="AB401" s="46" t="str">
        <f>IF($F401&lt;&gt;"",DATE(LEFT(Tabela1[[#This Row],[Ref.]],4),RIGHT(Tabela1[[#This Row],[Ref.]],2),1),"")</f>
        <v/>
      </c>
      <c r="AC401" s="4" t="str">
        <f t="shared" si="39"/>
        <v/>
      </c>
      <c r="AD401" s="5" t="str">
        <f t="shared" si="40"/>
        <v/>
      </c>
      <c r="AE401" s="4"/>
      <c r="AF401" s="6" t="str">
        <f t="shared" si="41"/>
        <v/>
      </c>
    </row>
    <row r="402" spans="1:32" ht="15.75" customHeight="1" x14ac:dyDescent="0.2">
      <c r="A402" s="42"/>
      <c r="B402" s="44"/>
      <c r="C402" s="41"/>
      <c r="D402" s="41"/>
      <c r="E402" s="41"/>
      <c r="F402" s="11"/>
      <c r="G402" s="11"/>
      <c r="H402" s="43"/>
      <c r="K402" s="25"/>
      <c r="M402" s="31"/>
      <c r="N402" s="31"/>
      <c r="O402" s="33"/>
      <c r="Q402" s="6" t="str">
        <f>IF($F402&lt;&gt;"",RIGHT(Tabela1[[#This Row],[Ref.]],2),"")</f>
        <v/>
      </c>
      <c r="R402" s="6" t="str">
        <f t="shared" si="36"/>
        <v/>
      </c>
      <c r="S402" s="4" t="str">
        <f>IF($F402&lt;&gt;"",_xlfn.XLOOKUP(F402,Naturezas!B:B,Naturezas!E:E,"",0,1),"")</f>
        <v/>
      </c>
      <c r="T402" s="4" t="str">
        <f>IF($F402&lt;&gt;"",_xlfn.XLOOKUP($F402,Naturezas!B:B,Naturezas!D:D,"",0,1),"")</f>
        <v/>
      </c>
      <c r="U402" s="5" t="str">
        <f>IF(F402&lt;&gt;"",IF(OR(F402=Naturezas!$B$3,F402=Naturezas!$B$4,F402=Naturezas!$B$5,F402=Naturezas!$B$17,F402=Naturezas!$B$18,F402=Naturezas!$B$19),H402,-H402),"")</f>
        <v/>
      </c>
      <c r="V402" s="4" t="str">
        <f t="shared" si="37"/>
        <v/>
      </c>
      <c r="W402" s="4"/>
      <c r="X402" s="4" t="str">
        <f t="shared" si="38"/>
        <v/>
      </c>
      <c r="Y402" s="6" t="str">
        <f>IF(F402&lt;&gt;"",Tabela1[[#This Row],[Iniciais]],"")</f>
        <v/>
      </c>
      <c r="AA402" s="6" t="str">
        <f>IF($F402&lt;&gt;"",RIGHT(Tabela1[[#This Row],[Ref.]],2),"")</f>
        <v/>
      </c>
      <c r="AB402" s="46" t="str">
        <f>IF($F402&lt;&gt;"",DATE(LEFT(Tabela1[[#This Row],[Ref.]],4),RIGHT(Tabela1[[#This Row],[Ref.]],2),1),"")</f>
        <v/>
      </c>
      <c r="AC402" s="4" t="str">
        <f t="shared" si="39"/>
        <v/>
      </c>
      <c r="AD402" s="5" t="str">
        <f t="shared" si="40"/>
        <v/>
      </c>
      <c r="AE402" s="4"/>
      <c r="AF402" s="6" t="str">
        <f t="shared" si="41"/>
        <v/>
      </c>
    </row>
    <row r="403" spans="1:32" ht="15.75" customHeight="1" x14ac:dyDescent="0.2">
      <c r="A403" s="42"/>
      <c r="B403" s="44"/>
      <c r="C403" s="41"/>
      <c r="D403" s="41"/>
      <c r="E403" s="41"/>
      <c r="F403" s="11"/>
      <c r="G403" s="11"/>
      <c r="H403" s="43"/>
      <c r="K403" s="25"/>
      <c r="M403" s="31"/>
      <c r="N403" s="31"/>
      <c r="O403" s="33"/>
      <c r="Q403" s="6" t="str">
        <f>IF($F403&lt;&gt;"",RIGHT(Tabela1[[#This Row],[Ref.]],2),"")</f>
        <v/>
      </c>
      <c r="R403" s="6" t="str">
        <f t="shared" si="36"/>
        <v/>
      </c>
      <c r="S403" s="4" t="str">
        <f>IF($F403&lt;&gt;"",_xlfn.XLOOKUP(F403,Naturezas!B:B,Naturezas!E:E,"",0,1),"")</f>
        <v/>
      </c>
      <c r="T403" s="4" t="str">
        <f>IF($F403&lt;&gt;"",_xlfn.XLOOKUP($F403,Naturezas!B:B,Naturezas!D:D,"",0,1),"")</f>
        <v/>
      </c>
      <c r="U403" s="5" t="str">
        <f>IF(F403&lt;&gt;"",IF(OR(F403=Naturezas!$B$3,F403=Naturezas!$B$4,F403=Naturezas!$B$5,F403=Naturezas!$B$17,F403=Naturezas!$B$18,F403=Naturezas!$B$19),H403,-H403),"")</f>
        <v/>
      </c>
      <c r="V403" s="4" t="str">
        <f t="shared" si="37"/>
        <v/>
      </c>
      <c r="W403" s="4"/>
      <c r="X403" s="4" t="str">
        <f t="shared" si="38"/>
        <v/>
      </c>
      <c r="Y403" s="6" t="str">
        <f>IF(F403&lt;&gt;"",Tabela1[[#This Row],[Iniciais]],"")</f>
        <v/>
      </c>
      <c r="AA403" s="6" t="str">
        <f>IF($F403&lt;&gt;"",RIGHT(Tabela1[[#This Row],[Ref.]],2),"")</f>
        <v/>
      </c>
      <c r="AB403" s="46" t="str">
        <f>IF($F403&lt;&gt;"",DATE(LEFT(Tabela1[[#This Row],[Ref.]],4),RIGHT(Tabela1[[#This Row],[Ref.]],2),1),"")</f>
        <v/>
      </c>
      <c r="AC403" s="4" t="str">
        <f t="shared" si="39"/>
        <v/>
      </c>
      <c r="AD403" s="5" t="str">
        <f t="shared" si="40"/>
        <v/>
      </c>
      <c r="AE403" s="4"/>
      <c r="AF403" s="6" t="str">
        <f t="shared" si="41"/>
        <v/>
      </c>
    </row>
    <row r="404" spans="1:32" ht="15.75" customHeight="1" x14ac:dyDescent="0.2">
      <c r="A404" s="42"/>
      <c r="B404" s="44"/>
      <c r="C404" s="41"/>
      <c r="D404" s="41"/>
      <c r="E404" s="41"/>
      <c r="F404" s="11"/>
      <c r="G404" s="11"/>
      <c r="H404" s="43"/>
      <c r="K404" s="25"/>
      <c r="M404" s="31"/>
      <c r="N404" s="31"/>
      <c r="O404" s="33"/>
      <c r="Q404" s="6" t="str">
        <f>IF($F404&lt;&gt;"",RIGHT(Tabela1[[#This Row],[Ref.]],2),"")</f>
        <v/>
      </c>
      <c r="R404" s="6" t="str">
        <f t="shared" si="36"/>
        <v/>
      </c>
      <c r="S404" s="4" t="str">
        <f>IF($F404&lt;&gt;"",_xlfn.XLOOKUP(F404,Naturezas!B:B,Naturezas!E:E,"",0,1),"")</f>
        <v/>
      </c>
      <c r="T404" s="4" t="str">
        <f>IF($F404&lt;&gt;"",_xlfn.XLOOKUP($F404,Naturezas!B:B,Naturezas!D:D,"",0,1),"")</f>
        <v/>
      </c>
      <c r="U404" s="5" t="str">
        <f>IF(F404&lt;&gt;"",IF(OR(F404=Naturezas!$B$3,F404=Naturezas!$B$4,F404=Naturezas!$B$5,F404=Naturezas!$B$17,F404=Naturezas!$B$18,F404=Naturezas!$B$19),H404,-H404),"")</f>
        <v/>
      </c>
      <c r="V404" s="4" t="str">
        <f t="shared" si="37"/>
        <v/>
      </c>
      <c r="W404" s="4"/>
      <c r="X404" s="4" t="str">
        <f t="shared" si="38"/>
        <v/>
      </c>
      <c r="Y404" s="6" t="str">
        <f>IF(F404&lt;&gt;"",Tabela1[[#This Row],[Iniciais]],"")</f>
        <v/>
      </c>
      <c r="AA404" s="6" t="str">
        <f>IF($F404&lt;&gt;"",RIGHT(Tabela1[[#This Row],[Ref.]],2),"")</f>
        <v/>
      </c>
      <c r="AB404" s="46" t="str">
        <f>IF($F404&lt;&gt;"",DATE(LEFT(Tabela1[[#This Row],[Ref.]],4),RIGHT(Tabela1[[#This Row],[Ref.]],2),1),"")</f>
        <v/>
      </c>
      <c r="AC404" s="4" t="str">
        <f t="shared" si="39"/>
        <v/>
      </c>
      <c r="AD404" s="5" t="str">
        <f t="shared" si="40"/>
        <v/>
      </c>
      <c r="AE404" s="4"/>
      <c r="AF404" s="6" t="str">
        <f t="shared" si="41"/>
        <v/>
      </c>
    </row>
    <row r="405" spans="1:32" ht="15.75" customHeight="1" x14ac:dyDescent="0.2">
      <c r="A405" s="42"/>
      <c r="B405" s="44"/>
      <c r="C405" s="41"/>
      <c r="D405" s="41"/>
      <c r="E405" s="41"/>
      <c r="F405" s="11"/>
      <c r="G405" s="11"/>
      <c r="H405" s="43"/>
      <c r="K405" s="25"/>
      <c r="M405" s="31"/>
      <c r="N405" s="31"/>
      <c r="O405" s="33"/>
      <c r="Q405" s="6" t="str">
        <f>IF($F405&lt;&gt;"",RIGHT(Tabela1[[#This Row],[Ref.]],2),"")</f>
        <v/>
      </c>
      <c r="R405" s="6" t="str">
        <f t="shared" si="36"/>
        <v/>
      </c>
      <c r="S405" s="4" t="str">
        <f>IF($F405&lt;&gt;"",_xlfn.XLOOKUP(F405,Naturezas!B:B,Naturezas!E:E,"",0,1),"")</f>
        <v/>
      </c>
      <c r="T405" s="4" t="str">
        <f>IF($F405&lt;&gt;"",_xlfn.XLOOKUP($F405,Naturezas!B:B,Naturezas!D:D,"",0,1),"")</f>
        <v/>
      </c>
      <c r="U405" s="5" t="str">
        <f>IF(F405&lt;&gt;"",IF(OR(F405=Naturezas!$B$3,F405=Naturezas!$B$4,F405=Naturezas!$B$5,F405=Naturezas!$B$17,F405=Naturezas!$B$18,F405=Naturezas!$B$19),H405,-H405),"")</f>
        <v/>
      </c>
      <c r="V405" s="4" t="str">
        <f t="shared" si="37"/>
        <v/>
      </c>
      <c r="W405" s="4"/>
      <c r="X405" s="4" t="str">
        <f t="shared" si="38"/>
        <v/>
      </c>
      <c r="Y405" s="6" t="str">
        <f>IF(F405&lt;&gt;"",Tabela1[[#This Row],[Iniciais]],"")</f>
        <v/>
      </c>
      <c r="AA405" s="6" t="str">
        <f>IF($F405&lt;&gt;"",RIGHT(Tabela1[[#This Row],[Ref.]],2),"")</f>
        <v/>
      </c>
      <c r="AB405" s="46" t="str">
        <f>IF($F405&lt;&gt;"",DATE(LEFT(Tabela1[[#This Row],[Ref.]],4),RIGHT(Tabela1[[#This Row],[Ref.]],2),1),"")</f>
        <v/>
      </c>
      <c r="AC405" s="4" t="str">
        <f t="shared" si="39"/>
        <v/>
      </c>
      <c r="AD405" s="5" t="str">
        <f t="shared" si="40"/>
        <v/>
      </c>
      <c r="AE405" s="4"/>
      <c r="AF405" s="6" t="str">
        <f t="shared" si="41"/>
        <v/>
      </c>
    </row>
    <row r="406" spans="1:32" ht="15.75" customHeight="1" x14ac:dyDescent="0.2">
      <c r="A406" s="42"/>
      <c r="B406" s="44"/>
      <c r="C406" s="41"/>
      <c r="D406" s="41"/>
      <c r="E406" s="41"/>
      <c r="F406" s="11"/>
      <c r="G406" s="11"/>
      <c r="H406" s="43"/>
      <c r="K406" s="25"/>
      <c r="M406" s="31"/>
      <c r="N406" s="31"/>
      <c r="O406" s="33"/>
      <c r="Q406" s="6" t="str">
        <f>IF($F406&lt;&gt;"",RIGHT(Tabela1[[#This Row],[Ref.]],2),"")</f>
        <v/>
      </c>
      <c r="R406" s="6" t="str">
        <f t="shared" si="36"/>
        <v/>
      </c>
      <c r="S406" s="4" t="str">
        <f>IF($F406&lt;&gt;"",_xlfn.XLOOKUP(F406,Naturezas!B:B,Naturezas!E:E,"",0,1),"")</f>
        <v/>
      </c>
      <c r="T406" s="4" t="str">
        <f>IF($F406&lt;&gt;"",_xlfn.XLOOKUP($F406,Naturezas!B:B,Naturezas!D:D,"",0,1),"")</f>
        <v/>
      </c>
      <c r="U406" s="5" t="str">
        <f>IF(F406&lt;&gt;"",IF(OR(F406=Naturezas!$B$3,F406=Naturezas!$B$4,F406=Naturezas!$B$5,F406=Naturezas!$B$17,F406=Naturezas!$B$18,F406=Naturezas!$B$19),H406,-H406),"")</f>
        <v/>
      </c>
      <c r="V406" s="4" t="str">
        <f t="shared" si="37"/>
        <v/>
      </c>
      <c r="W406" s="4"/>
      <c r="X406" s="4" t="str">
        <f t="shared" si="38"/>
        <v/>
      </c>
      <c r="Y406" s="6" t="str">
        <f>IF(F406&lt;&gt;"",Tabela1[[#This Row],[Iniciais]],"")</f>
        <v/>
      </c>
      <c r="AA406" s="6" t="str">
        <f>IF($F406&lt;&gt;"",RIGHT(Tabela1[[#This Row],[Ref.]],2),"")</f>
        <v/>
      </c>
      <c r="AB406" s="46" t="str">
        <f>IF($F406&lt;&gt;"",DATE(LEFT(Tabela1[[#This Row],[Ref.]],4),RIGHT(Tabela1[[#This Row],[Ref.]],2),1),"")</f>
        <v/>
      </c>
      <c r="AC406" s="4" t="str">
        <f t="shared" si="39"/>
        <v/>
      </c>
      <c r="AD406" s="5" t="str">
        <f t="shared" si="40"/>
        <v/>
      </c>
      <c r="AE406" s="4"/>
      <c r="AF406" s="6" t="str">
        <f t="shared" si="41"/>
        <v/>
      </c>
    </row>
    <row r="407" spans="1:32" ht="15.75" customHeight="1" x14ac:dyDescent="0.2">
      <c r="A407" s="42"/>
      <c r="B407" s="44"/>
      <c r="C407" s="41"/>
      <c r="D407" s="41"/>
      <c r="E407" s="41"/>
      <c r="F407" s="11"/>
      <c r="G407" s="11"/>
      <c r="H407" s="43"/>
      <c r="K407" s="25"/>
      <c r="M407" s="31"/>
      <c r="N407" s="31"/>
      <c r="O407" s="33"/>
      <c r="Q407" s="6" t="str">
        <f>IF($F407&lt;&gt;"",RIGHT(Tabela1[[#This Row],[Ref.]],2),"")</f>
        <v/>
      </c>
      <c r="R407" s="6" t="str">
        <f t="shared" si="36"/>
        <v/>
      </c>
      <c r="S407" s="4" t="str">
        <f>IF($F407&lt;&gt;"",_xlfn.XLOOKUP(F407,Naturezas!B:B,Naturezas!E:E,"",0,1),"")</f>
        <v/>
      </c>
      <c r="T407" s="4" t="str">
        <f>IF($F407&lt;&gt;"",_xlfn.XLOOKUP($F407,Naturezas!B:B,Naturezas!D:D,"",0,1),"")</f>
        <v/>
      </c>
      <c r="U407" s="5" t="str">
        <f>IF(F407&lt;&gt;"",IF(OR(F407=Naturezas!$B$3,F407=Naturezas!$B$4,F407=Naturezas!$B$5,F407=Naturezas!$B$17,F407=Naturezas!$B$18,F407=Naturezas!$B$19),H407,-H407),"")</f>
        <v/>
      </c>
      <c r="V407" s="4" t="str">
        <f t="shared" si="37"/>
        <v/>
      </c>
      <c r="W407" s="4"/>
      <c r="X407" s="4" t="str">
        <f t="shared" si="38"/>
        <v/>
      </c>
      <c r="Y407" s="6" t="str">
        <f>IF(F407&lt;&gt;"",Tabela1[[#This Row],[Iniciais]],"")</f>
        <v/>
      </c>
      <c r="AA407" s="6" t="str">
        <f>IF($F407&lt;&gt;"",RIGHT(Tabela1[[#This Row],[Ref.]],2),"")</f>
        <v/>
      </c>
      <c r="AB407" s="46" t="str">
        <f>IF($F407&lt;&gt;"",DATE(LEFT(Tabela1[[#This Row],[Ref.]],4),RIGHT(Tabela1[[#This Row],[Ref.]],2),1),"")</f>
        <v/>
      </c>
      <c r="AC407" s="4" t="str">
        <f t="shared" si="39"/>
        <v/>
      </c>
      <c r="AD407" s="5" t="str">
        <f t="shared" si="40"/>
        <v/>
      </c>
      <c r="AE407" s="4"/>
      <c r="AF407" s="6" t="str">
        <f t="shared" si="41"/>
        <v/>
      </c>
    </row>
    <row r="408" spans="1:32" ht="15.75" customHeight="1" x14ac:dyDescent="0.2">
      <c r="A408" s="42"/>
      <c r="B408" s="44"/>
      <c r="C408" s="41"/>
      <c r="D408" s="41"/>
      <c r="E408" s="41"/>
      <c r="F408" s="11"/>
      <c r="G408" s="11"/>
      <c r="H408" s="43"/>
      <c r="K408" s="25"/>
      <c r="M408" s="31"/>
      <c r="N408" s="31"/>
      <c r="O408" s="33"/>
      <c r="Q408" s="6" t="str">
        <f>IF($F408&lt;&gt;"",RIGHT(Tabela1[[#This Row],[Ref.]],2),"")</f>
        <v/>
      </c>
      <c r="R408" s="6" t="str">
        <f t="shared" si="36"/>
        <v/>
      </c>
      <c r="S408" s="4" t="str">
        <f>IF($F408&lt;&gt;"",_xlfn.XLOOKUP(F408,Naturezas!B:B,Naturezas!E:E,"",0,1),"")</f>
        <v/>
      </c>
      <c r="T408" s="4" t="str">
        <f>IF($F408&lt;&gt;"",_xlfn.XLOOKUP($F408,Naturezas!B:B,Naturezas!D:D,"",0,1),"")</f>
        <v/>
      </c>
      <c r="U408" s="5" t="str">
        <f>IF(F408&lt;&gt;"",IF(OR(F408=Naturezas!$B$3,F408=Naturezas!$B$4,F408=Naturezas!$B$5,F408=Naturezas!$B$17,F408=Naturezas!$B$18,F408=Naturezas!$B$19),H408,-H408),"")</f>
        <v/>
      </c>
      <c r="V408" s="4" t="str">
        <f t="shared" si="37"/>
        <v/>
      </c>
      <c r="W408" s="4"/>
      <c r="X408" s="4" t="str">
        <f t="shared" si="38"/>
        <v/>
      </c>
      <c r="Y408" s="6" t="str">
        <f>IF(F408&lt;&gt;"",Tabela1[[#This Row],[Iniciais]],"")</f>
        <v/>
      </c>
      <c r="AA408" s="6" t="str">
        <f>IF($F408&lt;&gt;"",RIGHT(Tabela1[[#This Row],[Ref.]],2),"")</f>
        <v/>
      </c>
      <c r="AB408" s="46" t="str">
        <f>IF($F408&lt;&gt;"",DATE(LEFT(Tabela1[[#This Row],[Ref.]],4),RIGHT(Tabela1[[#This Row],[Ref.]],2),1),"")</f>
        <v/>
      </c>
      <c r="AC408" s="4" t="str">
        <f t="shared" si="39"/>
        <v/>
      </c>
      <c r="AD408" s="5" t="str">
        <f t="shared" si="40"/>
        <v/>
      </c>
      <c r="AE408" s="4"/>
      <c r="AF408" s="6" t="str">
        <f t="shared" si="41"/>
        <v/>
      </c>
    </row>
    <row r="409" spans="1:32" ht="15.75" customHeight="1" x14ac:dyDescent="0.2">
      <c r="A409" s="42"/>
      <c r="B409" s="44"/>
      <c r="C409" s="41"/>
      <c r="D409" s="41"/>
      <c r="E409" s="41"/>
      <c r="F409" s="11"/>
      <c r="G409" s="11"/>
      <c r="H409" s="43"/>
      <c r="K409" s="25"/>
      <c r="M409" s="31"/>
      <c r="N409" s="31"/>
      <c r="O409" s="33"/>
      <c r="Q409" s="6" t="str">
        <f>IF($F409&lt;&gt;"",RIGHT(Tabela1[[#This Row],[Ref.]],2),"")</f>
        <v/>
      </c>
      <c r="R409" s="6" t="str">
        <f t="shared" si="36"/>
        <v/>
      </c>
      <c r="S409" s="4" t="str">
        <f>IF($F409&lt;&gt;"",_xlfn.XLOOKUP(F409,Naturezas!B:B,Naturezas!E:E,"",0,1),"")</f>
        <v/>
      </c>
      <c r="T409" s="4" t="str">
        <f>IF($F409&lt;&gt;"",_xlfn.XLOOKUP($F409,Naturezas!B:B,Naturezas!D:D,"",0,1),"")</f>
        <v/>
      </c>
      <c r="U409" s="5" t="str">
        <f>IF(F409&lt;&gt;"",IF(OR(F409=Naturezas!$B$3,F409=Naturezas!$B$4,F409=Naturezas!$B$5,F409=Naturezas!$B$17,F409=Naturezas!$B$18,F409=Naturezas!$B$19),H409,-H409),"")</f>
        <v/>
      </c>
      <c r="V409" s="4" t="str">
        <f t="shared" si="37"/>
        <v/>
      </c>
      <c r="W409" s="4"/>
      <c r="X409" s="4" t="str">
        <f t="shared" si="38"/>
        <v/>
      </c>
      <c r="Y409" s="6" t="str">
        <f>IF(F409&lt;&gt;"",Tabela1[[#This Row],[Iniciais]],"")</f>
        <v/>
      </c>
      <c r="AA409" s="6" t="str">
        <f>IF($F409&lt;&gt;"",RIGHT(Tabela1[[#This Row],[Ref.]],2),"")</f>
        <v/>
      </c>
      <c r="AB409" s="46" t="str">
        <f>IF($F409&lt;&gt;"",DATE(LEFT(Tabela1[[#This Row],[Ref.]],4),RIGHT(Tabela1[[#This Row],[Ref.]],2),1),"")</f>
        <v/>
      </c>
      <c r="AC409" s="4" t="str">
        <f t="shared" si="39"/>
        <v/>
      </c>
      <c r="AD409" s="5" t="str">
        <f t="shared" si="40"/>
        <v/>
      </c>
      <c r="AE409" s="4"/>
      <c r="AF409" s="6" t="str">
        <f t="shared" si="41"/>
        <v/>
      </c>
    </row>
    <row r="410" spans="1:32" ht="15.75" customHeight="1" x14ac:dyDescent="0.2">
      <c r="A410" s="42"/>
      <c r="B410" s="44"/>
      <c r="C410" s="41"/>
      <c r="D410" s="41"/>
      <c r="E410" s="41"/>
      <c r="F410" s="11"/>
      <c r="G410" s="11"/>
      <c r="H410" s="43"/>
      <c r="K410" s="25"/>
      <c r="M410" s="31"/>
      <c r="N410" s="31"/>
      <c r="O410" s="33"/>
      <c r="Q410" s="6" t="str">
        <f>IF($F410&lt;&gt;"",RIGHT(Tabela1[[#This Row],[Ref.]],2),"")</f>
        <v/>
      </c>
      <c r="R410" s="6" t="str">
        <f t="shared" si="36"/>
        <v/>
      </c>
      <c r="S410" s="4" t="str">
        <f>IF($F410&lt;&gt;"",_xlfn.XLOOKUP(F410,Naturezas!B:B,Naturezas!E:E,"",0,1),"")</f>
        <v/>
      </c>
      <c r="T410" s="4" t="str">
        <f>IF($F410&lt;&gt;"",_xlfn.XLOOKUP($F410,Naturezas!B:B,Naturezas!D:D,"",0,1),"")</f>
        <v/>
      </c>
      <c r="U410" s="5" t="str">
        <f>IF(F410&lt;&gt;"",IF(OR(F410=Naturezas!$B$3,F410=Naturezas!$B$4,F410=Naturezas!$B$5,F410=Naturezas!$B$17,F410=Naturezas!$B$18,F410=Naturezas!$B$19),H410,-H410),"")</f>
        <v/>
      </c>
      <c r="V410" s="4" t="str">
        <f t="shared" si="37"/>
        <v/>
      </c>
      <c r="W410" s="4"/>
      <c r="X410" s="4" t="str">
        <f t="shared" si="38"/>
        <v/>
      </c>
      <c r="Y410" s="6" t="str">
        <f>IF(F410&lt;&gt;"",Tabela1[[#This Row],[Iniciais]],"")</f>
        <v/>
      </c>
      <c r="AA410" s="6" t="str">
        <f>IF($F410&lt;&gt;"",RIGHT(Tabela1[[#This Row],[Ref.]],2),"")</f>
        <v/>
      </c>
      <c r="AB410" s="46" t="str">
        <f>IF($F410&lt;&gt;"",DATE(LEFT(Tabela1[[#This Row],[Ref.]],4),RIGHT(Tabela1[[#This Row],[Ref.]],2),1),"")</f>
        <v/>
      </c>
      <c r="AC410" s="4" t="str">
        <f t="shared" si="39"/>
        <v/>
      </c>
      <c r="AD410" s="5" t="str">
        <f t="shared" si="40"/>
        <v/>
      </c>
      <c r="AE410" s="4"/>
      <c r="AF410" s="6" t="str">
        <f t="shared" si="41"/>
        <v/>
      </c>
    </row>
    <row r="411" spans="1:32" ht="15.75" customHeight="1" x14ac:dyDescent="0.2">
      <c r="A411" s="42"/>
      <c r="B411" s="44"/>
      <c r="C411" s="41"/>
      <c r="D411" s="41"/>
      <c r="E411" s="41"/>
      <c r="F411" s="11"/>
      <c r="G411" s="11"/>
      <c r="H411" s="43"/>
      <c r="K411" s="25"/>
      <c r="M411" s="31"/>
      <c r="N411" s="31"/>
      <c r="O411" s="33"/>
      <c r="Q411" s="6" t="str">
        <f>IF($F411&lt;&gt;"",RIGHT(Tabela1[[#This Row],[Ref.]],2),"")</f>
        <v/>
      </c>
      <c r="R411" s="6" t="str">
        <f t="shared" si="36"/>
        <v/>
      </c>
      <c r="S411" s="4" t="str">
        <f>IF($F411&lt;&gt;"",_xlfn.XLOOKUP(F411,Naturezas!B:B,Naturezas!E:E,"",0,1),"")</f>
        <v/>
      </c>
      <c r="T411" s="4" t="str">
        <f>IF($F411&lt;&gt;"",_xlfn.XLOOKUP($F411,Naturezas!B:B,Naturezas!D:D,"",0,1),"")</f>
        <v/>
      </c>
      <c r="U411" s="5" t="str">
        <f>IF(F411&lt;&gt;"",IF(OR(F411=Naturezas!$B$3,F411=Naturezas!$B$4,F411=Naturezas!$B$5,F411=Naturezas!$B$17,F411=Naturezas!$B$18,F411=Naturezas!$B$19),H411,-H411),"")</f>
        <v/>
      </c>
      <c r="V411" s="4" t="str">
        <f t="shared" si="37"/>
        <v/>
      </c>
      <c r="W411" s="4"/>
      <c r="X411" s="4" t="str">
        <f t="shared" si="38"/>
        <v/>
      </c>
      <c r="Y411" s="6" t="str">
        <f>IF(F411&lt;&gt;"",Tabela1[[#This Row],[Iniciais]],"")</f>
        <v/>
      </c>
      <c r="AA411" s="6" t="str">
        <f>IF($F411&lt;&gt;"",RIGHT(Tabela1[[#This Row],[Ref.]],2),"")</f>
        <v/>
      </c>
      <c r="AB411" s="46" t="str">
        <f>IF($F411&lt;&gt;"",DATE(LEFT(Tabela1[[#This Row],[Ref.]],4),RIGHT(Tabela1[[#This Row],[Ref.]],2),1),"")</f>
        <v/>
      </c>
      <c r="AC411" s="4" t="str">
        <f t="shared" si="39"/>
        <v/>
      </c>
      <c r="AD411" s="5" t="str">
        <f t="shared" si="40"/>
        <v/>
      </c>
      <c r="AE411" s="4"/>
      <c r="AF411" s="6" t="str">
        <f t="shared" si="41"/>
        <v/>
      </c>
    </row>
    <row r="412" spans="1:32" ht="15.75" customHeight="1" x14ac:dyDescent="0.2">
      <c r="A412" s="42"/>
      <c r="B412" s="44"/>
      <c r="C412" s="41"/>
      <c r="D412" s="41"/>
      <c r="E412" s="41"/>
      <c r="F412" s="11"/>
      <c r="G412" s="11"/>
      <c r="H412" s="43"/>
      <c r="K412" s="25"/>
      <c r="M412" s="31"/>
      <c r="N412" s="31"/>
      <c r="O412" s="33"/>
      <c r="Q412" s="6" t="str">
        <f>IF($F412&lt;&gt;"",RIGHT(Tabela1[[#This Row],[Ref.]],2),"")</f>
        <v/>
      </c>
      <c r="R412" s="6" t="str">
        <f t="shared" si="36"/>
        <v/>
      </c>
      <c r="S412" s="4" t="str">
        <f>IF($F412&lt;&gt;"",_xlfn.XLOOKUP(F412,Naturezas!B:B,Naturezas!E:E,"",0,1),"")</f>
        <v/>
      </c>
      <c r="T412" s="4" t="str">
        <f>IF($F412&lt;&gt;"",_xlfn.XLOOKUP($F412,Naturezas!B:B,Naturezas!D:D,"",0,1),"")</f>
        <v/>
      </c>
      <c r="U412" s="5" t="str">
        <f>IF(F412&lt;&gt;"",IF(OR(F412=Naturezas!$B$3,F412=Naturezas!$B$4,F412=Naturezas!$B$5,F412=Naturezas!$B$17,F412=Naturezas!$B$18,F412=Naturezas!$B$19),H412,-H412),"")</f>
        <v/>
      </c>
      <c r="V412" s="4" t="str">
        <f t="shared" si="37"/>
        <v/>
      </c>
      <c r="W412" s="4"/>
      <c r="X412" s="4" t="str">
        <f t="shared" si="38"/>
        <v/>
      </c>
      <c r="Y412" s="6" t="str">
        <f>IF(F412&lt;&gt;"",Tabela1[[#This Row],[Iniciais]],"")</f>
        <v/>
      </c>
      <c r="AA412" s="6" t="str">
        <f>IF($F412&lt;&gt;"",RIGHT(Tabela1[[#This Row],[Ref.]],2),"")</f>
        <v/>
      </c>
      <c r="AB412" s="46" t="str">
        <f>IF($F412&lt;&gt;"",DATE(LEFT(Tabela1[[#This Row],[Ref.]],4),RIGHT(Tabela1[[#This Row],[Ref.]],2),1),"")</f>
        <v/>
      </c>
      <c r="AC412" s="4" t="str">
        <f t="shared" si="39"/>
        <v/>
      </c>
      <c r="AD412" s="5" t="str">
        <f t="shared" si="40"/>
        <v/>
      </c>
      <c r="AE412" s="4"/>
      <c r="AF412" s="6" t="str">
        <f t="shared" si="41"/>
        <v/>
      </c>
    </row>
    <row r="413" spans="1:32" ht="15.75" customHeight="1" x14ac:dyDescent="0.2">
      <c r="A413" s="42"/>
      <c r="B413" s="44"/>
      <c r="C413" s="41"/>
      <c r="D413" s="41"/>
      <c r="E413" s="41"/>
      <c r="F413" s="11"/>
      <c r="G413" s="11"/>
      <c r="H413" s="43"/>
      <c r="K413" s="25"/>
      <c r="M413" s="31"/>
      <c r="N413" s="31"/>
      <c r="O413" s="33"/>
      <c r="Q413" s="6" t="str">
        <f>IF($F413&lt;&gt;"",RIGHT(Tabela1[[#This Row],[Ref.]],2),"")</f>
        <v/>
      </c>
      <c r="R413" s="6" t="str">
        <f t="shared" si="36"/>
        <v/>
      </c>
      <c r="S413" s="4" t="str">
        <f>IF($F413&lt;&gt;"",_xlfn.XLOOKUP(F413,Naturezas!B:B,Naturezas!E:E,"",0,1),"")</f>
        <v/>
      </c>
      <c r="T413" s="4" t="str">
        <f>IF($F413&lt;&gt;"",_xlfn.XLOOKUP($F413,Naturezas!B:B,Naturezas!D:D,"",0,1),"")</f>
        <v/>
      </c>
      <c r="U413" s="5" t="str">
        <f>IF(F413&lt;&gt;"",IF(OR(F413=Naturezas!$B$3,F413=Naturezas!$B$4,F413=Naturezas!$B$5,F413=Naturezas!$B$17,F413=Naturezas!$B$18,F413=Naturezas!$B$19),H413,-H413),"")</f>
        <v/>
      </c>
      <c r="V413" s="4" t="str">
        <f t="shared" si="37"/>
        <v/>
      </c>
      <c r="W413" s="4"/>
      <c r="X413" s="4" t="str">
        <f t="shared" si="38"/>
        <v/>
      </c>
      <c r="Y413" s="6" t="str">
        <f>IF(F413&lt;&gt;"",Tabela1[[#This Row],[Iniciais]],"")</f>
        <v/>
      </c>
      <c r="AA413" s="6" t="str">
        <f>IF($F413&lt;&gt;"",RIGHT(Tabela1[[#This Row],[Ref.]],2),"")</f>
        <v/>
      </c>
      <c r="AB413" s="46" t="str">
        <f>IF($F413&lt;&gt;"",DATE(LEFT(Tabela1[[#This Row],[Ref.]],4),RIGHT(Tabela1[[#This Row],[Ref.]],2),1),"")</f>
        <v/>
      </c>
      <c r="AC413" s="4" t="str">
        <f t="shared" si="39"/>
        <v/>
      </c>
      <c r="AD413" s="5" t="str">
        <f t="shared" si="40"/>
        <v/>
      </c>
      <c r="AE413" s="4"/>
      <c r="AF413" s="6" t="str">
        <f t="shared" si="41"/>
        <v/>
      </c>
    </row>
    <row r="414" spans="1:32" ht="15.75" customHeight="1" x14ac:dyDescent="0.2">
      <c r="A414" s="42"/>
      <c r="B414" s="44"/>
      <c r="C414" s="41"/>
      <c r="D414" s="41"/>
      <c r="E414" s="41"/>
      <c r="F414" s="11"/>
      <c r="G414" s="11"/>
      <c r="H414" s="43"/>
      <c r="K414" s="25"/>
      <c r="M414" s="31"/>
      <c r="N414" s="31"/>
      <c r="O414" s="33"/>
      <c r="Q414" s="6" t="str">
        <f>IF($F414&lt;&gt;"",RIGHT(Tabela1[[#This Row],[Ref.]],2),"")</f>
        <v/>
      </c>
      <c r="R414" s="6" t="str">
        <f t="shared" si="36"/>
        <v/>
      </c>
      <c r="S414" s="4" t="str">
        <f>IF($F414&lt;&gt;"",_xlfn.XLOOKUP(F414,Naturezas!B:B,Naturezas!E:E,"",0,1),"")</f>
        <v/>
      </c>
      <c r="T414" s="4" t="str">
        <f>IF($F414&lt;&gt;"",_xlfn.XLOOKUP($F414,Naturezas!B:B,Naturezas!D:D,"",0,1),"")</f>
        <v/>
      </c>
      <c r="U414" s="5" t="str">
        <f>IF(F414&lt;&gt;"",IF(OR(F414=Naturezas!$B$3,F414=Naturezas!$B$4,F414=Naturezas!$B$5,F414=Naturezas!$B$17,F414=Naturezas!$B$18,F414=Naturezas!$B$19),H414,-H414),"")</f>
        <v/>
      </c>
      <c r="V414" s="4" t="str">
        <f t="shared" si="37"/>
        <v/>
      </c>
      <c r="W414" s="4"/>
      <c r="X414" s="4" t="str">
        <f t="shared" si="38"/>
        <v/>
      </c>
      <c r="Y414" s="6" t="str">
        <f>IF(F414&lt;&gt;"",Tabela1[[#This Row],[Iniciais]],"")</f>
        <v/>
      </c>
      <c r="AA414" s="6" t="str">
        <f>IF($F414&lt;&gt;"",RIGHT(Tabela1[[#This Row],[Ref.]],2),"")</f>
        <v/>
      </c>
      <c r="AB414" s="46" t="str">
        <f>IF($F414&lt;&gt;"",DATE(LEFT(Tabela1[[#This Row],[Ref.]],4),RIGHT(Tabela1[[#This Row],[Ref.]],2),1),"")</f>
        <v/>
      </c>
      <c r="AC414" s="4" t="str">
        <f t="shared" si="39"/>
        <v/>
      </c>
      <c r="AD414" s="5" t="str">
        <f t="shared" si="40"/>
        <v/>
      </c>
      <c r="AE414" s="4"/>
      <c r="AF414" s="6" t="str">
        <f t="shared" si="41"/>
        <v/>
      </c>
    </row>
    <row r="415" spans="1:32" ht="15.75" customHeight="1" x14ac:dyDescent="0.2">
      <c r="A415" s="42"/>
      <c r="B415" s="44"/>
      <c r="C415" s="41"/>
      <c r="D415" s="41"/>
      <c r="E415" s="41"/>
      <c r="F415" s="11"/>
      <c r="G415" s="11"/>
      <c r="H415" s="43"/>
      <c r="K415" s="25"/>
      <c r="M415" s="31"/>
      <c r="N415" s="31"/>
      <c r="O415" s="33"/>
      <c r="Q415" s="6" t="str">
        <f>IF($F415&lt;&gt;"",RIGHT(Tabela1[[#This Row],[Ref.]],2),"")</f>
        <v/>
      </c>
      <c r="R415" s="6" t="str">
        <f t="shared" si="36"/>
        <v/>
      </c>
      <c r="S415" s="4" t="str">
        <f>IF($F415&lt;&gt;"",_xlfn.XLOOKUP(F415,Naturezas!B:B,Naturezas!E:E,"",0,1),"")</f>
        <v/>
      </c>
      <c r="T415" s="4" t="str">
        <f>IF($F415&lt;&gt;"",_xlfn.XLOOKUP($F415,Naturezas!B:B,Naturezas!D:D,"",0,1),"")</f>
        <v/>
      </c>
      <c r="U415" s="5" t="str">
        <f>IF(F415&lt;&gt;"",IF(OR(F415=Naturezas!$B$3,F415=Naturezas!$B$4,F415=Naturezas!$B$5,F415=Naturezas!$B$17,F415=Naturezas!$B$18,F415=Naturezas!$B$19),H415,-H415),"")</f>
        <v/>
      </c>
      <c r="V415" s="4" t="str">
        <f t="shared" si="37"/>
        <v/>
      </c>
      <c r="W415" s="4"/>
      <c r="X415" s="4" t="str">
        <f t="shared" si="38"/>
        <v/>
      </c>
      <c r="Y415" s="6" t="str">
        <f>IF(F415&lt;&gt;"",Tabela1[[#This Row],[Iniciais]],"")</f>
        <v/>
      </c>
      <c r="AA415" s="6" t="str">
        <f>IF($F415&lt;&gt;"",RIGHT(Tabela1[[#This Row],[Ref.]],2),"")</f>
        <v/>
      </c>
      <c r="AB415" s="46" t="str">
        <f>IF($F415&lt;&gt;"",DATE(LEFT(Tabela1[[#This Row],[Ref.]],4),RIGHT(Tabela1[[#This Row],[Ref.]],2),1),"")</f>
        <v/>
      </c>
      <c r="AC415" s="4" t="str">
        <f t="shared" si="39"/>
        <v/>
      </c>
      <c r="AD415" s="5" t="str">
        <f t="shared" si="40"/>
        <v/>
      </c>
      <c r="AE415" s="4"/>
      <c r="AF415" s="6" t="str">
        <f t="shared" si="41"/>
        <v/>
      </c>
    </row>
    <row r="416" spans="1:32" ht="15.75" customHeight="1" x14ac:dyDescent="0.2">
      <c r="A416" s="42"/>
      <c r="B416" s="44"/>
      <c r="C416" s="41"/>
      <c r="D416" s="41"/>
      <c r="E416" s="41"/>
      <c r="F416" s="11"/>
      <c r="G416" s="11"/>
      <c r="H416" s="43"/>
      <c r="K416" s="25"/>
      <c r="M416" s="31"/>
      <c r="N416" s="31"/>
      <c r="O416" s="33"/>
      <c r="Q416" s="6" t="str">
        <f>IF($F416&lt;&gt;"",RIGHT(Tabela1[[#This Row],[Ref.]],2),"")</f>
        <v/>
      </c>
      <c r="R416" s="6" t="str">
        <f t="shared" si="36"/>
        <v/>
      </c>
      <c r="S416" s="4" t="str">
        <f>IF($F416&lt;&gt;"",_xlfn.XLOOKUP(F416,Naturezas!B:B,Naturezas!E:E,"",0,1),"")</f>
        <v/>
      </c>
      <c r="T416" s="4" t="str">
        <f>IF($F416&lt;&gt;"",_xlfn.XLOOKUP($F416,Naturezas!B:B,Naturezas!D:D,"",0,1),"")</f>
        <v/>
      </c>
      <c r="U416" s="5" t="str">
        <f>IF(F416&lt;&gt;"",IF(OR(F416=Naturezas!$B$3,F416=Naturezas!$B$4,F416=Naturezas!$B$5,F416=Naturezas!$B$17,F416=Naturezas!$B$18,F416=Naturezas!$B$19),H416,-H416),"")</f>
        <v/>
      </c>
      <c r="V416" s="4" t="str">
        <f t="shared" si="37"/>
        <v/>
      </c>
      <c r="W416" s="4"/>
      <c r="X416" s="4" t="str">
        <f t="shared" si="38"/>
        <v/>
      </c>
      <c r="Y416" s="6" t="str">
        <f>IF(F416&lt;&gt;"",Tabela1[[#This Row],[Iniciais]],"")</f>
        <v/>
      </c>
      <c r="AA416" s="6" t="str">
        <f>IF($F416&lt;&gt;"",RIGHT(Tabela1[[#This Row],[Ref.]],2),"")</f>
        <v/>
      </c>
      <c r="AB416" s="46" t="str">
        <f>IF($F416&lt;&gt;"",DATE(LEFT(Tabela1[[#This Row],[Ref.]],4),RIGHT(Tabela1[[#This Row],[Ref.]],2),1),"")</f>
        <v/>
      </c>
      <c r="AC416" s="4" t="str">
        <f t="shared" si="39"/>
        <v/>
      </c>
      <c r="AD416" s="5" t="str">
        <f t="shared" si="40"/>
        <v/>
      </c>
      <c r="AE416" s="4"/>
      <c r="AF416" s="6" t="str">
        <f t="shared" si="41"/>
        <v/>
      </c>
    </row>
    <row r="417" spans="1:32" ht="15.75" customHeight="1" x14ac:dyDescent="0.2">
      <c r="A417" s="42"/>
      <c r="B417" s="44"/>
      <c r="C417" s="41"/>
      <c r="D417" s="41"/>
      <c r="E417" s="41"/>
      <c r="F417" s="11"/>
      <c r="G417" s="11"/>
      <c r="H417" s="43"/>
      <c r="K417" s="25"/>
      <c r="M417" s="31"/>
      <c r="N417" s="31"/>
      <c r="O417" s="33"/>
      <c r="Q417" s="6" t="str">
        <f>IF($F417&lt;&gt;"",RIGHT(Tabela1[[#This Row],[Ref.]],2),"")</f>
        <v/>
      </c>
      <c r="R417" s="6" t="str">
        <f t="shared" si="36"/>
        <v/>
      </c>
      <c r="S417" s="4" t="str">
        <f>IF($F417&lt;&gt;"",_xlfn.XLOOKUP(F417,Naturezas!B:B,Naturezas!E:E,"",0,1),"")</f>
        <v/>
      </c>
      <c r="T417" s="4" t="str">
        <f>IF($F417&lt;&gt;"",_xlfn.XLOOKUP($F417,Naturezas!B:B,Naturezas!D:D,"",0,1),"")</f>
        <v/>
      </c>
      <c r="U417" s="5" t="str">
        <f>IF(F417&lt;&gt;"",IF(OR(F417=Naturezas!$B$3,F417=Naturezas!$B$4,F417=Naturezas!$B$5,F417=Naturezas!$B$17,F417=Naturezas!$B$18,F417=Naturezas!$B$19),H417,-H417),"")</f>
        <v/>
      </c>
      <c r="V417" s="4" t="str">
        <f t="shared" si="37"/>
        <v/>
      </c>
      <c r="W417" s="4"/>
      <c r="X417" s="4" t="str">
        <f t="shared" si="38"/>
        <v/>
      </c>
      <c r="Y417" s="6" t="str">
        <f>IF(F417&lt;&gt;"",Tabela1[[#This Row],[Iniciais]],"")</f>
        <v/>
      </c>
      <c r="AA417" s="6" t="str">
        <f>IF($F417&lt;&gt;"",RIGHT(Tabela1[[#This Row],[Ref.]],2),"")</f>
        <v/>
      </c>
      <c r="AB417" s="46" t="str">
        <f>IF($F417&lt;&gt;"",DATE(LEFT(Tabela1[[#This Row],[Ref.]],4),RIGHT(Tabela1[[#This Row],[Ref.]],2),1),"")</f>
        <v/>
      </c>
      <c r="AC417" s="4" t="str">
        <f t="shared" si="39"/>
        <v/>
      </c>
      <c r="AD417" s="5" t="str">
        <f t="shared" si="40"/>
        <v/>
      </c>
      <c r="AE417" s="4"/>
      <c r="AF417" s="6" t="str">
        <f t="shared" si="41"/>
        <v/>
      </c>
    </row>
    <row r="418" spans="1:32" ht="15.75" customHeight="1" x14ac:dyDescent="0.2">
      <c r="A418" s="42"/>
      <c r="B418" s="44"/>
      <c r="C418" s="41"/>
      <c r="D418" s="41"/>
      <c r="E418" s="41"/>
      <c r="F418" s="11"/>
      <c r="G418" s="11"/>
      <c r="H418" s="43"/>
      <c r="K418" s="25"/>
      <c r="M418" s="31"/>
      <c r="N418" s="31"/>
      <c r="O418" s="33"/>
      <c r="Q418" s="6" t="str">
        <f>IF($F418&lt;&gt;"",RIGHT(Tabela1[[#This Row],[Ref.]],2),"")</f>
        <v/>
      </c>
      <c r="R418" s="6" t="str">
        <f t="shared" si="36"/>
        <v/>
      </c>
      <c r="S418" s="4" t="str">
        <f>IF($F418&lt;&gt;"",_xlfn.XLOOKUP(F418,Naturezas!B:B,Naturezas!E:E,"",0,1),"")</f>
        <v/>
      </c>
      <c r="T418" s="4" t="str">
        <f>IF($F418&lt;&gt;"",_xlfn.XLOOKUP($F418,Naturezas!B:B,Naturezas!D:D,"",0,1),"")</f>
        <v/>
      </c>
      <c r="U418" s="5" t="str">
        <f>IF(F418&lt;&gt;"",IF(OR(F418=Naturezas!$B$3,F418=Naturezas!$B$4,F418=Naturezas!$B$5,F418=Naturezas!$B$17,F418=Naturezas!$B$18,F418=Naturezas!$B$19),H418,-H418),"")</f>
        <v/>
      </c>
      <c r="V418" s="4" t="str">
        <f t="shared" si="37"/>
        <v/>
      </c>
      <c r="W418" s="4"/>
      <c r="X418" s="4" t="str">
        <f t="shared" si="38"/>
        <v/>
      </c>
      <c r="Y418" s="6" t="str">
        <f>IF(F418&lt;&gt;"",Tabela1[[#This Row],[Iniciais]],"")</f>
        <v/>
      </c>
      <c r="AA418" s="6" t="str">
        <f>IF($F418&lt;&gt;"",RIGHT(Tabela1[[#This Row],[Ref.]],2),"")</f>
        <v/>
      </c>
      <c r="AB418" s="46" t="str">
        <f>IF($F418&lt;&gt;"",DATE(LEFT(Tabela1[[#This Row],[Ref.]],4),RIGHT(Tabela1[[#This Row],[Ref.]],2),1),"")</f>
        <v/>
      </c>
      <c r="AC418" s="4" t="str">
        <f t="shared" si="39"/>
        <v/>
      </c>
      <c r="AD418" s="5" t="str">
        <f t="shared" si="40"/>
        <v/>
      </c>
      <c r="AE418" s="4"/>
      <c r="AF418" s="6" t="str">
        <f t="shared" si="41"/>
        <v/>
      </c>
    </row>
    <row r="419" spans="1:32" ht="15.75" customHeight="1" x14ac:dyDescent="0.2">
      <c r="A419" s="42"/>
      <c r="B419" s="44"/>
      <c r="C419" s="41"/>
      <c r="D419" s="41"/>
      <c r="E419" s="41"/>
      <c r="F419" s="11"/>
      <c r="G419" s="11"/>
      <c r="H419" s="43"/>
      <c r="K419" s="25"/>
      <c r="M419" s="31"/>
      <c r="N419" s="31"/>
      <c r="O419" s="33"/>
      <c r="Q419" s="6" t="str">
        <f>IF($F419&lt;&gt;"",RIGHT(Tabela1[[#This Row],[Ref.]],2),"")</f>
        <v/>
      </c>
      <c r="R419" s="6" t="str">
        <f t="shared" si="36"/>
        <v/>
      </c>
      <c r="S419" s="4" t="str">
        <f>IF($F419&lt;&gt;"",_xlfn.XLOOKUP(F419,Naturezas!B:B,Naturezas!E:E,"",0,1),"")</f>
        <v/>
      </c>
      <c r="T419" s="4" t="str">
        <f>IF($F419&lt;&gt;"",_xlfn.XLOOKUP($F419,Naturezas!B:B,Naturezas!D:D,"",0,1),"")</f>
        <v/>
      </c>
      <c r="U419" s="5" t="str">
        <f>IF(F419&lt;&gt;"",IF(OR(F419=Naturezas!$B$3,F419=Naturezas!$B$4,F419=Naturezas!$B$5,F419=Naturezas!$B$17,F419=Naturezas!$B$18,F419=Naturezas!$B$19),H419,-H419),"")</f>
        <v/>
      </c>
      <c r="V419" s="4" t="str">
        <f t="shared" si="37"/>
        <v/>
      </c>
      <c r="W419" s="4"/>
      <c r="X419" s="4" t="str">
        <f t="shared" si="38"/>
        <v/>
      </c>
      <c r="Y419" s="6" t="str">
        <f>IF(F419&lt;&gt;"",Tabela1[[#This Row],[Iniciais]],"")</f>
        <v/>
      </c>
      <c r="AA419" s="6" t="str">
        <f>IF($F419&lt;&gt;"",RIGHT(Tabela1[[#This Row],[Ref.]],2),"")</f>
        <v/>
      </c>
      <c r="AB419" s="46" t="str">
        <f>IF($F419&lt;&gt;"",DATE(LEFT(Tabela1[[#This Row],[Ref.]],4),RIGHT(Tabela1[[#This Row],[Ref.]],2),1),"")</f>
        <v/>
      </c>
      <c r="AC419" s="4" t="str">
        <f t="shared" si="39"/>
        <v/>
      </c>
      <c r="AD419" s="5" t="str">
        <f t="shared" si="40"/>
        <v/>
      </c>
      <c r="AE419" s="4"/>
      <c r="AF419" s="6" t="str">
        <f t="shared" si="41"/>
        <v/>
      </c>
    </row>
    <row r="420" spans="1:32" ht="15.75" customHeight="1" x14ac:dyDescent="0.2">
      <c r="A420" s="42"/>
      <c r="B420" s="44"/>
      <c r="C420" s="41"/>
      <c r="D420" s="41"/>
      <c r="E420" s="41"/>
      <c r="F420" s="11"/>
      <c r="G420" s="11"/>
      <c r="H420" s="43"/>
      <c r="K420" s="25"/>
      <c r="M420" s="31"/>
      <c r="N420" s="31"/>
      <c r="O420" s="33"/>
      <c r="Q420" s="6" t="str">
        <f>IF($F420&lt;&gt;"",RIGHT(Tabela1[[#This Row],[Ref.]],2),"")</f>
        <v/>
      </c>
      <c r="R420" s="6" t="str">
        <f t="shared" si="36"/>
        <v/>
      </c>
      <c r="S420" s="4" t="str">
        <f>IF($F420&lt;&gt;"",_xlfn.XLOOKUP(F420,Naturezas!B:B,Naturezas!E:E,"",0,1),"")</f>
        <v/>
      </c>
      <c r="T420" s="4" t="str">
        <f>IF($F420&lt;&gt;"",_xlfn.XLOOKUP($F420,Naturezas!B:B,Naturezas!D:D,"",0,1),"")</f>
        <v/>
      </c>
      <c r="U420" s="5" t="str">
        <f>IF(F420&lt;&gt;"",IF(OR(F420=Naturezas!$B$3,F420=Naturezas!$B$4,F420=Naturezas!$B$5,F420=Naturezas!$B$17,F420=Naturezas!$B$18,F420=Naturezas!$B$19),H420,-H420),"")</f>
        <v/>
      </c>
      <c r="V420" s="4" t="str">
        <f t="shared" si="37"/>
        <v/>
      </c>
      <c r="W420" s="4"/>
      <c r="X420" s="4" t="str">
        <f t="shared" si="38"/>
        <v/>
      </c>
      <c r="Y420" s="6" t="str">
        <f>IF(F420&lt;&gt;"",Tabela1[[#This Row],[Iniciais]],"")</f>
        <v/>
      </c>
      <c r="AA420" s="6" t="str">
        <f>IF($F420&lt;&gt;"",RIGHT(Tabela1[[#This Row],[Ref.]],2),"")</f>
        <v/>
      </c>
      <c r="AB420" s="46" t="str">
        <f>IF($F420&lt;&gt;"",DATE(LEFT(Tabela1[[#This Row],[Ref.]],4),RIGHT(Tabela1[[#This Row],[Ref.]],2),1),"")</f>
        <v/>
      </c>
      <c r="AC420" s="4" t="str">
        <f t="shared" si="39"/>
        <v/>
      </c>
      <c r="AD420" s="5" t="str">
        <f t="shared" si="40"/>
        <v/>
      </c>
      <c r="AE420" s="4"/>
      <c r="AF420" s="6" t="str">
        <f t="shared" si="41"/>
        <v/>
      </c>
    </row>
    <row r="421" spans="1:32" ht="15.75" customHeight="1" x14ac:dyDescent="0.2">
      <c r="A421" s="42"/>
      <c r="B421" s="44"/>
      <c r="C421" s="41"/>
      <c r="D421" s="41"/>
      <c r="E421" s="41"/>
      <c r="F421" s="11"/>
      <c r="G421" s="11"/>
      <c r="H421" s="43"/>
      <c r="K421" s="25"/>
      <c r="M421" s="31"/>
      <c r="N421" s="31"/>
      <c r="O421" s="33"/>
      <c r="Q421" s="6" t="str">
        <f>IF($F421&lt;&gt;"",RIGHT(Tabela1[[#This Row],[Ref.]],2),"")</f>
        <v/>
      </c>
      <c r="R421" s="6" t="str">
        <f t="shared" si="36"/>
        <v/>
      </c>
      <c r="S421" s="4" t="str">
        <f>IF($F421&lt;&gt;"",_xlfn.XLOOKUP(F421,Naturezas!B:B,Naturezas!E:E,"",0,1),"")</f>
        <v/>
      </c>
      <c r="T421" s="4" t="str">
        <f>IF($F421&lt;&gt;"",_xlfn.XLOOKUP($F421,Naturezas!B:B,Naturezas!D:D,"",0,1),"")</f>
        <v/>
      </c>
      <c r="U421" s="5" t="str">
        <f>IF(F421&lt;&gt;"",IF(OR(F421=Naturezas!$B$3,F421=Naturezas!$B$4,F421=Naturezas!$B$5,F421=Naturezas!$B$17,F421=Naturezas!$B$18,F421=Naturezas!$B$19),H421,-H421),"")</f>
        <v/>
      </c>
      <c r="V421" s="4" t="str">
        <f t="shared" si="37"/>
        <v/>
      </c>
      <c r="W421" s="4"/>
      <c r="X421" s="4" t="str">
        <f t="shared" si="38"/>
        <v/>
      </c>
      <c r="Y421" s="6" t="str">
        <f>IF(F421&lt;&gt;"",Tabela1[[#This Row],[Iniciais]],"")</f>
        <v/>
      </c>
      <c r="AA421" s="6" t="str">
        <f>IF($F421&lt;&gt;"",RIGHT(Tabela1[[#This Row],[Ref.]],2),"")</f>
        <v/>
      </c>
      <c r="AB421" s="46" t="str">
        <f>IF($F421&lt;&gt;"",DATE(LEFT(Tabela1[[#This Row],[Ref.]],4),RIGHT(Tabela1[[#This Row],[Ref.]],2),1),"")</f>
        <v/>
      </c>
      <c r="AC421" s="4" t="str">
        <f t="shared" si="39"/>
        <v/>
      </c>
      <c r="AD421" s="5" t="str">
        <f t="shared" si="40"/>
        <v/>
      </c>
      <c r="AE421" s="4"/>
      <c r="AF421" s="6" t="str">
        <f t="shared" si="41"/>
        <v/>
      </c>
    </row>
    <row r="422" spans="1:32" ht="15.75" customHeight="1" x14ac:dyDescent="0.2">
      <c r="A422" s="42"/>
      <c r="B422" s="44"/>
      <c r="C422" s="41"/>
      <c r="D422" s="41"/>
      <c r="E422" s="41"/>
      <c r="F422" s="11"/>
      <c r="G422" s="11"/>
      <c r="H422" s="43"/>
      <c r="K422" s="25"/>
      <c r="M422" s="31"/>
      <c r="N422" s="31"/>
      <c r="O422" s="33"/>
      <c r="Q422" s="6" t="str">
        <f>IF($F422&lt;&gt;"",RIGHT(Tabela1[[#This Row],[Ref.]],2),"")</f>
        <v/>
      </c>
      <c r="R422" s="6" t="str">
        <f t="shared" si="36"/>
        <v/>
      </c>
      <c r="S422" s="4" t="str">
        <f>IF($F422&lt;&gt;"",_xlfn.XLOOKUP(F422,Naturezas!B:B,Naturezas!E:E,"",0,1),"")</f>
        <v/>
      </c>
      <c r="T422" s="4" t="str">
        <f>IF($F422&lt;&gt;"",_xlfn.XLOOKUP($F422,Naturezas!B:B,Naturezas!D:D,"",0,1),"")</f>
        <v/>
      </c>
      <c r="U422" s="5" t="str">
        <f>IF(F422&lt;&gt;"",IF(OR(F422=Naturezas!$B$3,F422=Naturezas!$B$4,F422=Naturezas!$B$5,F422=Naturezas!$B$17,F422=Naturezas!$B$18,F422=Naturezas!$B$19),H422,-H422),"")</f>
        <v/>
      </c>
      <c r="V422" s="4" t="str">
        <f t="shared" si="37"/>
        <v/>
      </c>
      <c r="W422" s="4"/>
      <c r="X422" s="4" t="str">
        <f t="shared" si="38"/>
        <v/>
      </c>
      <c r="Y422" s="6" t="str">
        <f>IF(F422&lt;&gt;"",Tabela1[[#This Row],[Iniciais]],"")</f>
        <v/>
      </c>
      <c r="AA422" s="6" t="str">
        <f>IF($F422&lt;&gt;"",RIGHT(Tabela1[[#This Row],[Ref.]],2),"")</f>
        <v/>
      </c>
      <c r="AB422" s="46" t="str">
        <f>IF($F422&lt;&gt;"",DATE(LEFT(Tabela1[[#This Row],[Ref.]],4),RIGHT(Tabela1[[#This Row],[Ref.]],2),1),"")</f>
        <v/>
      </c>
      <c r="AC422" s="4" t="str">
        <f t="shared" si="39"/>
        <v/>
      </c>
      <c r="AD422" s="5" t="str">
        <f t="shared" si="40"/>
        <v/>
      </c>
      <c r="AE422" s="4"/>
      <c r="AF422" s="6" t="str">
        <f t="shared" si="41"/>
        <v/>
      </c>
    </row>
    <row r="423" spans="1:32" ht="15.75" customHeight="1" x14ac:dyDescent="0.2">
      <c r="A423" s="42"/>
      <c r="B423" s="44"/>
      <c r="C423" s="41"/>
      <c r="D423" s="41"/>
      <c r="E423" s="41"/>
      <c r="F423" s="11"/>
      <c r="G423" s="11"/>
      <c r="H423" s="43"/>
      <c r="K423" s="25"/>
      <c r="M423" s="31"/>
      <c r="N423" s="31"/>
      <c r="O423" s="33"/>
      <c r="Q423" s="6" t="str">
        <f>IF($F423&lt;&gt;"",RIGHT(Tabela1[[#This Row],[Ref.]],2),"")</f>
        <v/>
      </c>
      <c r="R423" s="6" t="str">
        <f t="shared" si="36"/>
        <v/>
      </c>
      <c r="S423" s="4" t="str">
        <f>IF($F423&lt;&gt;"",_xlfn.XLOOKUP(F423,Naturezas!B:B,Naturezas!E:E,"",0,1),"")</f>
        <v/>
      </c>
      <c r="T423" s="4" t="str">
        <f>IF($F423&lt;&gt;"",_xlfn.XLOOKUP($F423,Naturezas!B:B,Naturezas!D:D,"",0,1),"")</f>
        <v/>
      </c>
      <c r="U423" s="5" t="str">
        <f>IF(F423&lt;&gt;"",IF(OR(F423=Naturezas!$B$3,F423=Naturezas!$B$4,F423=Naturezas!$B$5,F423=Naturezas!$B$17,F423=Naturezas!$B$18,F423=Naturezas!$B$19),H423,-H423),"")</f>
        <v/>
      </c>
      <c r="V423" s="4" t="str">
        <f t="shared" si="37"/>
        <v/>
      </c>
      <c r="W423" s="4"/>
      <c r="X423" s="4" t="str">
        <f t="shared" si="38"/>
        <v/>
      </c>
      <c r="Y423" s="6" t="str">
        <f>IF(F423&lt;&gt;"",Tabela1[[#This Row],[Iniciais]],"")</f>
        <v/>
      </c>
      <c r="AA423" s="6" t="str">
        <f>IF($F423&lt;&gt;"",RIGHT(Tabela1[[#This Row],[Ref.]],2),"")</f>
        <v/>
      </c>
      <c r="AB423" s="46" t="str">
        <f>IF($F423&lt;&gt;"",DATE(LEFT(Tabela1[[#This Row],[Ref.]],4),RIGHT(Tabela1[[#This Row],[Ref.]],2),1),"")</f>
        <v/>
      </c>
      <c r="AC423" s="4" t="str">
        <f t="shared" si="39"/>
        <v/>
      </c>
      <c r="AD423" s="5" t="str">
        <f t="shared" si="40"/>
        <v/>
      </c>
      <c r="AE423" s="4"/>
      <c r="AF423" s="6" t="str">
        <f t="shared" si="41"/>
        <v/>
      </c>
    </row>
    <row r="424" spans="1:32" ht="15.75" customHeight="1" x14ac:dyDescent="0.2">
      <c r="A424" s="42"/>
      <c r="B424" s="44"/>
      <c r="C424" s="41"/>
      <c r="D424" s="41"/>
      <c r="E424" s="41"/>
      <c r="F424" s="11"/>
      <c r="G424" s="11"/>
      <c r="H424" s="43"/>
      <c r="K424" s="25"/>
      <c r="M424" s="31"/>
      <c r="N424" s="31"/>
      <c r="O424" s="33"/>
      <c r="Q424" s="6" t="str">
        <f>IF($F424&lt;&gt;"",RIGHT(Tabela1[[#This Row],[Ref.]],2),"")</f>
        <v/>
      </c>
      <c r="R424" s="6" t="str">
        <f t="shared" si="36"/>
        <v/>
      </c>
      <c r="S424" s="4" t="str">
        <f>IF($F424&lt;&gt;"",_xlfn.XLOOKUP(F424,Naturezas!B:B,Naturezas!E:E,"",0,1),"")</f>
        <v/>
      </c>
      <c r="T424" s="4" t="str">
        <f>IF($F424&lt;&gt;"",_xlfn.XLOOKUP($F424,Naturezas!B:B,Naturezas!D:D,"",0,1),"")</f>
        <v/>
      </c>
      <c r="U424" s="5" t="str">
        <f>IF(F424&lt;&gt;"",IF(OR(F424=Naturezas!$B$3,F424=Naturezas!$B$4,F424=Naturezas!$B$5,F424=Naturezas!$B$17,F424=Naturezas!$B$18,F424=Naturezas!$B$19),H424,-H424),"")</f>
        <v/>
      </c>
      <c r="V424" s="4" t="str">
        <f t="shared" si="37"/>
        <v/>
      </c>
      <c r="W424" s="4"/>
      <c r="X424" s="4" t="str">
        <f t="shared" si="38"/>
        <v/>
      </c>
      <c r="Y424" s="6" t="str">
        <f>IF(F424&lt;&gt;"",Tabela1[[#This Row],[Iniciais]],"")</f>
        <v/>
      </c>
      <c r="AA424" s="6" t="str">
        <f>IF($F424&lt;&gt;"",RIGHT(Tabela1[[#This Row],[Ref.]],2),"")</f>
        <v/>
      </c>
      <c r="AB424" s="46" t="str">
        <f>IF($F424&lt;&gt;"",DATE(LEFT(Tabela1[[#This Row],[Ref.]],4),RIGHT(Tabela1[[#This Row],[Ref.]],2),1),"")</f>
        <v/>
      </c>
      <c r="AC424" s="4" t="str">
        <f t="shared" si="39"/>
        <v/>
      </c>
      <c r="AD424" s="5" t="str">
        <f t="shared" si="40"/>
        <v/>
      </c>
      <c r="AE424" s="4"/>
      <c r="AF424" s="6" t="str">
        <f t="shared" si="41"/>
        <v/>
      </c>
    </row>
    <row r="425" spans="1:32" ht="15.75" customHeight="1" x14ac:dyDescent="0.2">
      <c r="A425" s="42"/>
      <c r="B425" s="44"/>
      <c r="C425" s="41"/>
      <c r="D425" s="41"/>
      <c r="E425" s="41"/>
      <c r="F425" s="11"/>
      <c r="G425" s="11"/>
      <c r="H425" s="43"/>
      <c r="K425" s="25"/>
      <c r="M425" s="31"/>
      <c r="N425" s="31"/>
      <c r="O425" s="33"/>
      <c r="Q425" s="6" t="str">
        <f>IF($F425&lt;&gt;"",RIGHT(Tabela1[[#This Row],[Ref.]],2),"")</f>
        <v/>
      </c>
      <c r="R425" s="6" t="str">
        <f t="shared" si="36"/>
        <v/>
      </c>
      <c r="S425" s="4" t="str">
        <f>IF($F425&lt;&gt;"",_xlfn.XLOOKUP(F425,Naturezas!B:B,Naturezas!E:E,"",0,1),"")</f>
        <v/>
      </c>
      <c r="T425" s="4" t="str">
        <f>IF($F425&lt;&gt;"",_xlfn.XLOOKUP($F425,Naturezas!B:B,Naturezas!D:D,"",0,1),"")</f>
        <v/>
      </c>
      <c r="U425" s="5" t="str">
        <f>IF(F425&lt;&gt;"",IF(OR(F425=Naturezas!$B$3,F425=Naturezas!$B$4,F425=Naturezas!$B$5,F425=Naturezas!$B$17,F425=Naturezas!$B$18,F425=Naturezas!$B$19),H425,-H425),"")</f>
        <v/>
      </c>
      <c r="V425" s="4" t="str">
        <f t="shared" si="37"/>
        <v/>
      </c>
      <c r="W425" s="4"/>
      <c r="X425" s="4" t="str">
        <f t="shared" si="38"/>
        <v/>
      </c>
      <c r="Y425" s="6" t="str">
        <f>IF(F425&lt;&gt;"",Tabela1[[#This Row],[Iniciais]],"")</f>
        <v/>
      </c>
      <c r="AA425" s="6" t="str">
        <f>IF($F425&lt;&gt;"",RIGHT(Tabela1[[#This Row],[Ref.]],2),"")</f>
        <v/>
      </c>
      <c r="AB425" s="46" t="str">
        <f>IF($F425&lt;&gt;"",DATE(LEFT(Tabela1[[#This Row],[Ref.]],4),RIGHT(Tabela1[[#This Row],[Ref.]],2),1),"")</f>
        <v/>
      </c>
      <c r="AC425" s="4" t="str">
        <f t="shared" si="39"/>
        <v/>
      </c>
      <c r="AD425" s="5" t="str">
        <f t="shared" si="40"/>
        <v/>
      </c>
      <c r="AE425" s="4"/>
      <c r="AF425" s="6" t="str">
        <f t="shared" si="41"/>
        <v/>
      </c>
    </row>
    <row r="426" spans="1:32" ht="15.75" customHeight="1" x14ac:dyDescent="0.2">
      <c r="A426" s="42"/>
      <c r="B426" s="44"/>
      <c r="C426" s="41"/>
      <c r="D426" s="41"/>
      <c r="E426" s="41"/>
      <c r="F426" s="11"/>
      <c r="G426" s="11"/>
      <c r="H426" s="43"/>
      <c r="K426" s="25"/>
      <c r="M426" s="31"/>
      <c r="N426" s="31"/>
      <c r="O426" s="33"/>
      <c r="Q426" s="6" t="str">
        <f>IF($F426&lt;&gt;"",RIGHT(Tabela1[[#This Row],[Ref.]],2),"")</f>
        <v/>
      </c>
      <c r="R426" s="6" t="str">
        <f t="shared" si="36"/>
        <v/>
      </c>
      <c r="S426" s="4" t="str">
        <f>IF($F426&lt;&gt;"",_xlfn.XLOOKUP(F426,Naturezas!B:B,Naturezas!E:E,"",0,1),"")</f>
        <v/>
      </c>
      <c r="T426" s="4" t="str">
        <f>IF($F426&lt;&gt;"",_xlfn.XLOOKUP($F426,Naturezas!B:B,Naturezas!D:D,"",0,1),"")</f>
        <v/>
      </c>
      <c r="U426" s="5" t="str">
        <f>IF(F426&lt;&gt;"",IF(OR(F426=Naturezas!$B$3,F426=Naturezas!$B$4,F426=Naturezas!$B$5,F426=Naturezas!$B$17,F426=Naturezas!$B$18,F426=Naturezas!$B$19),H426,-H426),"")</f>
        <v/>
      </c>
      <c r="V426" s="4" t="str">
        <f t="shared" si="37"/>
        <v/>
      </c>
      <c r="W426" s="4"/>
      <c r="X426" s="4" t="str">
        <f t="shared" si="38"/>
        <v/>
      </c>
      <c r="Y426" s="6" t="str">
        <f>IF(F426&lt;&gt;"",Tabela1[[#This Row],[Iniciais]],"")</f>
        <v/>
      </c>
      <c r="AA426" s="6" t="str">
        <f>IF($F426&lt;&gt;"",RIGHT(Tabela1[[#This Row],[Ref.]],2),"")</f>
        <v/>
      </c>
      <c r="AB426" s="46" t="str">
        <f>IF($F426&lt;&gt;"",DATE(LEFT(Tabela1[[#This Row],[Ref.]],4),RIGHT(Tabela1[[#This Row],[Ref.]],2),1),"")</f>
        <v/>
      </c>
      <c r="AC426" s="4" t="str">
        <f t="shared" si="39"/>
        <v/>
      </c>
      <c r="AD426" s="5" t="str">
        <f t="shared" si="40"/>
        <v/>
      </c>
      <c r="AE426" s="4"/>
      <c r="AF426" s="6" t="str">
        <f t="shared" si="41"/>
        <v/>
      </c>
    </row>
    <row r="427" spans="1:32" ht="15.75" customHeight="1" x14ac:dyDescent="0.2">
      <c r="A427" s="42"/>
      <c r="B427" s="44"/>
      <c r="C427" s="41"/>
      <c r="D427" s="41"/>
      <c r="E427" s="41"/>
      <c r="F427" s="11"/>
      <c r="G427" s="11"/>
      <c r="H427" s="43"/>
      <c r="K427" s="25"/>
      <c r="M427" s="31"/>
      <c r="N427" s="31"/>
      <c r="O427" s="33"/>
      <c r="Q427" s="6" t="str">
        <f>IF($F427&lt;&gt;"",RIGHT(Tabela1[[#This Row],[Ref.]],2),"")</f>
        <v/>
      </c>
      <c r="R427" s="6" t="str">
        <f t="shared" si="36"/>
        <v/>
      </c>
      <c r="S427" s="4" t="str">
        <f>IF($F427&lt;&gt;"",_xlfn.XLOOKUP(F427,Naturezas!B:B,Naturezas!E:E,"",0,1),"")</f>
        <v/>
      </c>
      <c r="T427" s="4" t="str">
        <f>IF($F427&lt;&gt;"",_xlfn.XLOOKUP($F427,Naturezas!B:B,Naturezas!D:D,"",0,1),"")</f>
        <v/>
      </c>
      <c r="U427" s="5" t="str">
        <f>IF(F427&lt;&gt;"",IF(OR(F427=Naturezas!$B$3,F427=Naturezas!$B$4,F427=Naturezas!$B$5,F427=Naturezas!$B$17,F427=Naturezas!$B$18,F427=Naturezas!$B$19),H427,-H427),"")</f>
        <v/>
      </c>
      <c r="V427" s="4" t="str">
        <f t="shared" si="37"/>
        <v/>
      </c>
      <c r="W427" s="4"/>
      <c r="X427" s="4" t="str">
        <f t="shared" si="38"/>
        <v/>
      </c>
      <c r="Y427" s="6" t="str">
        <f>IF(F427&lt;&gt;"",Tabela1[[#This Row],[Iniciais]],"")</f>
        <v/>
      </c>
      <c r="AA427" s="6" t="str">
        <f>IF($F427&lt;&gt;"",RIGHT(Tabela1[[#This Row],[Ref.]],2),"")</f>
        <v/>
      </c>
      <c r="AB427" s="46" t="str">
        <f>IF($F427&lt;&gt;"",DATE(LEFT(Tabela1[[#This Row],[Ref.]],4),RIGHT(Tabela1[[#This Row],[Ref.]],2),1),"")</f>
        <v/>
      </c>
      <c r="AC427" s="4" t="str">
        <f t="shared" si="39"/>
        <v/>
      </c>
      <c r="AD427" s="5" t="str">
        <f t="shared" si="40"/>
        <v/>
      </c>
      <c r="AE427" s="4"/>
      <c r="AF427" s="6" t="str">
        <f t="shared" si="41"/>
        <v/>
      </c>
    </row>
    <row r="428" spans="1:32" ht="15.75" customHeight="1" x14ac:dyDescent="0.2">
      <c r="A428" s="42"/>
      <c r="B428" s="44"/>
      <c r="C428" s="41"/>
      <c r="D428" s="41"/>
      <c r="E428" s="41"/>
      <c r="F428" s="11"/>
      <c r="G428" s="11"/>
      <c r="H428" s="43"/>
      <c r="K428" s="25"/>
      <c r="M428" s="31"/>
      <c r="N428" s="31"/>
      <c r="O428" s="33"/>
      <c r="Q428" s="6" t="str">
        <f>IF($F428&lt;&gt;"",RIGHT(Tabela1[[#This Row],[Ref.]],2),"")</f>
        <v/>
      </c>
      <c r="R428" s="6" t="str">
        <f t="shared" si="36"/>
        <v/>
      </c>
      <c r="S428" s="4" t="str">
        <f>IF($F428&lt;&gt;"",_xlfn.XLOOKUP(F428,Naturezas!B:B,Naturezas!E:E,"",0,1),"")</f>
        <v/>
      </c>
      <c r="T428" s="4" t="str">
        <f>IF($F428&lt;&gt;"",_xlfn.XLOOKUP($F428,Naturezas!B:B,Naturezas!D:D,"",0,1),"")</f>
        <v/>
      </c>
      <c r="U428" s="5" t="str">
        <f>IF(F428&lt;&gt;"",IF(OR(F428=Naturezas!$B$3,F428=Naturezas!$B$4,F428=Naturezas!$B$5,F428=Naturezas!$B$17,F428=Naturezas!$B$18,F428=Naturezas!$B$19),H428,-H428),"")</f>
        <v/>
      </c>
      <c r="V428" s="4" t="str">
        <f t="shared" si="37"/>
        <v/>
      </c>
      <c r="W428" s="4"/>
      <c r="X428" s="4" t="str">
        <f t="shared" si="38"/>
        <v/>
      </c>
      <c r="Y428" s="6" t="str">
        <f>IF(F428&lt;&gt;"",Tabela1[[#This Row],[Iniciais]],"")</f>
        <v/>
      </c>
      <c r="AA428" s="6" t="str">
        <f>IF($F428&lt;&gt;"",RIGHT(Tabela1[[#This Row],[Ref.]],2),"")</f>
        <v/>
      </c>
      <c r="AB428" s="46" t="str">
        <f>IF($F428&lt;&gt;"",DATE(LEFT(Tabela1[[#This Row],[Ref.]],4),RIGHT(Tabela1[[#This Row],[Ref.]],2),1),"")</f>
        <v/>
      </c>
      <c r="AC428" s="4" t="str">
        <f t="shared" si="39"/>
        <v/>
      </c>
      <c r="AD428" s="5" t="str">
        <f t="shared" si="40"/>
        <v/>
      </c>
      <c r="AE428" s="4"/>
      <c r="AF428" s="6" t="str">
        <f t="shared" si="41"/>
        <v/>
      </c>
    </row>
    <row r="429" spans="1:32" ht="15.75" customHeight="1" x14ac:dyDescent="0.2">
      <c r="A429" s="42"/>
      <c r="B429" s="44"/>
      <c r="C429" s="41"/>
      <c r="D429" s="41"/>
      <c r="E429" s="41"/>
      <c r="F429" s="11"/>
      <c r="G429" s="11"/>
      <c r="H429" s="43"/>
      <c r="K429" s="25"/>
      <c r="M429" s="31"/>
      <c r="N429" s="31"/>
      <c r="O429" s="33"/>
      <c r="Q429" s="6" t="str">
        <f>IF($F429&lt;&gt;"",RIGHT(Tabela1[[#This Row],[Ref.]],2),"")</f>
        <v/>
      </c>
      <c r="R429" s="6" t="str">
        <f t="shared" si="36"/>
        <v/>
      </c>
      <c r="S429" s="4" t="str">
        <f>IF($F429&lt;&gt;"",_xlfn.XLOOKUP(F429,Naturezas!B:B,Naturezas!E:E,"",0,1),"")</f>
        <v/>
      </c>
      <c r="T429" s="4" t="str">
        <f>IF($F429&lt;&gt;"",_xlfn.XLOOKUP($F429,Naturezas!B:B,Naturezas!D:D,"",0,1),"")</f>
        <v/>
      </c>
      <c r="U429" s="5" t="str">
        <f>IF(F429&lt;&gt;"",IF(OR(F429=Naturezas!$B$3,F429=Naturezas!$B$4,F429=Naturezas!$B$5,F429=Naturezas!$B$17,F429=Naturezas!$B$18,F429=Naturezas!$B$19),H429,-H429),"")</f>
        <v/>
      </c>
      <c r="V429" s="4" t="str">
        <f t="shared" si="37"/>
        <v/>
      </c>
      <c r="W429" s="4"/>
      <c r="X429" s="4" t="str">
        <f t="shared" si="38"/>
        <v/>
      </c>
      <c r="Y429" s="6" t="str">
        <f>IF(F429&lt;&gt;"",Tabela1[[#This Row],[Iniciais]],"")</f>
        <v/>
      </c>
      <c r="AA429" s="6" t="str">
        <f>IF($F429&lt;&gt;"",RIGHT(Tabela1[[#This Row],[Ref.]],2),"")</f>
        <v/>
      </c>
      <c r="AB429" s="46" t="str">
        <f>IF($F429&lt;&gt;"",DATE(LEFT(Tabela1[[#This Row],[Ref.]],4),RIGHT(Tabela1[[#This Row],[Ref.]],2),1),"")</f>
        <v/>
      </c>
      <c r="AC429" s="4" t="str">
        <f t="shared" si="39"/>
        <v/>
      </c>
      <c r="AD429" s="5" t="str">
        <f t="shared" si="40"/>
        <v/>
      </c>
      <c r="AE429" s="4"/>
      <c r="AF429" s="6" t="str">
        <f t="shared" si="41"/>
        <v/>
      </c>
    </row>
    <row r="430" spans="1:32" ht="15.75" customHeight="1" x14ac:dyDescent="0.2">
      <c r="A430" s="42"/>
      <c r="B430" s="44"/>
      <c r="C430" s="41"/>
      <c r="D430" s="41"/>
      <c r="E430" s="41"/>
      <c r="F430" s="11"/>
      <c r="G430" s="11"/>
      <c r="H430" s="43"/>
      <c r="K430" s="25"/>
      <c r="M430" s="31"/>
      <c r="N430" s="31"/>
      <c r="O430" s="33"/>
      <c r="Q430" s="6" t="str">
        <f>IF($F430&lt;&gt;"",RIGHT(Tabela1[[#This Row],[Ref.]],2),"")</f>
        <v/>
      </c>
      <c r="R430" s="6" t="str">
        <f t="shared" si="36"/>
        <v/>
      </c>
      <c r="S430" s="4" t="str">
        <f>IF($F430&lt;&gt;"",_xlfn.XLOOKUP(F430,Naturezas!B:B,Naturezas!E:E,"",0,1),"")</f>
        <v/>
      </c>
      <c r="T430" s="4" t="str">
        <f>IF($F430&lt;&gt;"",_xlfn.XLOOKUP($F430,Naturezas!B:B,Naturezas!D:D,"",0,1),"")</f>
        <v/>
      </c>
      <c r="U430" s="5" t="str">
        <f>IF(F430&lt;&gt;"",IF(OR(F430=Naturezas!$B$3,F430=Naturezas!$B$4,F430=Naturezas!$B$5,F430=Naturezas!$B$17,F430=Naturezas!$B$18,F430=Naturezas!$B$19),H430,-H430),"")</f>
        <v/>
      </c>
      <c r="V430" s="4" t="str">
        <f t="shared" si="37"/>
        <v/>
      </c>
      <c r="W430" s="4"/>
      <c r="X430" s="4" t="str">
        <f t="shared" si="38"/>
        <v/>
      </c>
      <c r="Y430" s="6" t="str">
        <f>IF(F430&lt;&gt;"",Tabela1[[#This Row],[Iniciais]],"")</f>
        <v/>
      </c>
      <c r="AA430" s="6" t="str">
        <f>IF($F430&lt;&gt;"",RIGHT(Tabela1[[#This Row],[Ref.]],2),"")</f>
        <v/>
      </c>
      <c r="AB430" s="46" t="str">
        <f>IF($F430&lt;&gt;"",DATE(LEFT(Tabela1[[#This Row],[Ref.]],4),RIGHT(Tabela1[[#This Row],[Ref.]],2),1),"")</f>
        <v/>
      </c>
      <c r="AC430" s="4" t="str">
        <f t="shared" si="39"/>
        <v/>
      </c>
      <c r="AD430" s="5" t="str">
        <f t="shared" si="40"/>
        <v/>
      </c>
      <c r="AE430" s="4"/>
      <c r="AF430" s="6" t="str">
        <f t="shared" si="41"/>
        <v/>
      </c>
    </row>
    <row r="431" spans="1:32" ht="15.75" customHeight="1" x14ac:dyDescent="0.2">
      <c r="A431" s="42"/>
      <c r="B431" s="44"/>
      <c r="C431" s="41"/>
      <c r="D431" s="41"/>
      <c r="E431" s="41"/>
      <c r="F431" s="11"/>
      <c r="G431" s="11"/>
      <c r="H431" s="43"/>
      <c r="K431" s="25"/>
      <c r="M431" s="31"/>
      <c r="N431" s="31"/>
      <c r="O431" s="33"/>
      <c r="Q431" s="6" t="str">
        <f>IF($F431&lt;&gt;"",RIGHT(Tabela1[[#This Row],[Ref.]],2),"")</f>
        <v/>
      </c>
      <c r="R431" s="6" t="str">
        <f t="shared" si="36"/>
        <v/>
      </c>
      <c r="S431" s="4" t="str">
        <f>IF($F431&lt;&gt;"",_xlfn.XLOOKUP(F431,Naturezas!B:B,Naturezas!E:E,"",0,1),"")</f>
        <v/>
      </c>
      <c r="T431" s="4" t="str">
        <f>IF($F431&lt;&gt;"",_xlfn.XLOOKUP($F431,Naturezas!B:B,Naturezas!D:D,"",0,1),"")</f>
        <v/>
      </c>
      <c r="U431" s="5" t="str">
        <f>IF(F431&lt;&gt;"",IF(OR(F431=Naturezas!$B$3,F431=Naturezas!$B$4,F431=Naturezas!$B$5,F431=Naturezas!$B$17,F431=Naturezas!$B$18,F431=Naturezas!$B$19),H431,-H431),"")</f>
        <v/>
      </c>
      <c r="V431" s="4" t="str">
        <f t="shared" si="37"/>
        <v/>
      </c>
      <c r="W431" s="4"/>
      <c r="X431" s="4" t="str">
        <f t="shared" si="38"/>
        <v/>
      </c>
      <c r="Y431" s="6" t="str">
        <f>IF(F431&lt;&gt;"",Tabela1[[#This Row],[Iniciais]],"")</f>
        <v/>
      </c>
      <c r="AA431" s="6" t="str">
        <f>IF($F431&lt;&gt;"",RIGHT(Tabela1[[#This Row],[Ref.]],2),"")</f>
        <v/>
      </c>
      <c r="AB431" s="46" t="str">
        <f>IF($F431&lt;&gt;"",DATE(LEFT(Tabela1[[#This Row],[Ref.]],4),RIGHT(Tabela1[[#This Row],[Ref.]],2),1),"")</f>
        <v/>
      </c>
      <c r="AC431" s="4" t="str">
        <f t="shared" si="39"/>
        <v/>
      </c>
      <c r="AD431" s="5" t="str">
        <f t="shared" si="40"/>
        <v/>
      </c>
      <c r="AE431" s="4"/>
      <c r="AF431" s="6" t="str">
        <f t="shared" si="41"/>
        <v/>
      </c>
    </row>
    <row r="432" spans="1:32" ht="15.75" customHeight="1" x14ac:dyDescent="0.2">
      <c r="A432" s="42"/>
      <c r="B432" s="44"/>
      <c r="C432" s="41"/>
      <c r="D432" s="41"/>
      <c r="E432" s="41"/>
      <c r="F432" s="11"/>
      <c r="G432" s="11"/>
      <c r="H432" s="43"/>
      <c r="K432" s="25"/>
      <c r="M432" s="31"/>
      <c r="N432" s="31"/>
      <c r="O432" s="33"/>
      <c r="Q432" s="6" t="str">
        <f>IF($F432&lt;&gt;"",RIGHT(Tabela1[[#This Row],[Ref.]],2),"")</f>
        <v/>
      </c>
      <c r="R432" s="6" t="str">
        <f t="shared" si="36"/>
        <v/>
      </c>
      <c r="S432" s="4" t="str">
        <f>IF($F432&lt;&gt;"",_xlfn.XLOOKUP(F432,Naturezas!B:B,Naturezas!E:E,"",0,1),"")</f>
        <v/>
      </c>
      <c r="T432" s="4" t="str">
        <f>IF($F432&lt;&gt;"",_xlfn.XLOOKUP($F432,Naturezas!B:B,Naturezas!D:D,"",0,1),"")</f>
        <v/>
      </c>
      <c r="U432" s="5" t="str">
        <f>IF(F432&lt;&gt;"",IF(OR(F432=Naturezas!$B$3,F432=Naturezas!$B$4,F432=Naturezas!$B$5,F432=Naturezas!$B$17,F432=Naturezas!$B$18,F432=Naturezas!$B$19),H432,-H432),"")</f>
        <v/>
      </c>
      <c r="V432" s="4" t="str">
        <f t="shared" si="37"/>
        <v/>
      </c>
      <c r="W432" s="4"/>
      <c r="X432" s="4" t="str">
        <f t="shared" si="38"/>
        <v/>
      </c>
      <c r="Y432" s="6" t="str">
        <f>IF(F432&lt;&gt;"",Tabela1[[#This Row],[Iniciais]],"")</f>
        <v/>
      </c>
      <c r="AA432" s="6" t="str">
        <f>IF($F432&lt;&gt;"",RIGHT(Tabela1[[#This Row],[Ref.]],2),"")</f>
        <v/>
      </c>
      <c r="AB432" s="46" t="str">
        <f>IF($F432&lt;&gt;"",DATE(LEFT(Tabela1[[#This Row],[Ref.]],4),RIGHT(Tabela1[[#This Row],[Ref.]],2),1),"")</f>
        <v/>
      </c>
      <c r="AC432" s="4" t="str">
        <f t="shared" si="39"/>
        <v/>
      </c>
      <c r="AD432" s="5" t="str">
        <f t="shared" si="40"/>
        <v/>
      </c>
      <c r="AE432" s="4"/>
      <c r="AF432" s="6" t="str">
        <f t="shared" si="41"/>
        <v/>
      </c>
    </row>
    <row r="433" spans="1:32" ht="15.75" customHeight="1" x14ac:dyDescent="0.2">
      <c r="A433" s="42"/>
      <c r="B433" s="44"/>
      <c r="C433" s="41"/>
      <c r="D433" s="41"/>
      <c r="E433" s="41"/>
      <c r="F433" s="11"/>
      <c r="G433" s="11"/>
      <c r="H433" s="43"/>
      <c r="K433" s="25"/>
      <c r="M433" s="31"/>
      <c r="N433" s="31"/>
      <c r="O433" s="33"/>
      <c r="Q433" s="6" t="str">
        <f>IF($F433&lt;&gt;"",RIGHT(Tabela1[[#This Row],[Ref.]],2),"")</f>
        <v/>
      </c>
      <c r="R433" s="6" t="str">
        <f t="shared" si="36"/>
        <v/>
      </c>
      <c r="S433" s="4" t="str">
        <f>IF($F433&lt;&gt;"",_xlfn.XLOOKUP(F433,Naturezas!B:B,Naturezas!E:E,"",0,1),"")</f>
        <v/>
      </c>
      <c r="T433" s="4" t="str">
        <f>IF($F433&lt;&gt;"",_xlfn.XLOOKUP($F433,Naturezas!B:B,Naturezas!D:D,"",0,1),"")</f>
        <v/>
      </c>
      <c r="U433" s="5" t="str">
        <f>IF(F433&lt;&gt;"",IF(OR(F433=Naturezas!$B$3,F433=Naturezas!$B$4,F433=Naturezas!$B$5,F433=Naturezas!$B$17,F433=Naturezas!$B$18,F433=Naturezas!$B$19),H433,-H433),"")</f>
        <v/>
      </c>
      <c r="V433" s="4" t="str">
        <f t="shared" si="37"/>
        <v/>
      </c>
      <c r="W433" s="4"/>
      <c r="X433" s="4" t="str">
        <f t="shared" si="38"/>
        <v/>
      </c>
      <c r="Y433" s="6" t="str">
        <f>IF(F433&lt;&gt;"",Tabela1[[#This Row],[Iniciais]],"")</f>
        <v/>
      </c>
      <c r="AA433" s="6" t="str">
        <f>IF($F433&lt;&gt;"",RIGHT(Tabela1[[#This Row],[Ref.]],2),"")</f>
        <v/>
      </c>
      <c r="AB433" s="46" t="str">
        <f>IF($F433&lt;&gt;"",DATE(LEFT(Tabela1[[#This Row],[Ref.]],4),RIGHT(Tabela1[[#This Row],[Ref.]],2),1),"")</f>
        <v/>
      </c>
      <c r="AC433" s="4" t="str">
        <f t="shared" si="39"/>
        <v/>
      </c>
      <c r="AD433" s="5" t="str">
        <f t="shared" si="40"/>
        <v/>
      </c>
      <c r="AE433" s="4"/>
      <c r="AF433" s="6" t="str">
        <f t="shared" si="41"/>
        <v/>
      </c>
    </row>
    <row r="434" spans="1:32" ht="15.75" customHeight="1" x14ac:dyDescent="0.2">
      <c r="A434" s="42"/>
      <c r="B434" s="44"/>
      <c r="C434" s="41"/>
      <c r="D434" s="41"/>
      <c r="E434" s="41"/>
      <c r="F434" s="11"/>
      <c r="G434" s="11"/>
      <c r="H434" s="43"/>
      <c r="K434" s="25"/>
      <c r="M434" s="31"/>
      <c r="N434" s="31"/>
      <c r="O434" s="33"/>
      <c r="Q434" s="6" t="str">
        <f>IF($F434&lt;&gt;"",RIGHT(Tabela1[[#This Row],[Ref.]],2),"")</f>
        <v/>
      </c>
      <c r="R434" s="6" t="str">
        <f t="shared" si="36"/>
        <v/>
      </c>
      <c r="S434" s="4" t="str">
        <f>IF($F434&lt;&gt;"",_xlfn.XLOOKUP(F434,Naturezas!B:B,Naturezas!E:E,"",0,1),"")</f>
        <v/>
      </c>
      <c r="T434" s="4" t="str">
        <f>IF($F434&lt;&gt;"",_xlfn.XLOOKUP($F434,Naturezas!B:B,Naturezas!D:D,"",0,1),"")</f>
        <v/>
      </c>
      <c r="U434" s="5" t="str">
        <f>IF(F434&lt;&gt;"",IF(OR(F434=Naturezas!$B$3,F434=Naturezas!$B$4,F434=Naturezas!$B$5,F434=Naturezas!$B$17,F434=Naturezas!$B$18,F434=Naturezas!$B$19),H434,-H434),"")</f>
        <v/>
      </c>
      <c r="V434" s="4" t="str">
        <f t="shared" si="37"/>
        <v/>
      </c>
      <c r="W434" s="4"/>
      <c r="X434" s="4" t="str">
        <f t="shared" si="38"/>
        <v/>
      </c>
      <c r="Y434" s="6" t="str">
        <f>IF(F434&lt;&gt;"",Tabela1[[#This Row],[Iniciais]],"")</f>
        <v/>
      </c>
      <c r="AA434" s="6" t="str">
        <f>IF($F434&lt;&gt;"",RIGHT(Tabela1[[#This Row],[Ref.]],2),"")</f>
        <v/>
      </c>
      <c r="AB434" s="46" t="str">
        <f>IF($F434&lt;&gt;"",DATE(LEFT(Tabela1[[#This Row],[Ref.]],4),RIGHT(Tabela1[[#This Row],[Ref.]],2),1),"")</f>
        <v/>
      </c>
      <c r="AC434" s="4" t="str">
        <f t="shared" si="39"/>
        <v/>
      </c>
      <c r="AD434" s="5" t="str">
        <f t="shared" si="40"/>
        <v/>
      </c>
      <c r="AE434" s="4"/>
      <c r="AF434" s="6" t="str">
        <f t="shared" si="41"/>
        <v/>
      </c>
    </row>
    <row r="435" spans="1:32" ht="15.75" customHeight="1" x14ac:dyDescent="0.2">
      <c r="A435" s="42"/>
      <c r="B435" s="44"/>
      <c r="C435" s="41"/>
      <c r="D435" s="41"/>
      <c r="E435" s="41"/>
      <c r="F435" s="11"/>
      <c r="G435" s="11"/>
      <c r="H435" s="43"/>
      <c r="K435" s="25"/>
      <c r="M435" s="31"/>
      <c r="N435" s="31"/>
      <c r="O435" s="33"/>
      <c r="Q435" s="6" t="str">
        <f>IF($F435&lt;&gt;"",RIGHT(Tabela1[[#This Row],[Ref.]],2),"")</f>
        <v/>
      </c>
      <c r="R435" s="6" t="str">
        <f t="shared" si="36"/>
        <v/>
      </c>
      <c r="S435" s="4" t="str">
        <f>IF($F435&lt;&gt;"",_xlfn.XLOOKUP(F435,Naturezas!B:B,Naturezas!E:E,"",0,1),"")</f>
        <v/>
      </c>
      <c r="T435" s="4" t="str">
        <f>IF($F435&lt;&gt;"",_xlfn.XLOOKUP($F435,Naturezas!B:B,Naturezas!D:D,"",0,1),"")</f>
        <v/>
      </c>
      <c r="U435" s="5" t="str">
        <f>IF(F435&lt;&gt;"",IF(OR(F435=Naturezas!$B$3,F435=Naturezas!$B$4,F435=Naturezas!$B$5,F435=Naturezas!$B$17,F435=Naturezas!$B$18,F435=Naturezas!$B$19),H435,-H435),"")</f>
        <v/>
      </c>
      <c r="V435" s="4" t="str">
        <f t="shared" si="37"/>
        <v/>
      </c>
      <c r="W435" s="4"/>
      <c r="X435" s="4" t="str">
        <f t="shared" si="38"/>
        <v/>
      </c>
      <c r="Y435" s="6" t="str">
        <f>IF(F435&lt;&gt;"",Tabela1[[#This Row],[Iniciais]],"")</f>
        <v/>
      </c>
      <c r="AA435" s="6" t="str">
        <f>IF($F435&lt;&gt;"",RIGHT(Tabela1[[#This Row],[Ref.]],2),"")</f>
        <v/>
      </c>
      <c r="AB435" s="46" t="str">
        <f>IF($F435&lt;&gt;"",DATE(LEFT(Tabela1[[#This Row],[Ref.]],4),RIGHT(Tabela1[[#This Row],[Ref.]],2),1),"")</f>
        <v/>
      </c>
      <c r="AC435" s="4" t="str">
        <f t="shared" si="39"/>
        <v/>
      </c>
      <c r="AD435" s="5" t="str">
        <f t="shared" si="40"/>
        <v/>
      </c>
      <c r="AE435" s="4"/>
      <c r="AF435" s="6" t="str">
        <f t="shared" si="41"/>
        <v/>
      </c>
    </row>
    <row r="436" spans="1:32" ht="15.75" customHeight="1" x14ac:dyDescent="0.2">
      <c r="A436" s="42"/>
      <c r="B436" s="44"/>
      <c r="C436" s="41"/>
      <c r="D436" s="41"/>
      <c r="E436" s="41"/>
      <c r="F436" s="11"/>
      <c r="G436" s="11"/>
      <c r="H436" s="43"/>
      <c r="K436" s="25"/>
      <c r="M436" s="31"/>
      <c r="N436" s="31"/>
      <c r="O436" s="33"/>
      <c r="Q436" s="6" t="str">
        <f>IF($F436&lt;&gt;"",RIGHT(Tabela1[[#This Row],[Ref.]],2),"")</f>
        <v/>
      </c>
      <c r="R436" s="6" t="str">
        <f t="shared" si="36"/>
        <v/>
      </c>
      <c r="S436" s="4" t="str">
        <f>IF($F436&lt;&gt;"",_xlfn.XLOOKUP(F436,Naturezas!B:B,Naturezas!E:E,"",0,1),"")</f>
        <v/>
      </c>
      <c r="T436" s="4" t="str">
        <f>IF($F436&lt;&gt;"",_xlfn.XLOOKUP($F436,Naturezas!B:B,Naturezas!D:D,"",0,1),"")</f>
        <v/>
      </c>
      <c r="U436" s="5" t="str">
        <f>IF(F436&lt;&gt;"",IF(OR(F436=Naturezas!$B$3,F436=Naturezas!$B$4,F436=Naturezas!$B$5,F436=Naturezas!$B$17,F436=Naturezas!$B$18,F436=Naturezas!$B$19),H436,-H436),"")</f>
        <v/>
      </c>
      <c r="V436" s="4" t="str">
        <f t="shared" si="37"/>
        <v/>
      </c>
      <c r="W436" s="4"/>
      <c r="X436" s="4" t="str">
        <f t="shared" si="38"/>
        <v/>
      </c>
      <c r="Y436" s="6" t="str">
        <f>IF(F436&lt;&gt;"",Tabela1[[#This Row],[Iniciais]],"")</f>
        <v/>
      </c>
      <c r="AA436" s="6" t="str">
        <f>IF($F436&lt;&gt;"",RIGHT(Tabela1[[#This Row],[Ref.]],2),"")</f>
        <v/>
      </c>
      <c r="AB436" s="46" t="str">
        <f>IF($F436&lt;&gt;"",DATE(LEFT(Tabela1[[#This Row],[Ref.]],4),RIGHT(Tabela1[[#This Row],[Ref.]],2),1),"")</f>
        <v/>
      </c>
      <c r="AC436" s="4" t="str">
        <f t="shared" si="39"/>
        <v/>
      </c>
      <c r="AD436" s="5" t="str">
        <f t="shared" si="40"/>
        <v/>
      </c>
      <c r="AE436" s="4"/>
      <c r="AF436" s="6" t="str">
        <f t="shared" si="41"/>
        <v/>
      </c>
    </row>
    <row r="437" spans="1:32" ht="15.75" customHeight="1" x14ac:dyDescent="0.2">
      <c r="A437" s="42"/>
      <c r="B437" s="44"/>
      <c r="C437" s="41"/>
      <c r="D437" s="41"/>
      <c r="E437" s="41"/>
      <c r="F437" s="11"/>
      <c r="G437" s="11"/>
      <c r="H437" s="43"/>
      <c r="K437" s="25"/>
      <c r="M437" s="31"/>
      <c r="N437" s="31"/>
      <c r="O437" s="33"/>
      <c r="Q437" s="6" t="str">
        <f>IF($F437&lt;&gt;"",RIGHT(Tabela1[[#This Row],[Ref.]],2),"")</f>
        <v/>
      </c>
      <c r="R437" s="6" t="str">
        <f t="shared" si="36"/>
        <v/>
      </c>
      <c r="S437" s="4" t="str">
        <f>IF($F437&lt;&gt;"",_xlfn.XLOOKUP(F437,Naturezas!B:B,Naturezas!E:E,"",0,1),"")</f>
        <v/>
      </c>
      <c r="T437" s="4" t="str">
        <f>IF($F437&lt;&gt;"",_xlfn.XLOOKUP($F437,Naturezas!B:B,Naturezas!D:D,"",0,1),"")</f>
        <v/>
      </c>
      <c r="U437" s="5" t="str">
        <f>IF(F437&lt;&gt;"",IF(OR(F437=Naturezas!$B$3,F437=Naturezas!$B$4,F437=Naturezas!$B$5,F437=Naturezas!$B$17,F437=Naturezas!$B$18,F437=Naturezas!$B$19),H437,-H437),"")</f>
        <v/>
      </c>
      <c r="V437" s="4" t="str">
        <f t="shared" si="37"/>
        <v/>
      </c>
      <c r="W437" s="4"/>
      <c r="X437" s="4" t="str">
        <f t="shared" si="38"/>
        <v/>
      </c>
      <c r="Y437" s="6" t="str">
        <f>IF(F437&lt;&gt;"",Tabela1[[#This Row],[Iniciais]],"")</f>
        <v/>
      </c>
      <c r="AA437" s="6" t="str">
        <f>IF($F437&lt;&gt;"",RIGHT(Tabela1[[#This Row],[Ref.]],2),"")</f>
        <v/>
      </c>
      <c r="AB437" s="46" t="str">
        <f>IF($F437&lt;&gt;"",DATE(LEFT(Tabela1[[#This Row],[Ref.]],4),RIGHT(Tabela1[[#This Row],[Ref.]],2),1),"")</f>
        <v/>
      </c>
      <c r="AC437" s="4" t="str">
        <f t="shared" si="39"/>
        <v/>
      </c>
      <c r="AD437" s="5" t="str">
        <f t="shared" si="40"/>
        <v/>
      </c>
      <c r="AE437" s="4"/>
      <c r="AF437" s="6" t="str">
        <f t="shared" si="41"/>
        <v/>
      </c>
    </row>
    <row r="438" spans="1:32" ht="15.75" customHeight="1" x14ac:dyDescent="0.2">
      <c r="A438" s="42"/>
      <c r="B438" s="44"/>
      <c r="C438" s="41"/>
      <c r="D438" s="41"/>
      <c r="E438" s="41"/>
      <c r="F438" s="11"/>
      <c r="G438" s="11"/>
      <c r="H438" s="43"/>
      <c r="K438" s="25"/>
      <c r="M438" s="31"/>
      <c r="N438" s="31"/>
      <c r="O438" s="33"/>
      <c r="Q438" s="6" t="str">
        <f>IF($F438&lt;&gt;"",RIGHT(Tabela1[[#This Row],[Ref.]],2),"")</f>
        <v/>
      </c>
      <c r="R438" s="6" t="str">
        <f t="shared" si="36"/>
        <v/>
      </c>
      <c r="S438" s="4" t="str">
        <f>IF($F438&lt;&gt;"",_xlfn.XLOOKUP(F438,Naturezas!B:B,Naturezas!E:E,"",0,1),"")</f>
        <v/>
      </c>
      <c r="T438" s="4" t="str">
        <f>IF($F438&lt;&gt;"",_xlfn.XLOOKUP($F438,Naturezas!B:B,Naturezas!D:D,"",0,1),"")</f>
        <v/>
      </c>
      <c r="U438" s="5" t="str">
        <f>IF(F438&lt;&gt;"",IF(OR(F438=Naturezas!$B$3,F438=Naturezas!$B$4,F438=Naturezas!$B$5,F438=Naturezas!$B$17,F438=Naturezas!$B$18,F438=Naturezas!$B$19),H438,-H438),"")</f>
        <v/>
      </c>
      <c r="V438" s="4" t="str">
        <f t="shared" si="37"/>
        <v/>
      </c>
      <c r="W438" s="4"/>
      <c r="X438" s="4" t="str">
        <f t="shared" si="38"/>
        <v/>
      </c>
      <c r="Y438" s="6" t="str">
        <f>IF(F438&lt;&gt;"",Tabela1[[#This Row],[Iniciais]],"")</f>
        <v/>
      </c>
      <c r="AA438" s="6" t="str">
        <f>IF($F438&lt;&gt;"",RIGHT(Tabela1[[#This Row],[Ref.]],2),"")</f>
        <v/>
      </c>
      <c r="AB438" s="46" t="str">
        <f>IF($F438&lt;&gt;"",DATE(LEFT(Tabela1[[#This Row],[Ref.]],4),RIGHT(Tabela1[[#This Row],[Ref.]],2),1),"")</f>
        <v/>
      </c>
      <c r="AC438" s="4" t="str">
        <f t="shared" si="39"/>
        <v/>
      </c>
      <c r="AD438" s="5" t="str">
        <f t="shared" si="40"/>
        <v/>
      </c>
      <c r="AE438" s="4"/>
      <c r="AF438" s="6" t="str">
        <f t="shared" si="41"/>
        <v/>
      </c>
    </row>
    <row r="439" spans="1:32" ht="15.75" customHeight="1" x14ac:dyDescent="0.2">
      <c r="A439" s="42"/>
      <c r="B439" s="44"/>
      <c r="C439" s="41"/>
      <c r="D439" s="41"/>
      <c r="E439" s="41"/>
      <c r="F439" s="11"/>
      <c r="G439" s="11"/>
      <c r="H439" s="43"/>
      <c r="K439" s="25"/>
      <c r="M439" s="31"/>
      <c r="N439" s="31"/>
      <c r="O439" s="33"/>
      <c r="Q439" s="6" t="str">
        <f>IF($F439&lt;&gt;"",RIGHT(Tabela1[[#This Row],[Ref.]],2),"")</f>
        <v/>
      </c>
      <c r="R439" s="6" t="str">
        <f t="shared" si="36"/>
        <v/>
      </c>
      <c r="S439" s="4" t="str">
        <f>IF($F439&lt;&gt;"",_xlfn.XLOOKUP(F439,Naturezas!B:B,Naturezas!E:E,"",0,1),"")</f>
        <v/>
      </c>
      <c r="T439" s="4" t="str">
        <f>IF($F439&lt;&gt;"",_xlfn.XLOOKUP($F439,Naturezas!B:B,Naturezas!D:D,"",0,1),"")</f>
        <v/>
      </c>
      <c r="U439" s="5" t="str">
        <f>IF(F439&lt;&gt;"",IF(OR(F439=Naturezas!$B$3,F439=Naturezas!$B$4,F439=Naturezas!$B$5,F439=Naturezas!$B$17,F439=Naturezas!$B$18,F439=Naturezas!$B$19),H439,-H439),"")</f>
        <v/>
      </c>
      <c r="V439" s="4" t="str">
        <f t="shared" si="37"/>
        <v/>
      </c>
      <c r="W439" s="4"/>
      <c r="X439" s="4" t="str">
        <f t="shared" si="38"/>
        <v/>
      </c>
      <c r="Y439" s="6" t="str">
        <f>IF(F439&lt;&gt;"",Tabela1[[#This Row],[Iniciais]],"")</f>
        <v/>
      </c>
      <c r="AA439" s="6" t="str">
        <f>IF($F439&lt;&gt;"",RIGHT(Tabela1[[#This Row],[Ref.]],2),"")</f>
        <v/>
      </c>
      <c r="AB439" s="46" t="str">
        <f>IF($F439&lt;&gt;"",DATE(LEFT(Tabela1[[#This Row],[Ref.]],4),RIGHT(Tabela1[[#This Row],[Ref.]],2),1),"")</f>
        <v/>
      </c>
      <c r="AC439" s="4" t="str">
        <f t="shared" si="39"/>
        <v/>
      </c>
      <c r="AD439" s="5" t="str">
        <f t="shared" si="40"/>
        <v/>
      </c>
      <c r="AE439" s="4"/>
      <c r="AF439" s="6" t="str">
        <f t="shared" si="41"/>
        <v/>
      </c>
    </row>
    <row r="440" spans="1:32" ht="15.75" customHeight="1" x14ac:dyDescent="0.2">
      <c r="A440" s="42"/>
      <c r="B440" s="44"/>
      <c r="C440" s="41"/>
      <c r="D440" s="41"/>
      <c r="E440" s="41"/>
      <c r="F440" s="11"/>
      <c r="G440" s="11"/>
      <c r="H440" s="43"/>
      <c r="K440" s="25"/>
      <c r="M440" s="31"/>
      <c r="N440" s="31"/>
      <c r="O440" s="33"/>
      <c r="Q440" s="6" t="str">
        <f>IF($F440&lt;&gt;"",RIGHT(Tabela1[[#This Row],[Ref.]],2),"")</f>
        <v/>
      </c>
      <c r="R440" s="6" t="str">
        <f t="shared" si="36"/>
        <v/>
      </c>
      <c r="S440" s="4" t="str">
        <f>IF($F440&lt;&gt;"",_xlfn.XLOOKUP(F440,Naturezas!B:B,Naturezas!E:E,"",0,1),"")</f>
        <v/>
      </c>
      <c r="T440" s="4" t="str">
        <f>IF($F440&lt;&gt;"",_xlfn.XLOOKUP($F440,Naturezas!B:B,Naturezas!D:D,"",0,1),"")</f>
        <v/>
      </c>
      <c r="U440" s="5" t="str">
        <f>IF(F440&lt;&gt;"",IF(OR(F440=Naturezas!$B$3,F440=Naturezas!$B$4,F440=Naturezas!$B$5,F440=Naturezas!$B$17,F440=Naturezas!$B$18,F440=Naturezas!$B$19),H440,-H440),"")</f>
        <v/>
      </c>
      <c r="V440" s="4" t="str">
        <f t="shared" si="37"/>
        <v/>
      </c>
      <c r="W440" s="4"/>
      <c r="X440" s="4" t="str">
        <f t="shared" si="38"/>
        <v/>
      </c>
      <c r="Y440" s="6" t="str">
        <f>IF(F440&lt;&gt;"",Tabela1[[#This Row],[Iniciais]],"")</f>
        <v/>
      </c>
      <c r="AA440" s="6" t="str">
        <f>IF($F440&lt;&gt;"",RIGHT(Tabela1[[#This Row],[Ref.]],2),"")</f>
        <v/>
      </c>
      <c r="AB440" s="46" t="str">
        <f>IF($F440&lt;&gt;"",DATE(LEFT(Tabela1[[#This Row],[Ref.]],4),RIGHT(Tabela1[[#This Row],[Ref.]],2),1),"")</f>
        <v/>
      </c>
      <c r="AC440" s="4" t="str">
        <f t="shared" si="39"/>
        <v/>
      </c>
      <c r="AD440" s="5" t="str">
        <f t="shared" si="40"/>
        <v/>
      </c>
      <c r="AE440" s="4"/>
      <c r="AF440" s="6" t="str">
        <f t="shared" si="41"/>
        <v/>
      </c>
    </row>
    <row r="441" spans="1:32" ht="15.75" customHeight="1" x14ac:dyDescent="0.2">
      <c r="A441" s="42"/>
      <c r="B441" s="44"/>
      <c r="C441" s="41"/>
      <c r="D441" s="41"/>
      <c r="E441" s="41"/>
      <c r="F441" s="11"/>
      <c r="G441" s="11"/>
      <c r="H441" s="43"/>
      <c r="K441" s="25"/>
      <c r="M441" s="31"/>
      <c r="N441" s="31"/>
      <c r="O441" s="33"/>
      <c r="Q441" s="6" t="str">
        <f>IF($F441&lt;&gt;"",RIGHT(Tabela1[[#This Row],[Ref.]],2),"")</f>
        <v/>
      </c>
      <c r="R441" s="6" t="str">
        <f t="shared" si="36"/>
        <v/>
      </c>
      <c r="S441" s="4" t="str">
        <f>IF($F441&lt;&gt;"",_xlfn.XLOOKUP(F441,Naturezas!B:B,Naturezas!E:E,"",0,1),"")</f>
        <v/>
      </c>
      <c r="T441" s="4" t="str">
        <f>IF($F441&lt;&gt;"",_xlfn.XLOOKUP($F441,Naturezas!B:B,Naturezas!D:D,"",0,1),"")</f>
        <v/>
      </c>
      <c r="U441" s="5" t="str">
        <f>IF(F441&lt;&gt;"",IF(OR(F441=Naturezas!$B$3,F441=Naturezas!$B$4,F441=Naturezas!$B$5,F441=Naturezas!$B$17,F441=Naturezas!$B$18,F441=Naturezas!$B$19),H441,-H441),"")</f>
        <v/>
      </c>
      <c r="V441" s="4" t="str">
        <f t="shared" si="37"/>
        <v/>
      </c>
      <c r="W441" s="4"/>
      <c r="X441" s="4" t="str">
        <f t="shared" si="38"/>
        <v/>
      </c>
      <c r="Y441" s="6" t="str">
        <f>IF(F441&lt;&gt;"",Tabela1[[#This Row],[Iniciais]],"")</f>
        <v/>
      </c>
      <c r="AA441" s="6" t="str">
        <f>IF($F441&lt;&gt;"",RIGHT(Tabela1[[#This Row],[Ref.]],2),"")</f>
        <v/>
      </c>
      <c r="AB441" s="46" t="str">
        <f>IF($F441&lt;&gt;"",DATE(LEFT(Tabela1[[#This Row],[Ref.]],4),RIGHT(Tabela1[[#This Row],[Ref.]],2),1),"")</f>
        <v/>
      </c>
      <c r="AC441" s="4" t="str">
        <f t="shared" si="39"/>
        <v/>
      </c>
      <c r="AD441" s="5" t="str">
        <f t="shared" si="40"/>
        <v/>
      </c>
      <c r="AE441" s="4"/>
      <c r="AF441" s="6" t="str">
        <f t="shared" si="41"/>
        <v/>
      </c>
    </row>
    <row r="442" spans="1:32" ht="15.75" customHeight="1" x14ac:dyDescent="0.2">
      <c r="A442" s="42"/>
      <c r="B442" s="44"/>
      <c r="C442" s="41"/>
      <c r="D442" s="41"/>
      <c r="E442" s="41"/>
      <c r="F442" s="11"/>
      <c r="G442" s="11"/>
      <c r="H442" s="43"/>
      <c r="K442" s="25"/>
      <c r="M442" s="31"/>
      <c r="N442" s="31"/>
      <c r="O442" s="33"/>
      <c r="Q442" s="6" t="str">
        <f>IF($F442&lt;&gt;"",RIGHT(Tabela1[[#This Row],[Ref.]],2),"")</f>
        <v/>
      </c>
      <c r="R442" s="6" t="str">
        <f t="shared" si="36"/>
        <v/>
      </c>
      <c r="S442" s="4" t="str">
        <f>IF($F442&lt;&gt;"",_xlfn.XLOOKUP(F442,Naturezas!B:B,Naturezas!E:E,"",0,1),"")</f>
        <v/>
      </c>
      <c r="T442" s="4" t="str">
        <f>IF($F442&lt;&gt;"",_xlfn.XLOOKUP($F442,Naturezas!B:B,Naturezas!D:D,"",0,1),"")</f>
        <v/>
      </c>
      <c r="U442" s="5" t="str">
        <f>IF(F442&lt;&gt;"",IF(OR(F442=Naturezas!$B$3,F442=Naturezas!$B$4,F442=Naturezas!$B$5,F442=Naturezas!$B$17,F442=Naturezas!$B$18,F442=Naturezas!$B$19),H442,-H442),"")</f>
        <v/>
      </c>
      <c r="V442" s="4" t="str">
        <f t="shared" si="37"/>
        <v/>
      </c>
      <c r="W442" s="4"/>
      <c r="X442" s="4" t="str">
        <f t="shared" si="38"/>
        <v/>
      </c>
      <c r="Y442" s="6" t="str">
        <f>IF(F442&lt;&gt;"",Tabela1[[#This Row],[Iniciais]],"")</f>
        <v/>
      </c>
      <c r="AA442" s="6" t="str">
        <f>IF($F442&lt;&gt;"",RIGHT(Tabela1[[#This Row],[Ref.]],2),"")</f>
        <v/>
      </c>
      <c r="AB442" s="46" t="str">
        <f>IF($F442&lt;&gt;"",DATE(LEFT(Tabela1[[#This Row],[Ref.]],4),RIGHT(Tabela1[[#This Row],[Ref.]],2),1),"")</f>
        <v/>
      </c>
      <c r="AC442" s="4" t="str">
        <f t="shared" si="39"/>
        <v/>
      </c>
      <c r="AD442" s="5" t="str">
        <f t="shared" si="40"/>
        <v/>
      </c>
      <c r="AE442" s="4"/>
      <c r="AF442" s="6" t="str">
        <f t="shared" si="41"/>
        <v/>
      </c>
    </row>
    <row r="443" spans="1:32" ht="15.75" customHeight="1" x14ac:dyDescent="0.2">
      <c r="A443" s="42"/>
      <c r="B443" s="44"/>
      <c r="C443" s="41"/>
      <c r="D443" s="41"/>
      <c r="E443" s="41"/>
      <c r="F443" s="11"/>
      <c r="G443" s="11"/>
      <c r="H443" s="43"/>
      <c r="K443" s="25"/>
      <c r="M443" s="31"/>
      <c r="N443" s="31"/>
      <c r="O443" s="33"/>
      <c r="Q443" s="6" t="str">
        <f>IF($F443&lt;&gt;"",RIGHT(Tabela1[[#This Row],[Ref.]],2),"")</f>
        <v/>
      </c>
      <c r="R443" s="6" t="str">
        <f t="shared" si="36"/>
        <v/>
      </c>
      <c r="S443" s="4" t="str">
        <f>IF($F443&lt;&gt;"",_xlfn.XLOOKUP(F443,Naturezas!B:B,Naturezas!E:E,"",0,1),"")</f>
        <v/>
      </c>
      <c r="T443" s="4" t="str">
        <f>IF($F443&lt;&gt;"",_xlfn.XLOOKUP($F443,Naturezas!B:B,Naturezas!D:D,"",0,1),"")</f>
        <v/>
      </c>
      <c r="U443" s="5" t="str">
        <f>IF(F443&lt;&gt;"",IF(OR(F443=Naturezas!$B$3,F443=Naturezas!$B$4,F443=Naturezas!$B$5,F443=Naturezas!$B$17,F443=Naturezas!$B$18,F443=Naturezas!$B$19),H443,-H443),"")</f>
        <v/>
      </c>
      <c r="V443" s="4" t="str">
        <f t="shared" si="37"/>
        <v/>
      </c>
      <c r="W443" s="4"/>
      <c r="X443" s="4" t="str">
        <f t="shared" si="38"/>
        <v/>
      </c>
      <c r="Y443" s="6" t="str">
        <f>IF(F443&lt;&gt;"",Tabela1[[#This Row],[Iniciais]],"")</f>
        <v/>
      </c>
      <c r="AA443" s="6" t="str">
        <f>IF($F443&lt;&gt;"",RIGHT(Tabela1[[#This Row],[Ref.]],2),"")</f>
        <v/>
      </c>
      <c r="AB443" s="46" t="str">
        <f>IF($F443&lt;&gt;"",DATE(LEFT(Tabela1[[#This Row],[Ref.]],4),RIGHT(Tabela1[[#This Row],[Ref.]],2),1),"")</f>
        <v/>
      </c>
      <c r="AC443" s="4" t="str">
        <f t="shared" si="39"/>
        <v/>
      </c>
      <c r="AD443" s="5" t="str">
        <f t="shared" si="40"/>
        <v/>
      </c>
      <c r="AE443" s="4"/>
      <c r="AF443" s="6" t="str">
        <f t="shared" si="41"/>
        <v/>
      </c>
    </row>
    <row r="444" spans="1:32" ht="15.75" customHeight="1" x14ac:dyDescent="0.2">
      <c r="A444" s="42"/>
      <c r="B444" s="44"/>
      <c r="C444" s="41"/>
      <c r="D444" s="41"/>
      <c r="E444" s="41"/>
      <c r="F444" s="11"/>
      <c r="G444" s="11"/>
      <c r="H444" s="43"/>
      <c r="K444" s="25"/>
      <c r="M444" s="31"/>
      <c r="N444" s="31"/>
      <c r="O444" s="33"/>
      <c r="Q444" s="6" t="str">
        <f>IF($F444&lt;&gt;"",RIGHT(Tabela1[[#This Row],[Ref.]],2),"")</f>
        <v/>
      </c>
      <c r="R444" s="6" t="str">
        <f t="shared" si="36"/>
        <v/>
      </c>
      <c r="S444" s="4" t="str">
        <f>IF($F444&lt;&gt;"",_xlfn.XLOOKUP(F444,Naturezas!B:B,Naturezas!E:E,"",0,1),"")</f>
        <v/>
      </c>
      <c r="T444" s="4" t="str">
        <f>IF($F444&lt;&gt;"",_xlfn.XLOOKUP($F444,Naturezas!B:B,Naturezas!D:D,"",0,1),"")</f>
        <v/>
      </c>
      <c r="U444" s="5" t="str">
        <f>IF(F444&lt;&gt;"",IF(OR(F444=Naturezas!$B$3,F444=Naturezas!$B$4,F444=Naturezas!$B$5,F444=Naturezas!$B$17,F444=Naturezas!$B$18,F444=Naturezas!$B$19),H444,-H444),"")</f>
        <v/>
      </c>
      <c r="V444" s="4" t="str">
        <f t="shared" si="37"/>
        <v/>
      </c>
      <c r="W444" s="4"/>
      <c r="X444" s="4" t="str">
        <f t="shared" si="38"/>
        <v/>
      </c>
      <c r="Y444" s="6" t="str">
        <f>IF(F444&lt;&gt;"",Tabela1[[#This Row],[Iniciais]],"")</f>
        <v/>
      </c>
      <c r="AA444" s="6" t="str">
        <f>IF($F444&lt;&gt;"",RIGHT(Tabela1[[#This Row],[Ref.]],2),"")</f>
        <v/>
      </c>
      <c r="AB444" s="46" t="str">
        <f>IF($F444&lt;&gt;"",DATE(LEFT(Tabela1[[#This Row],[Ref.]],4),RIGHT(Tabela1[[#This Row],[Ref.]],2),1),"")</f>
        <v/>
      </c>
      <c r="AC444" s="4" t="str">
        <f t="shared" si="39"/>
        <v/>
      </c>
      <c r="AD444" s="5" t="str">
        <f t="shared" si="40"/>
        <v/>
      </c>
      <c r="AE444" s="4"/>
      <c r="AF444" s="6" t="str">
        <f t="shared" si="41"/>
        <v/>
      </c>
    </row>
    <row r="445" spans="1:32" ht="15.75" customHeight="1" x14ac:dyDescent="0.2">
      <c r="A445" s="42"/>
      <c r="B445" s="44"/>
      <c r="C445" s="41"/>
      <c r="D445" s="41"/>
      <c r="E445" s="41"/>
      <c r="F445" s="11"/>
      <c r="G445" s="11"/>
      <c r="H445" s="43"/>
      <c r="K445" s="25"/>
      <c r="M445" s="31"/>
      <c r="N445" s="31"/>
      <c r="O445" s="33"/>
      <c r="Q445" s="6" t="str">
        <f>IF($F445&lt;&gt;"",RIGHT(Tabela1[[#This Row],[Ref.]],2),"")</f>
        <v/>
      </c>
      <c r="R445" s="6" t="str">
        <f t="shared" si="36"/>
        <v/>
      </c>
      <c r="S445" s="4" t="str">
        <f>IF($F445&lt;&gt;"",_xlfn.XLOOKUP(F445,Naturezas!B:B,Naturezas!E:E,"",0,1),"")</f>
        <v/>
      </c>
      <c r="T445" s="4" t="str">
        <f>IF($F445&lt;&gt;"",_xlfn.XLOOKUP($F445,Naturezas!B:B,Naturezas!D:D,"",0,1),"")</f>
        <v/>
      </c>
      <c r="U445" s="5" t="str">
        <f>IF(F445&lt;&gt;"",IF(OR(F445=Naturezas!$B$3,F445=Naturezas!$B$4,F445=Naturezas!$B$5,F445=Naturezas!$B$17,F445=Naturezas!$B$18,F445=Naturezas!$B$19),H445,-H445),"")</f>
        <v/>
      </c>
      <c r="V445" s="4" t="str">
        <f t="shared" si="37"/>
        <v/>
      </c>
      <c r="W445" s="4"/>
      <c r="X445" s="4" t="str">
        <f t="shared" si="38"/>
        <v/>
      </c>
      <c r="Y445" s="6" t="str">
        <f>IF(F445&lt;&gt;"",Tabela1[[#This Row],[Iniciais]],"")</f>
        <v/>
      </c>
      <c r="AA445" s="6" t="str">
        <f>IF($F445&lt;&gt;"",RIGHT(Tabela1[[#This Row],[Ref.]],2),"")</f>
        <v/>
      </c>
      <c r="AB445" s="46" t="str">
        <f>IF($F445&lt;&gt;"",DATE(LEFT(Tabela1[[#This Row],[Ref.]],4),RIGHT(Tabela1[[#This Row],[Ref.]],2),1),"")</f>
        <v/>
      </c>
      <c r="AC445" s="4" t="str">
        <f t="shared" si="39"/>
        <v/>
      </c>
      <c r="AD445" s="5" t="str">
        <f t="shared" si="40"/>
        <v/>
      </c>
      <c r="AE445" s="4"/>
      <c r="AF445" s="6" t="str">
        <f t="shared" si="41"/>
        <v/>
      </c>
    </row>
    <row r="446" spans="1:32" ht="15.75" customHeight="1" x14ac:dyDescent="0.2">
      <c r="A446" s="42"/>
      <c r="B446" s="44"/>
      <c r="C446" s="41"/>
      <c r="D446" s="41"/>
      <c r="E446" s="41"/>
      <c r="F446" s="11"/>
      <c r="G446" s="11"/>
      <c r="H446" s="43"/>
      <c r="K446" s="25"/>
      <c r="M446" s="31"/>
      <c r="N446" s="31"/>
      <c r="O446" s="33"/>
      <c r="Q446" s="6" t="str">
        <f>IF($F446&lt;&gt;"",RIGHT(Tabela1[[#This Row],[Ref.]],2),"")</f>
        <v/>
      </c>
      <c r="R446" s="6" t="str">
        <f t="shared" si="36"/>
        <v/>
      </c>
      <c r="S446" s="4" t="str">
        <f>IF($F446&lt;&gt;"",_xlfn.XLOOKUP(F446,Naturezas!B:B,Naturezas!E:E,"",0,1),"")</f>
        <v/>
      </c>
      <c r="T446" s="4" t="str">
        <f>IF($F446&lt;&gt;"",_xlfn.XLOOKUP($F446,Naturezas!B:B,Naturezas!D:D,"",0,1),"")</f>
        <v/>
      </c>
      <c r="U446" s="5" t="str">
        <f>IF(F446&lt;&gt;"",IF(OR(F446=Naturezas!$B$3,F446=Naturezas!$B$4,F446=Naturezas!$B$5,F446=Naturezas!$B$17,F446=Naturezas!$B$18,F446=Naturezas!$B$19),H446,-H446),"")</f>
        <v/>
      </c>
      <c r="V446" s="4" t="str">
        <f t="shared" si="37"/>
        <v/>
      </c>
      <c r="W446" s="4"/>
      <c r="X446" s="4" t="str">
        <f t="shared" si="38"/>
        <v/>
      </c>
      <c r="Y446" s="6" t="str">
        <f>IF(F446&lt;&gt;"",Tabela1[[#This Row],[Iniciais]],"")</f>
        <v/>
      </c>
      <c r="AA446" s="6" t="str">
        <f>IF($F446&lt;&gt;"",RIGHT(Tabela1[[#This Row],[Ref.]],2),"")</f>
        <v/>
      </c>
      <c r="AB446" s="46" t="str">
        <f>IF($F446&lt;&gt;"",DATE(LEFT(Tabela1[[#This Row],[Ref.]],4),RIGHT(Tabela1[[#This Row],[Ref.]],2),1),"")</f>
        <v/>
      </c>
      <c r="AC446" s="4" t="str">
        <f t="shared" si="39"/>
        <v/>
      </c>
      <c r="AD446" s="5" t="str">
        <f t="shared" si="40"/>
        <v/>
      </c>
      <c r="AE446" s="4"/>
      <c r="AF446" s="6" t="str">
        <f t="shared" si="41"/>
        <v/>
      </c>
    </row>
    <row r="447" spans="1:32" ht="15.75" customHeight="1" x14ac:dyDescent="0.2">
      <c r="A447" s="42"/>
      <c r="B447" s="44"/>
      <c r="C447" s="41"/>
      <c r="D447" s="41"/>
      <c r="E447" s="41"/>
      <c r="F447" s="11"/>
      <c r="G447" s="11"/>
      <c r="H447" s="43"/>
      <c r="K447" s="25"/>
      <c r="M447" s="31"/>
      <c r="N447" s="31"/>
      <c r="O447" s="33"/>
      <c r="Q447" s="6" t="str">
        <f>IF($F447&lt;&gt;"",RIGHT(Tabela1[[#This Row],[Ref.]],2),"")</f>
        <v/>
      </c>
      <c r="R447" s="6" t="str">
        <f t="shared" si="36"/>
        <v/>
      </c>
      <c r="S447" s="4" t="str">
        <f>IF($F447&lt;&gt;"",_xlfn.XLOOKUP(F447,Naturezas!B:B,Naturezas!E:E,"",0,1),"")</f>
        <v/>
      </c>
      <c r="T447" s="4" t="str">
        <f>IF($F447&lt;&gt;"",_xlfn.XLOOKUP($F447,Naturezas!B:B,Naturezas!D:D,"",0,1),"")</f>
        <v/>
      </c>
      <c r="U447" s="5" t="str">
        <f>IF(F447&lt;&gt;"",IF(OR(F447=Naturezas!$B$3,F447=Naturezas!$B$4,F447=Naturezas!$B$5,F447=Naturezas!$B$17,F447=Naturezas!$B$18,F447=Naturezas!$B$19),H447,-H447),"")</f>
        <v/>
      </c>
      <c r="V447" s="4" t="str">
        <f t="shared" si="37"/>
        <v/>
      </c>
      <c r="W447" s="4"/>
      <c r="X447" s="4" t="str">
        <f t="shared" si="38"/>
        <v/>
      </c>
      <c r="Y447" s="6" t="str">
        <f>IF(F447&lt;&gt;"",Tabela1[[#This Row],[Iniciais]],"")</f>
        <v/>
      </c>
      <c r="AA447" s="6" t="str">
        <f>IF($F447&lt;&gt;"",RIGHT(Tabela1[[#This Row],[Ref.]],2),"")</f>
        <v/>
      </c>
      <c r="AB447" s="46" t="str">
        <f>IF($F447&lt;&gt;"",DATE(LEFT(Tabela1[[#This Row],[Ref.]],4),RIGHT(Tabela1[[#This Row],[Ref.]],2),1),"")</f>
        <v/>
      </c>
      <c r="AC447" s="4" t="str">
        <f t="shared" si="39"/>
        <v/>
      </c>
      <c r="AD447" s="5" t="str">
        <f t="shared" si="40"/>
        <v/>
      </c>
      <c r="AE447" s="4"/>
      <c r="AF447" s="6" t="str">
        <f t="shared" si="41"/>
        <v/>
      </c>
    </row>
    <row r="448" spans="1:32" ht="15.75" customHeight="1" x14ac:dyDescent="0.2">
      <c r="A448" s="42"/>
      <c r="B448" s="44"/>
      <c r="C448" s="41"/>
      <c r="D448" s="41"/>
      <c r="E448" s="41"/>
      <c r="F448" s="11"/>
      <c r="G448" s="11"/>
      <c r="H448" s="43"/>
      <c r="K448" s="25"/>
      <c r="M448" s="31"/>
      <c r="N448" s="31"/>
      <c r="O448" s="33"/>
      <c r="Q448" s="6" t="str">
        <f>IF($F448&lt;&gt;"",RIGHT(Tabela1[[#This Row],[Ref.]],2),"")</f>
        <v/>
      </c>
      <c r="R448" s="6" t="str">
        <f t="shared" si="36"/>
        <v/>
      </c>
      <c r="S448" s="4" t="str">
        <f>IF($F448&lt;&gt;"",_xlfn.XLOOKUP(F448,Naturezas!B:B,Naturezas!E:E,"",0,1),"")</f>
        <v/>
      </c>
      <c r="T448" s="4" t="str">
        <f>IF($F448&lt;&gt;"",_xlfn.XLOOKUP($F448,Naturezas!B:B,Naturezas!D:D,"",0,1),"")</f>
        <v/>
      </c>
      <c r="U448" s="5" t="str">
        <f>IF(F448&lt;&gt;"",IF(OR(F448=Naturezas!$B$3,F448=Naturezas!$B$4,F448=Naturezas!$B$5,F448=Naturezas!$B$17,F448=Naturezas!$B$18,F448=Naturezas!$B$19),H448,-H448),"")</f>
        <v/>
      </c>
      <c r="V448" s="4" t="str">
        <f t="shared" si="37"/>
        <v/>
      </c>
      <c r="W448" s="4"/>
      <c r="X448" s="4" t="str">
        <f t="shared" si="38"/>
        <v/>
      </c>
      <c r="Y448" s="6" t="str">
        <f>IF(F448&lt;&gt;"",Tabela1[[#This Row],[Iniciais]],"")</f>
        <v/>
      </c>
      <c r="AA448" s="6" t="str">
        <f>IF($F448&lt;&gt;"",RIGHT(Tabela1[[#This Row],[Ref.]],2),"")</f>
        <v/>
      </c>
      <c r="AB448" s="46" t="str">
        <f>IF($F448&lt;&gt;"",DATE(LEFT(Tabela1[[#This Row],[Ref.]],4),RIGHT(Tabela1[[#This Row],[Ref.]],2),1),"")</f>
        <v/>
      </c>
      <c r="AC448" s="4" t="str">
        <f t="shared" si="39"/>
        <v/>
      </c>
      <c r="AD448" s="5" t="str">
        <f t="shared" si="40"/>
        <v/>
      </c>
      <c r="AE448" s="4"/>
      <c r="AF448" s="6" t="str">
        <f t="shared" si="41"/>
        <v/>
      </c>
    </row>
    <row r="449" spans="1:32" ht="15.75" customHeight="1" x14ac:dyDescent="0.2">
      <c r="A449" s="42"/>
      <c r="B449" s="44"/>
      <c r="C449" s="41"/>
      <c r="D449" s="41"/>
      <c r="E449" s="41"/>
      <c r="F449" s="11"/>
      <c r="G449" s="11"/>
      <c r="H449" s="43"/>
      <c r="K449" s="25"/>
      <c r="M449" s="31"/>
      <c r="N449" s="31"/>
      <c r="O449" s="33"/>
      <c r="Q449" s="6" t="str">
        <f>IF($F449&lt;&gt;"",RIGHT(Tabela1[[#This Row],[Ref.]],2),"")</f>
        <v/>
      </c>
      <c r="R449" s="6" t="str">
        <f t="shared" si="36"/>
        <v/>
      </c>
      <c r="S449" s="4" t="str">
        <f>IF($F449&lt;&gt;"",_xlfn.XLOOKUP(F449,Naturezas!B:B,Naturezas!E:E,"",0,1),"")</f>
        <v/>
      </c>
      <c r="T449" s="4" t="str">
        <f>IF($F449&lt;&gt;"",_xlfn.XLOOKUP($F449,Naturezas!B:B,Naturezas!D:D,"",0,1),"")</f>
        <v/>
      </c>
      <c r="U449" s="5" t="str">
        <f>IF(F449&lt;&gt;"",IF(OR(F449=Naturezas!$B$3,F449=Naturezas!$B$4,F449=Naturezas!$B$5,F449=Naturezas!$B$17,F449=Naturezas!$B$18,F449=Naturezas!$B$19),H449,-H449),"")</f>
        <v/>
      </c>
      <c r="V449" s="4" t="str">
        <f t="shared" si="37"/>
        <v/>
      </c>
      <c r="W449" s="4"/>
      <c r="X449" s="4" t="str">
        <f t="shared" si="38"/>
        <v/>
      </c>
      <c r="Y449" s="6" t="str">
        <f>IF(F449&lt;&gt;"",Tabela1[[#This Row],[Iniciais]],"")</f>
        <v/>
      </c>
      <c r="AA449" s="6" t="str">
        <f>IF($F449&lt;&gt;"",RIGHT(Tabela1[[#This Row],[Ref.]],2),"")</f>
        <v/>
      </c>
      <c r="AB449" s="46" t="str">
        <f>IF($F449&lt;&gt;"",DATE(LEFT(Tabela1[[#This Row],[Ref.]],4),RIGHT(Tabela1[[#This Row],[Ref.]],2),1),"")</f>
        <v/>
      </c>
      <c r="AC449" s="4" t="str">
        <f t="shared" si="39"/>
        <v/>
      </c>
      <c r="AD449" s="5" t="str">
        <f t="shared" si="40"/>
        <v/>
      </c>
      <c r="AE449" s="4"/>
      <c r="AF449" s="6" t="str">
        <f t="shared" si="41"/>
        <v/>
      </c>
    </row>
    <row r="450" spans="1:32" ht="15.75" customHeight="1" x14ac:dyDescent="0.2">
      <c r="A450" s="42"/>
      <c r="B450" s="44"/>
      <c r="C450" s="41"/>
      <c r="D450" s="41"/>
      <c r="E450" s="41"/>
      <c r="F450" s="11"/>
      <c r="G450" s="11"/>
      <c r="H450" s="43"/>
      <c r="K450" s="25"/>
      <c r="M450" s="31"/>
      <c r="N450" s="31"/>
      <c r="O450" s="33"/>
      <c r="Q450" s="6" t="str">
        <f>IF($F450&lt;&gt;"",RIGHT(Tabela1[[#This Row],[Ref.]],2),"")</f>
        <v/>
      </c>
      <c r="R450" s="6" t="str">
        <f t="shared" si="36"/>
        <v/>
      </c>
      <c r="S450" s="4" t="str">
        <f>IF($F450&lt;&gt;"",_xlfn.XLOOKUP(F450,Naturezas!B:B,Naturezas!E:E,"",0,1),"")</f>
        <v/>
      </c>
      <c r="T450" s="4" t="str">
        <f>IF($F450&lt;&gt;"",_xlfn.XLOOKUP($F450,Naturezas!B:B,Naturezas!D:D,"",0,1),"")</f>
        <v/>
      </c>
      <c r="U450" s="5" t="str">
        <f>IF(F450&lt;&gt;"",IF(OR(F450=Naturezas!$B$3,F450=Naturezas!$B$4,F450=Naturezas!$B$5,F450=Naturezas!$B$17,F450=Naturezas!$B$18,F450=Naturezas!$B$19),H450,-H450),"")</f>
        <v/>
      </c>
      <c r="V450" s="4" t="str">
        <f t="shared" si="37"/>
        <v/>
      </c>
      <c r="W450" s="4"/>
      <c r="X450" s="4" t="str">
        <f t="shared" si="38"/>
        <v/>
      </c>
      <c r="Y450" s="6" t="str">
        <f>IF(F450&lt;&gt;"",Tabela1[[#This Row],[Iniciais]],"")</f>
        <v/>
      </c>
      <c r="AA450" s="6" t="str">
        <f>IF($F450&lt;&gt;"",RIGHT(Tabela1[[#This Row],[Ref.]],2),"")</f>
        <v/>
      </c>
      <c r="AB450" s="46" t="str">
        <f>IF($F450&lt;&gt;"",DATE(LEFT(Tabela1[[#This Row],[Ref.]],4),RIGHT(Tabela1[[#This Row],[Ref.]],2),1),"")</f>
        <v/>
      </c>
      <c r="AC450" s="4" t="str">
        <f t="shared" si="39"/>
        <v/>
      </c>
      <c r="AD450" s="5" t="str">
        <f t="shared" si="40"/>
        <v/>
      </c>
      <c r="AE450" s="4"/>
      <c r="AF450" s="6" t="str">
        <f t="shared" si="41"/>
        <v/>
      </c>
    </row>
    <row r="451" spans="1:32" ht="15.75" customHeight="1" x14ac:dyDescent="0.2">
      <c r="A451" s="42"/>
      <c r="B451" s="44"/>
      <c r="C451" s="41"/>
      <c r="D451" s="41"/>
      <c r="E451" s="41"/>
      <c r="F451" s="11"/>
      <c r="G451" s="11"/>
      <c r="H451" s="43"/>
      <c r="K451" s="25"/>
      <c r="M451" s="31"/>
      <c r="N451" s="31"/>
      <c r="O451" s="33"/>
      <c r="Q451" s="6" t="str">
        <f>IF($F451&lt;&gt;"",RIGHT(Tabela1[[#This Row],[Ref.]],2),"")</f>
        <v/>
      </c>
      <c r="R451" s="6" t="str">
        <f t="shared" si="36"/>
        <v/>
      </c>
      <c r="S451" s="4" t="str">
        <f>IF($F451&lt;&gt;"",_xlfn.XLOOKUP(F451,Naturezas!B:B,Naturezas!E:E,"",0,1),"")</f>
        <v/>
      </c>
      <c r="T451" s="4" t="str">
        <f>IF($F451&lt;&gt;"",_xlfn.XLOOKUP($F451,Naturezas!B:B,Naturezas!D:D,"",0,1),"")</f>
        <v/>
      </c>
      <c r="U451" s="5" t="str">
        <f>IF(F451&lt;&gt;"",IF(OR(F451=Naturezas!$B$3,F451=Naturezas!$B$4,F451=Naturezas!$B$5,F451=Naturezas!$B$17,F451=Naturezas!$B$18,F451=Naturezas!$B$19),H451,-H451),"")</f>
        <v/>
      </c>
      <c r="V451" s="4" t="str">
        <f t="shared" si="37"/>
        <v/>
      </c>
      <c r="W451" s="4"/>
      <c r="X451" s="4" t="str">
        <f t="shared" si="38"/>
        <v/>
      </c>
      <c r="Y451" s="6" t="str">
        <f>IF(F451&lt;&gt;"",Tabela1[[#This Row],[Iniciais]],"")</f>
        <v/>
      </c>
      <c r="AA451" s="6" t="str">
        <f>IF($F451&lt;&gt;"",RIGHT(Tabela1[[#This Row],[Ref.]],2),"")</f>
        <v/>
      </c>
      <c r="AB451" s="46" t="str">
        <f>IF($F451&lt;&gt;"",DATE(LEFT(Tabela1[[#This Row],[Ref.]],4),RIGHT(Tabela1[[#This Row],[Ref.]],2),1),"")</f>
        <v/>
      </c>
      <c r="AC451" s="4" t="str">
        <f t="shared" si="39"/>
        <v/>
      </c>
      <c r="AD451" s="5" t="str">
        <f t="shared" si="40"/>
        <v/>
      </c>
      <c r="AE451" s="4"/>
      <c r="AF451" s="6" t="str">
        <f t="shared" si="41"/>
        <v/>
      </c>
    </row>
    <row r="452" spans="1:32" ht="15.75" customHeight="1" x14ac:dyDescent="0.2">
      <c r="A452" s="42"/>
      <c r="B452" s="44"/>
      <c r="C452" s="41"/>
      <c r="D452" s="41"/>
      <c r="E452" s="41"/>
      <c r="F452" s="11"/>
      <c r="G452" s="11"/>
      <c r="H452" s="43"/>
      <c r="K452" s="25"/>
      <c r="M452" s="31"/>
      <c r="N452" s="31"/>
      <c r="O452" s="33"/>
      <c r="Q452" s="6" t="str">
        <f>IF($F452&lt;&gt;"",RIGHT(Tabela1[[#This Row],[Ref.]],2),"")</f>
        <v/>
      </c>
      <c r="R452" s="6" t="str">
        <f t="shared" si="36"/>
        <v/>
      </c>
      <c r="S452" s="4" t="str">
        <f>IF($F452&lt;&gt;"",_xlfn.XLOOKUP(F452,Naturezas!B:B,Naturezas!E:E,"",0,1),"")</f>
        <v/>
      </c>
      <c r="T452" s="4" t="str">
        <f>IF($F452&lt;&gt;"",_xlfn.XLOOKUP($F452,Naturezas!B:B,Naturezas!D:D,"",0,1),"")</f>
        <v/>
      </c>
      <c r="U452" s="5" t="str">
        <f>IF(F452&lt;&gt;"",IF(OR(F452=Naturezas!$B$3,F452=Naturezas!$B$4,F452=Naturezas!$B$5,F452=Naturezas!$B$17,F452=Naturezas!$B$18,F452=Naturezas!$B$19),H452,-H452),"")</f>
        <v/>
      </c>
      <c r="V452" s="4" t="str">
        <f t="shared" si="37"/>
        <v/>
      </c>
      <c r="W452" s="4"/>
      <c r="X452" s="4" t="str">
        <f t="shared" si="38"/>
        <v/>
      </c>
      <c r="Y452" s="6" t="str">
        <f>IF(F452&lt;&gt;"",Tabela1[[#This Row],[Iniciais]],"")</f>
        <v/>
      </c>
      <c r="AA452" s="6" t="str">
        <f>IF($F452&lt;&gt;"",RIGHT(Tabela1[[#This Row],[Ref.]],2),"")</f>
        <v/>
      </c>
      <c r="AB452" s="46" t="str">
        <f>IF($F452&lt;&gt;"",DATE(LEFT(Tabela1[[#This Row],[Ref.]],4),RIGHT(Tabela1[[#This Row],[Ref.]],2),1),"")</f>
        <v/>
      </c>
      <c r="AC452" s="4" t="str">
        <f t="shared" si="39"/>
        <v/>
      </c>
      <c r="AD452" s="5" t="str">
        <f t="shared" si="40"/>
        <v/>
      </c>
      <c r="AE452" s="4"/>
      <c r="AF452" s="6" t="str">
        <f t="shared" si="41"/>
        <v/>
      </c>
    </row>
    <row r="453" spans="1:32" ht="15.75" customHeight="1" x14ac:dyDescent="0.2">
      <c r="A453" s="42"/>
      <c r="B453" s="44"/>
      <c r="C453" s="41"/>
      <c r="D453" s="41"/>
      <c r="E453" s="41"/>
      <c r="F453" s="11"/>
      <c r="G453" s="11"/>
      <c r="H453" s="43"/>
      <c r="K453" s="25"/>
      <c r="M453" s="31"/>
      <c r="N453" s="31"/>
      <c r="O453" s="33"/>
      <c r="Q453" s="6" t="str">
        <f>IF($F453&lt;&gt;"",RIGHT(Tabela1[[#This Row],[Ref.]],2),"")</f>
        <v/>
      </c>
      <c r="R453" s="6" t="str">
        <f t="shared" si="36"/>
        <v/>
      </c>
      <c r="S453" s="4" t="str">
        <f>IF($F453&lt;&gt;"",_xlfn.XLOOKUP(F453,Naturezas!B:B,Naturezas!E:E,"",0,1),"")</f>
        <v/>
      </c>
      <c r="T453" s="4" t="str">
        <f>IF($F453&lt;&gt;"",_xlfn.XLOOKUP($F453,Naturezas!B:B,Naturezas!D:D,"",0,1),"")</f>
        <v/>
      </c>
      <c r="U453" s="5" t="str">
        <f>IF(F453&lt;&gt;"",IF(OR(F453=Naturezas!$B$3,F453=Naturezas!$B$4,F453=Naturezas!$B$5,F453=Naturezas!$B$17,F453=Naturezas!$B$18,F453=Naturezas!$B$19),H453,-H453),"")</f>
        <v/>
      </c>
      <c r="V453" s="4" t="str">
        <f t="shared" si="37"/>
        <v/>
      </c>
      <c r="W453" s="4"/>
      <c r="X453" s="4" t="str">
        <f t="shared" si="38"/>
        <v/>
      </c>
      <c r="Y453" s="6" t="str">
        <f>IF(F453&lt;&gt;"",Tabela1[[#This Row],[Iniciais]],"")</f>
        <v/>
      </c>
      <c r="AA453" s="6" t="str">
        <f>IF($F453&lt;&gt;"",RIGHT(Tabela1[[#This Row],[Ref.]],2),"")</f>
        <v/>
      </c>
      <c r="AB453" s="46" t="str">
        <f>IF($F453&lt;&gt;"",DATE(LEFT(Tabela1[[#This Row],[Ref.]],4),RIGHT(Tabela1[[#This Row],[Ref.]],2),1),"")</f>
        <v/>
      </c>
      <c r="AC453" s="4" t="str">
        <f t="shared" si="39"/>
        <v/>
      </c>
      <c r="AD453" s="5" t="str">
        <f t="shared" si="40"/>
        <v/>
      </c>
      <c r="AE453" s="4"/>
      <c r="AF453" s="6" t="str">
        <f t="shared" si="41"/>
        <v/>
      </c>
    </row>
    <row r="454" spans="1:32" ht="15.75" customHeight="1" x14ac:dyDescent="0.2">
      <c r="A454" s="42"/>
      <c r="B454" s="44"/>
      <c r="C454" s="41"/>
      <c r="D454" s="41"/>
      <c r="E454" s="41"/>
      <c r="F454" s="11"/>
      <c r="G454" s="11"/>
      <c r="H454" s="43"/>
      <c r="K454" s="25"/>
      <c r="M454" s="31"/>
      <c r="N454" s="31"/>
      <c r="O454" s="33"/>
      <c r="Q454" s="6" t="str">
        <f>IF($F454&lt;&gt;"",RIGHT(Tabela1[[#This Row],[Ref.]],2),"")</f>
        <v/>
      </c>
      <c r="R454" s="6" t="str">
        <f t="shared" si="36"/>
        <v/>
      </c>
      <c r="S454" s="4" t="str">
        <f>IF($F454&lt;&gt;"",_xlfn.XLOOKUP(F454,Naturezas!B:B,Naturezas!E:E,"",0,1),"")</f>
        <v/>
      </c>
      <c r="T454" s="4" t="str">
        <f>IF($F454&lt;&gt;"",_xlfn.XLOOKUP($F454,Naturezas!B:B,Naturezas!D:D,"",0,1),"")</f>
        <v/>
      </c>
      <c r="U454" s="5" t="str">
        <f>IF(F454&lt;&gt;"",IF(OR(F454=Naturezas!$B$3,F454=Naturezas!$B$4,F454=Naturezas!$B$5,F454=Naturezas!$B$17,F454=Naturezas!$B$18,F454=Naturezas!$B$19),H454,-H454),"")</f>
        <v/>
      </c>
      <c r="V454" s="4" t="str">
        <f t="shared" si="37"/>
        <v/>
      </c>
      <c r="W454" s="4"/>
      <c r="X454" s="4" t="str">
        <f t="shared" si="38"/>
        <v/>
      </c>
      <c r="Y454" s="6" t="str">
        <f>IF(F454&lt;&gt;"",Tabela1[[#This Row],[Iniciais]],"")</f>
        <v/>
      </c>
      <c r="AA454" s="6" t="str">
        <f>IF($F454&lt;&gt;"",RIGHT(Tabela1[[#This Row],[Ref.]],2),"")</f>
        <v/>
      </c>
      <c r="AB454" s="46" t="str">
        <f>IF($F454&lt;&gt;"",DATE(LEFT(Tabela1[[#This Row],[Ref.]],4),RIGHT(Tabela1[[#This Row],[Ref.]],2),1),"")</f>
        <v/>
      </c>
      <c r="AC454" s="4" t="str">
        <f t="shared" si="39"/>
        <v/>
      </c>
      <c r="AD454" s="5" t="str">
        <f t="shared" si="40"/>
        <v/>
      </c>
      <c r="AE454" s="4"/>
      <c r="AF454" s="6" t="str">
        <f t="shared" si="41"/>
        <v/>
      </c>
    </row>
    <row r="455" spans="1:32" ht="15.75" customHeight="1" x14ac:dyDescent="0.2">
      <c r="A455" s="42"/>
      <c r="B455" s="44"/>
      <c r="C455" s="41"/>
      <c r="D455" s="41"/>
      <c r="E455" s="41"/>
      <c r="F455" s="11"/>
      <c r="G455" s="11"/>
      <c r="H455" s="43"/>
      <c r="K455" s="25"/>
      <c r="M455" s="31"/>
      <c r="N455" s="31"/>
      <c r="O455" s="33"/>
      <c r="Q455" s="6" t="str">
        <f>IF($F455&lt;&gt;"",RIGHT(Tabela1[[#This Row],[Ref.]],2),"")</f>
        <v/>
      </c>
      <c r="R455" s="6" t="str">
        <f t="shared" si="36"/>
        <v/>
      </c>
      <c r="S455" s="4" t="str">
        <f>IF($F455&lt;&gt;"",_xlfn.XLOOKUP(F455,Naturezas!B:B,Naturezas!E:E,"",0,1),"")</f>
        <v/>
      </c>
      <c r="T455" s="4" t="str">
        <f>IF($F455&lt;&gt;"",_xlfn.XLOOKUP($F455,Naturezas!B:B,Naturezas!D:D,"",0,1),"")</f>
        <v/>
      </c>
      <c r="U455" s="5" t="str">
        <f>IF(F455&lt;&gt;"",IF(OR(F455=Naturezas!$B$3,F455=Naturezas!$B$4,F455=Naturezas!$B$5,F455=Naturezas!$B$17,F455=Naturezas!$B$18,F455=Naturezas!$B$19),H455,-H455),"")</f>
        <v/>
      </c>
      <c r="V455" s="4" t="str">
        <f t="shared" si="37"/>
        <v/>
      </c>
      <c r="W455" s="4"/>
      <c r="X455" s="4" t="str">
        <f t="shared" si="38"/>
        <v/>
      </c>
      <c r="Y455" s="6" t="str">
        <f>IF(F455&lt;&gt;"",Tabela1[[#This Row],[Iniciais]],"")</f>
        <v/>
      </c>
      <c r="AA455" s="6" t="str">
        <f>IF($F455&lt;&gt;"",RIGHT(Tabela1[[#This Row],[Ref.]],2),"")</f>
        <v/>
      </c>
      <c r="AB455" s="46" t="str">
        <f>IF($F455&lt;&gt;"",DATE(LEFT(Tabela1[[#This Row],[Ref.]],4),RIGHT(Tabela1[[#This Row],[Ref.]],2),1),"")</f>
        <v/>
      </c>
      <c r="AC455" s="4" t="str">
        <f t="shared" si="39"/>
        <v/>
      </c>
      <c r="AD455" s="5" t="str">
        <f t="shared" si="40"/>
        <v/>
      </c>
      <c r="AE455" s="4"/>
      <c r="AF455" s="6" t="str">
        <f t="shared" si="41"/>
        <v/>
      </c>
    </row>
    <row r="456" spans="1:32" ht="15.75" customHeight="1" x14ac:dyDescent="0.2">
      <c r="A456" s="42"/>
      <c r="B456" s="44"/>
      <c r="C456" s="41"/>
      <c r="D456" s="41"/>
      <c r="E456" s="41"/>
      <c r="F456" s="11"/>
      <c r="G456" s="11"/>
      <c r="H456" s="43"/>
      <c r="K456" s="25"/>
      <c r="M456" s="31"/>
      <c r="N456" s="31"/>
      <c r="O456" s="33"/>
      <c r="Q456" s="6" t="str">
        <f>IF($F456&lt;&gt;"",RIGHT(Tabela1[[#This Row],[Ref.]],2),"")</f>
        <v/>
      </c>
      <c r="R456" s="6" t="str">
        <f t="shared" si="36"/>
        <v/>
      </c>
      <c r="S456" s="4" t="str">
        <f>IF($F456&lt;&gt;"",_xlfn.XLOOKUP(F456,Naturezas!B:B,Naturezas!E:E,"",0,1),"")</f>
        <v/>
      </c>
      <c r="T456" s="4" t="str">
        <f>IF($F456&lt;&gt;"",_xlfn.XLOOKUP($F456,Naturezas!B:B,Naturezas!D:D,"",0,1),"")</f>
        <v/>
      </c>
      <c r="U456" s="5" t="str">
        <f>IF(F456&lt;&gt;"",IF(OR(F456=Naturezas!$B$3,F456=Naturezas!$B$4,F456=Naturezas!$B$5,F456=Naturezas!$B$17,F456=Naturezas!$B$18,F456=Naturezas!$B$19),H456,-H456),"")</f>
        <v/>
      </c>
      <c r="V456" s="4" t="str">
        <f t="shared" si="37"/>
        <v/>
      </c>
      <c r="W456" s="4"/>
      <c r="X456" s="4" t="str">
        <f t="shared" si="38"/>
        <v/>
      </c>
      <c r="Y456" s="6" t="str">
        <f>IF(F456&lt;&gt;"",Tabela1[[#This Row],[Iniciais]],"")</f>
        <v/>
      </c>
      <c r="AA456" s="6" t="str">
        <f>IF($F456&lt;&gt;"",RIGHT(Tabela1[[#This Row],[Ref.]],2),"")</f>
        <v/>
      </c>
      <c r="AB456" s="46" t="str">
        <f>IF($F456&lt;&gt;"",DATE(LEFT(Tabela1[[#This Row],[Ref.]],4),RIGHT(Tabela1[[#This Row],[Ref.]],2),1),"")</f>
        <v/>
      </c>
      <c r="AC456" s="4" t="str">
        <f t="shared" si="39"/>
        <v/>
      </c>
      <c r="AD456" s="5" t="str">
        <f t="shared" si="40"/>
        <v/>
      </c>
      <c r="AE456" s="4"/>
      <c r="AF456" s="6" t="str">
        <f t="shared" si="41"/>
        <v/>
      </c>
    </row>
    <row r="457" spans="1:32" ht="15.75" customHeight="1" x14ac:dyDescent="0.2">
      <c r="A457" s="42"/>
      <c r="B457" s="44"/>
      <c r="C457" s="41"/>
      <c r="D457" s="41"/>
      <c r="E457" s="41"/>
      <c r="F457" s="11"/>
      <c r="G457" s="11"/>
      <c r="H457" s="43"/>
      <c r="K457" s="25"/>
      <c r="M457" s="31"/>
      <c r="N457" s="31"/>
      <c r="O457" s="33"/>
      <c r="Q457" s="6" t="str">
        <f>IF($F457&lt;&gt;"",RIGHT(Tabela1[[#This Row],[Ref.]],2),"")</f>
        <v/>
      </c>
      <c r="R457" s="6" t="str">
        <f t="shared" si="36"/>
        <v/>
      </c>
      <c r="S457" s="4" t="str">
        <f>IF($F457&lt;&gt;"",_xlfn.XLOOKUP(F457,Naturezas!B:B,Naturezas!E:E,"",0,1),"")</f>
        <v/>
      </c>
      <c r="T457" s="4" t="str">
        <f>IF($F457&lt;&gt;"",_xlfn.XLOOKUP($F457,Naturezas!B:B,Naturezas!D:D,"",0,1),"")</f>
        <v/>
      </c>
      <c r="U457" s="5" t="str">
        <f>IF(F457&lt;&gt;"",IF(OR(F457=Naturezas!$B$3,F457=Naturezas!$B$4,F457=Naturezas!$B$5,F457=Naturezas!$B$17,F457=Naturezas!$B$18,F457=Naturezas!$B$19),H457,-H457),"")</f>
        <v/>
      </c>
      <c r="V457" s="4" t="str">
        <f t="shared" si="37"/>
        <v/>
      </c>
      <c r="W457" s="4"/>
      <c r="X457" s="4" t="str">
        <f t="shared" si="38"/>
        <v/>
      </c>
      <c r="Y457" s="6" t="str">
        <f>IF(F457&lt;&gt;"",Tabela1[[#This Row],[Iniciais]],"")</f>
        <v/>
      </c>
      <c r="AA457" s="6" t="str">
        <f>IF($F457&lt;&gt;"",RIGHT(Tabela1[[#This Row],[Ref.]],2),"")</f>
        <v/>
      </c>
      <c r="AB457" s="46" t="str">
        <f>IF($F457&lt;&gt;"",DATE(LEFT(Tabela1[[#This Row],[Ref.]],4),RIGHT(Tabela1[[#This Row],[Ref.]],2),1),"")</f>
        <v/>
      </c>
      <c r="AC457" s="4" t="str">
        <f t="shared" si="39"/>
        <v/>
      </c>
      <c r="AD457" s="5" t="str">
        <f t="shared" si="40"/>
        <v/>
      </c>
      <c r="AE457" s="4"/>
      <c r="AF457" s="6" t="str">
        <f t="shared" si="41"/>
        <v/>
      </c>
    </row>
    <row r="458" spans="1:32" ht="15.75" customHeight="1" x14ac:dyDescent="0.2">
      <c r="A458" s="42"/>
      <c r="B458" s="44"/>
      <c r="C458" s="41"/>
      <c r="D458" s="41"/>
      <c r="E458" s="41"/>
      <c r="F458" s="11"/>
      <c r="G458" s="11"/>
      <c r="H458" s="43"/>
      <c r="K458" s="25"/>
      <c r="M458" s="31"/>
      <c r="N458" s="31"/>
      <c r="O458" s="33"/>
      <c r="Q458" s="6" t="str">
        <f>IF($F458&lt;&gt;"",RIGHT(Tabela1[[#This Row],[Ref.]],2),"")</f>
        <v/>
      </c>
      <c r="R458" s="6" t="str">
        <f t="shared" ref="R458:R504" si="42">IF($F458&lt;&gt;"",1,"")</f>
        <v/>
      </c>
      <c r="S458" s="4" t="str">
        <f>IF($F458&lt;&gt;"",_xlfn.XLOOKUP(F458,Naturezas!B:B,Naturezas!E:E,"",0,1),"")</f>
        <v/>
      </c>
      <c r="T458" s="4" t="str">
        <f>IF($F458&lt;&gt;"",_xlfn.XLOOKUP($F458,Naturezas!B:B,Naturezas!D:D,"",0,1),"")</f>
        <v/>
      </c>
      <c r="U458" s="5" t="str">
        <f>IF(F458&lt;&gt;"",IF(OR(F458=Naturezas!$B$3,F458=Naturezas!$B$4,F458=Naturezas!$B$5,F458=Naturezas!$B$17,F458=Naturezas!$B$18,F458=Naturezas!$B$19),H458,-H458),"")</f>
        <v/>
      </c>
      <c r="V458" s="4" t="str">
        <f t="shared" ref="V458:V504" si="43">IF(F458&lt;&gt;"",F458,"")</f>
        <v/>
      </c>
      <c r="W458" s="4"/>
      <c r="X458" s="4" t="str">
        <f t="shared" ref="X458:X504" si="44">IF(F458&lt;&gt;"",G458,"")</f>
        <v/>
      </c>
      <c r="Y458" s="6" t="str">
        <f>IF(F458&lt;&gt;"",Tabela1[[#This Row],[Iniciais]],"")</f>
        <v/>
      </c>
      <c r="AA458" s="6" t="str">
        <f>IF($F458&lt;&gt;"",RIGHT(Tabela1[[#This Row],[Ref.]],2),"")</f>
        <v/>
      </c>
      <c r="AB458" s="46" t="str">
        <f>IF($F458&lt;&gt;"",DATE(LEFT(Tabela1[[#This Row],[Ref.]],4),RIGHT(Tabela1[[#This Row],[Ref.]],2),1),"")</f>
        <v/>
      </c>
      <c r="AC458" s="4" t="str">
        <f t="shared" ref="AC458:AC504" si="45">IF($F458&lt;&gt;"",$G458,"")</f>
        <v/>
      </c>
      <c r="AD458" s="5" t="str">
        <f t="shared" ref="AD458:AD504" si="46">IF($F458&lt;&gt;"",$H458,"")</f>
        <v/>
      </c>
      <c r="AE458" s="4"/>
      <c r="AF458" s="6" t="str">
        <f t="shared" ref="AF458:AF504" si="47">IF($F458&lt;&gt;"",$B$2,"")</f>
        <v/>
      </c>
    </row>
    <row r="459" spans="1:32" ht="15.75" customHeight="1" x14ac:dyDescent="0.2">
      <c r="A459" s="42"/>
      <c r="B459" s="44"/>
      <c r="C459" s="41"/>
      <c r="D459" s="41"/>
      <c r="E459" s="41"/>
      <c r="F459" s="11"/>
      <c r="G459" s="11"/>
      <c r="H459" s="43"/>
      <c r="K459" s="25"/>
      <c r="M459" s="31"/>
      <c r="N459" s="31"/>
      <c r="O459" s="33"/>
      <c r="Q459" s="6" t="str">
        <f>IF($F459&lt;&gt;"",RIGHT(Tabela1[[#This Row],[Ref.]],2),"")</f>
        <v/>
      </c>
      <c r="R459" s="6" t="str">
        <f t="shared" si="42"/>
        <v/>
      </c>
      <c r="S459" s="4" t="str">
        <f>IF($F459&lt;&gt;"",_xlfn.XLOOKUP(F459,Naturezas!B:B,Naturezas!E:E,"",0,1),"")</f>
        <v/>
      </c>
      <c r="T459" s="4" t="str">
        <f>IF($F459&lt;&gt;"",_xlfn.XLOOKUP($F459,Naturezas!B:B,Naturezas!D:D,"",0,1),"")</f>
        <v/>
      </c>
      <c r="U459" s="5" t="str">
        <f>IF(F459&lt;&gt;"",IF(OR(F459=Naturezas!$B$3,F459=Naturezas!$B$4,F459=Naturezas!$B$5,F459=Naturezas!$B$17,F459=Naturezas!$B$18,F459=Naturezas!$B$19),H459,-H459),"")</f>
        <v/>
      </c>
      <c r="V459" s="4" t="str">
        <f t="shared" si="43"/>
        <v/>
      </c>
      <c r="W459" s="4"/>
      <c r="X459" s="4" t="str">
        <f t="shared" si="44"/>
        <v/>
      </c>
      <c r="Y459" s="6" t="str">
        <f>IF(F459&lt;&gt;"",Tabela1[[#This Row],[Iniciais]],"")</f>
        <v/>
      </c>
      <c r="AA459" s="6" t="str">
        <f>IF($F459&lt;&gt;"",RIGHT(Tabela1[[#This Row],[Ref.]],2),"")</f>
        <v/>
      </c>
      <c r="AB459" s="46" t="str">
        <f>IF($F459&lt;&gt;"",DATE(LEFT(Tabela1[[#This Row],[Ref.]],4),RIGHT(Tabela1[[#This Row],[Ref.]],2),1),"")</f>
        <v/>
      </c>
      <c r="AC459" s="4" t="str">
        <f t="shared" si="45"/>
        <v/>
      </c>
      <c r="AD459" s="5" t="str">
        <f t="shared" si="46"/>
        <v/>
      </c>
      <c r="AE459" s="4"/>
      <c r="AF459" s="6" t="str">
        <f t="shared" si="47"/>
        <v/>
      </c>
    </row>
    <row r="460" spans="1:32" ht="15.75" customHeight="1" x14ac:dyDescent="0.2">
      <c r="A460" s="42"/>
      <c r="B460" s="44"/>
      <c r="C460" s="41"/>
      <c r="D460" s="41"/>
      <c r="E460" s="41"/>
      <c r="F460" s="11"/>
      <c r="G460" s="11"/>
      <c r="H460" s="43"/>
      <c r="K460" s="25"/>
      <c r="M460" s="31"/>
      <c r="N460" s="31"/>
      <c r="O460" s="33"/>
      <c r="Q460" s="6" t="str">
        <f>IF($F460&lt;&gt;"",RIGHT(Tabela1[[#This Row],[Ref.]],2),"")</f>
        <v/>
      </c>
      <c r="R460" s="6" t="str">
        <f t="shared" si="42"/>
        <v/>
      </c>
      <c r="S460" s="4" t="str">
        <f>IF($F460&lt;&gt;"",_xlfn.XLOOKUP(F460,Naturezas!B:B,Naturezas!E:E,"",0,1),"")</f>
        <v/>
      </c>
      <c r="T460" s="4" t="str">
        <f>IF($F460&lt;&gt;"",_xlfn.XLOOKUP($F460,Naturezas!B:B,Naturezas!D:D,"",0,1),"")</f>
        <v/>
      </c>
      <c r="U460" s="5" t="str">
        <f>IF(F460&lt;&gt;"",IF(OR(F460=Naturezas!$B$3,F460=Naturezas!$B$4,F460=Naturezas!$B$5,F460=Naturezas!$B$17,F460=Naturezas!$B$18,F460=Naturezas!$B$19),H460,-H460),"")</f>
        <v/>
      </c>
      <c r="V460" s="4" t="str">
        <f t="shared" si="43"/>
        <v/>
      </c>
      <c r="W460" s="4"/>
      <c r="X460" s="4" t="str">
        <f t="shared" si="44"/>
        <v/>
      </c>
      <c r="Y460" s="6" t="str">
        <f>IF(F460&lt;&gt;"",Tabela1[[#This Row],[Iniciais]],"")</f>
        <v/>
      </c>
      <c r="AA460" s="6" t="str">
        <f>IF($F460&lt;&gt;"",RIGHT(Tabela1[[#This Row],[Ref.]],2),"")</f>
        <v/>
      </c>
      <c r="AB460" s="46" t="str">
        <f>IF($F460&lt;&gt;"",DATE(LEFT(Tabela1[[#This Row],[Ref.]],4),RIGHT(Tabela1[[#This Row],[Ref.]],2),1),"")</f>
        <v/>
      </c>
      <c r="AC460" s="4" t="str">
        <f t="shared" si="45"/>
        <v/>
      </c>
      <c r="AD460" s="5" t="str">
        <f t="shared" si="46"/>
        <v/>
      </c>
      <c r="AE460" s="4"/>
      <c r="AF460" s="6" t="str">
        <f t="shared" si="47"/>
        <v/>
      </c>
    </row>
    <row r="461" spans="1:32" ht="15.75" customHeight="1" x14ac:dyDescent="0.2">
      <c r="A461" s="42"/>
      <c r="B461" s="44"/>
      <c r="C461" s="41"/>
      <c r="D461" s="41"/>
      <c r="E461" s="41"/>
      <c r="F461" s="11"/>
      <c r="G461" s="11"/>
      <c r="H461" s="43"/>
      <c r="K461" s="25"/>
      <c r="M461" s="31"/>
      <c r="N461" s="31"/>
      <c r="O461" s="33"/>
      <c r="Q461" s="6" t="str">
        <f>IF($F461&lt;&gt;"",RIGHT(Tabela1[[#This Row],[Ref.]],2),"")</f>
        <v/>
      </c>
      <c r="R461" s="6" t="str">
        <f t="shared" si="42"/>
        <v/>
      </c>
      <c r="S461" s="4" t="str">
        <f>IF($F461&lt;&gt;"",_xlfn.XLOOKUP(F461,Naturezas!B:B,Naturezas!E:E,"",0,1),"")</f>
        <v/>
      </c>
      <c r="T461" s="4" t="str">
        <f>IF($F461&lt;&gt;"",_xlfn.XLOOKUP($F461,Naturezas!B:B,Naturezas!D:D,"",0,1),"")</f>
        <v/>
      </c>
      <c r="U461" s="5" t="str">
        <f>IF(F461&lt;&gt;"",IF(OR(F461=Naturezas!$B$3,F461=Naturezas!$B$4,F461=Naturezas!$B$5,F461=Naturezas!$B$17,F461=Naturezas!$B$18,F461=Naturezas!$B$19),H461,-H461),"")</f>
        <v/>
      </c>
      <c r="V461" s="4" t="str">
        <f t="shared" si="43"/>
        <v/>
      </c>
      <c r="W461" s="4"/>
      <c r="X461" s="4" t="str">
        <f t="shared" si="44"/>
        <v/>
      </c>
      <c r="Y461" s="6" t="str">
        <f>IF(F461&lt;&gt;"",Tabela1[[#This Row],[Iniciais]],"")</f>
        <v/>
      </c>
      <c r="AA461" s="6" t="str">
        <f>IF($F461&lt;&gt;"",RIGHT(Tabela1[[#This Row],[Ref.]],2),"")</f>
        <v/>
      </c>
      <c r="AB461" s="46" t="str">
        <f>IF($F461&lt;&gt;"",DATE(LEFT(Tabela1[[#This Row],[Ref.]],4),RIGHT(Tabela1[[#This Row],[Ref.]],2),1),"")</f>
        <v/>
      </c>
      <c r="AC461" s="4" t="str">
        <f t="shared" si="45"/>
        <v/>
      </c>
      <c r="AD461" s="5" t="str">
        <f t="shared" si="46"/>
        <v/>
      </c>
      <c r="AE461" s="4"/>
      <c r="AF461" s="6" t="str">
        <f t="shared" si="47"/>
        <v/>
      </c>
    </row>
    <row r="462" spans="1:32" ht="15.75" customHeight="1" x14ac:dyDescent="0.2">
      <c r="A462" s="42"/>
      <c r="B462" s="44"/>
      <c r="C462" s="41"/>
      <c r="D462" s="41"/>
      <c r="E462" s="41"/>
      <c r="F462" s="11"/>
      <c r="G462" s="11"/>
      <c r="H462" s="43"/>
      <c r="K462" s="25"/>
      <c r="M462" s="31"/>
      <c r="N462" s="31"/>
      <c r="O462" s="33"/>
      <c r="Q462" s="6" t="str">
        <f>IF($F462&lt;&gt;"",RIGHT(Tabela1[[#This Row],[Ref.]],2),"")</f>
        <v/>
      </c>
      <c r="R462" s="6" t="str">
        <f t="shared" si="42"/>
        <v/>
      </c>
      <c r="S462" s="4" t="str">
        <f>IF($F462&lt;&gt;"",_xlfn.XLOOKUP(F462,Naturezas!B:B,Naturezas!E:E,"",0,1),"")</f>
        <v/>
      </c>
      <c r="T462" s="4" t="str">
        <f>IF($F462&lt;&gt;"",_xlfn.XLOOKUP($F462,Naturezas!B:B,Naturezas!D:D,"",0,1),"")</f>
        <v/>
      </c>
      <c r="U462" s="5" t="str">
        <f>IF(F462&lt;&gt;"",IF(OR(F462=Naturezas!$B$3,F462=Naturezas!$B$4,F462=Naturezas!$B$5,F462=Naturezas!$B$17,F462=Naturezas!$B$18,F462=Naturezas!$B$19),H462,-H462),"")</f>
        <v/>
      </c>
      <c r="V462" s="4" t="str">
        <f t="shared" si="43"/>
        <v/>
      </c>
      <c r="W462" s="4"/>
      <c r="X462" s="4" t="str">
        <f t="shared" si="44"/>
        <v/>
      </c>
      <c r="Y462" s="6" t="str">
        <f>IF(F462&lt;&gt;"",Tabela1[[#This Row],[Iniciais]],"")</f>
        <v/>
      </c>
      <c r="AA462" s="6" t="str">
        <f>IF($F462&lt;&gt;"",RIGHT(Tabela1[[#This Row],[Ref.]],2),"")</f>
        <v/>
      </c>
      <c r="AB462" s="46" t="str">
        <f>IF($F462&lt;&gt;"",DATE(LEFT(Tabela1[[#This Row],[Ref.]],4),RIGHT(Tabela1[[#This Row],[Ref.]],2),1),"")</f>
        <v/>
      </c>
      <c r="AC462" s="4" t="str">
        <f t="shared" si="45"/>
        <v/>
      </c>
      <c r="AD462" s="5" t="str">
        <f t="shared" si="46"/>
        <v/>
      </c>
      <c r="AE462" s="4"/>
      <c r="AF462" s="6" t="str">
        <f t="shared" si="47"/>
        <v/>
      </c>
    </row>
    <row r="463" spans="1:32" ht="15.75" customHeight="1" x14ac:dyDescent="0.2">
      <c r="A463" s="42"/>
      <c r="B463" s="44"/>
      <c r="C463" s="41"/>
      <c r="D463" s="41"/>
      <c r="E463" s="41"/>
      <c r="F463" s="11"/>
      <c r="G463" s="11"/>
      <c r="H463" s="43"/>
      <c r="K463" s="25"/>
      <c r="M463" s="31"/>
      <c r="N463" s="31"/>
      <c r="O463" s="33"/>
      <c r="Q463" s="6" t="str">
        <f>IF($F463&lt;&gt;"",RIGHT(Tabela1[[#This Row],[Ref.]],2),"")</f>
        <v/>
      </c>
      <c r="R463" s="6" t="str">
        <f t="shared" si="42"/>
        <v/>
      </c>
      <c r="S463" s="4" t="str">
        <f>IF($F463&lt;&gt;"",_xlfn.XLOOKUP(F463,Naturezas!B:B,Naturezas!E:E,"",0,1),"")</f>
        <v/>
      </c>
      <c r="T463" s="4" t="str">
        <f>IF($F463&lt;&gt;"",_xlfn.XLOOKUP($F463,Naturezas!B:B,Naturezas!D:D,"",0,1),"")</f>
        <v/>
      </c>
      <c r="U463" s="5" t="str">
        <f>IF(F463&lt;&gt;"",IF(OR(F463=Naturezas!$B$3,F463=Naturezas!$B$4,F463=Naturezas!$B$5,F463=Naturezas!$B$17,F463=Naturezas!$B$18,F463=Naturezas!$B$19),H463,-H463),"")</f>
        <v/>
      </c>
      <c r="V463" s="4" t="str">
        <f t="shared" si="43"/>
        <v/>
      </c>
      <c r="W463" s="4"/>
      <c r="X463" s="4" t="str">
        <f t="shared" si="44"/>
        <v/>
      </c>
      <c r="Y463" s="6" t="str">
        <f>IF(F463&lt;&gt;"",Tabela1[[#This Row],[Iniciais]],"")</f>
        <v/>
      </c>
      <c r="AA463" s="6" t="str">
        <f>IF($F463&lt;&gt;"",RIGHT(Tabela1[[#This Row],[Ref.]],2),"")</f>
        <v/>
      </c>
      <c r="AB463" s="46" t="str">
        <f>IF($F463&lt;&gt;"",DATE(LEFT(Tabela1[[#This Row],[Ref.]],4),RIGHT(Tabela1[[#This Row],[Ref.]],2),1),"")</f>
        <v/>
      </c>
      <c r="AC463" s="4" t="str">
        <f t="shared" si="45"/>
        <v/>
      </c>
      <c r="AD463" s="5" t="str">
        <f t="shared" si="46"/>
        <v/>
      </c>
      <c r="AE463" s="4"/>
      <c r="AF463" s="6" t="str">
        <f t="shared" si="47"/>
        <v/>
      </c>
    </row>
    <row r="464" spans="1:32" ht="15.75" customHeight="1" x14ac:dyDescent="0.2">
      <c r="A464" s="42"/>
      <c r="B464" s="44"/>
      <c r="C464" s="41"/>
      <c r="D464" s="41"/>
      <c r="E464" s="41"/>
      <c r="F464" s="11"/>
      <c r="G464" s="11"/>
      <c r="H464" s="43"/>
      <c r="K464" s="25"/>
      <c r="M464" s="31"/>
      <c r="N464" s="31"/>
      <c r="O464" s="33"/>
      <c r="Q464" s="6" t="str">
        <f>IF($F464&lt;&gt;"",RIGHT(Tabela1[[#This Row],[Ref.]],2),"")</f>
        <v/>
      </c>
      <c r="R464" s="6" t="str">
        <f t="shared" si="42"/>
        <v/>
      </c>
      <c r="S464" s="4" t="str">
        <f>IF($F464&lt;&gt;"",_xlfn.XLOOKUP(F464,Naturezas!B:B,Naturezas!E:E,"",0,1),"")</f>
        <v/>
      </c>
      <c r="T464" s="4" t="str">
        <f>IF($F464&lt;&gt;"",_xlfn.XLOOKUP($F464,Naturezas!B:B,Naturezas!D:D,"",0,1),"")</f>
        <v/>
      </c>
      <c r="U464" s="5" t="str">
        <f>IF(F464&lt;&gt;"",IF(OR(F464=Naturezas!$B$3,F464=Naturezas!$B$4,F464=Naturezas!$B$5,F464=Naturezas!$B$17,F464=Naturezas!$B$18,F464=Naturezas!$B$19),H464,-H464),"")</f>
        <v/>
      </c>
      <c r="V464" s="4" t="str">
        <f t="shared" si="43"/>
        <v/>
      </c>
      <c r="W464" s="4"/>
      <c r="X464" s="4" t="str">
        <f t="shared" si="44"/>
        <v/>
      </c>
      <c r="Y464" s="6" t="str">
        <f>IF(F464&lt;&gt;"",Tabela1[[#This Row],[Iniciais]],"")</f>
        <v/>
      </c>
      <c r="AA464" s="6" t="str">
        <f>IF($F464&lt;&gt;"",RIGHT(Tabela1[[#This Row],[Ref.]],2),"")</f>
        <v/>
      </c>
      <c r="AB464" s="46" t="str">
        <f>IF($F464&lt;&gt;"",DATE(LEFT(Tabela1[[#This Row],[Ref.]],4),RIGHT(Tabela1[[#This Row],[Ref.]],2),1),"")</f>
        <v/>
      </c>
      <c r="AC464" s="4" t="str">
        <f t="shared" si="45"/>
        <v/>
      </c>
      <c r="AD464" s="5" t="str">
        <f t="shared" si="46"/>
        <v/>
      </c>
      <c r="AE464" s="4"/>
      <c r="AF464" s="6" t="str">
        <f t="shared" si="47"/>
        <v/>
      </c>
    </row>
    <row r="465" spans="1:32" ht="15.75" customHeight="1" x14ac:dyDescent="0.2">
      <c r="A465" s="42"/>
      <c r="B465" s="44"/>
      <c r="C465" s="41"/>
      <c r="D465" s="41"/>
      <c r="E465" s="41"/>
      <c r="F465" s="11"/>
      <c r="G465" s="11"/>
      <c r="H465" s="43"/>
      <c r="K465" s="25"/>
      <c r="M465" s="31"/>
      <c r="N465" s="31"/>
      <c r="O465" s="33"/>
      <c r="Q465" s="6" t="str">
        <f>IF($F465&lt;&gt;"",RIGHT(Tabela1[[#This Row],[Ref.]],2),"")</f>
        <v/>
      </c>
      <c r="R465" s="6" t="str">
        <f t="shared" si="42"/>
        <v/>
      </c>
      <c r="S465" s="4" t="str">
        <f>IF($F465&lt;&gt;"",_xlfn.XLOOKUP(F465,Naturezas!B:B,Naturezas!E:E,"",0,1),"")</f>
        <v/>
      </c>
      <c r="T465" s="4" t="str">
        <f>IF($F465&lt;&gt;"",_xlfn.XLOOKUP($F465,Naturezas!B:B,Naturezas!D:D,"",0,1),"")</f>
        <v/>
      </c>
      <c r="U465" s="5" t="str">
        <f>IF(F465&lt;&gt;"",IF(OR(F465=Naturezas!$B$3,F465=Naturezas!$B$4,F465=Naturezas!$B$5,F465=Naturezas!$B$17,F465=Naturezas!$B$18,F465=Naturezas!$B$19),H465,-H465),"")</f>
        <v/>
      </c>
      <c r="V465" s="4" t="str">
        <f t="shared" si="43"/>
        <v/>
      </c>
      <c r="W465" s="4"/>
      <c r="X465" s="4" t="str">
        <f t="shared" si="44"/>
        <v/>
      </c>
      <c r="Y465" s="6" t="str">
        <f>IF(F465&lt;&gt;"",Tabela1[[#This Row],[Iniciais]],"")</f>
        <v/>
      </c>
      <c r="AA465" s="6" t="str">
        <f>IF($F465&lt;&gt;"",RIGHT(Tabela1[[#This Row],[Ref.]],2),"")</f>
        <v/>
      </c>
      <c r="AB465" s="46" t="str">
        <f>IF($F465&lt;&gt;"",DATE(LEFT(Tabela1[[#This Row],[Ref.]],4),RIGHT(Tabela1[[#This Row],[Ref.]],2),1),"")</f>
        <v/>
      </c>
      <c r="AC465" s="4" t="str">
        <f t="shared" si="45"/>
        <v/>
      </c>
      <c r="AD465" s="5" t="str">
        <f t="shared" si="46"/>
        <v/>
      </c>
      <c r="AE465" s="4"/>
      <c r="AF465" s="6" t="str">
        <f t="shared" si="47"/>
        <v/>
      </c>
    </row>
    <row r="466" spans="1:32" ht="15.75" customHeight="1" x14ac:dyDescent="0.2">
      <c r="A466" s="42"/>
      <c r="B466" s="44"/>
      <c r="C466" s="41"/>
      <c r="D466" s="41"/>
      <c r="E466" s="41"/>
      <c r="F466" s="11"/>
      <c r="G466" s="11"/>
      <c r="H466" s="43"/>
      <c r="K466" s="25"/>
      <c r="M466" s="31"/>
      <c r="N466" s="31"/>
      <c r="O466" s="33"/>
      <c r="Q466" s="6" t="str">
        <f>IF($F466&lt;&gt;"",RIGHT(Tabela1[[#This Row],[Ref.]],2),"")</f>
        <v/>
      </c>
      <c r="R466" s="6" t="str">
        <f t="shared" si="42"/>
        <v/>
      </c>
      <c r="S466" s="4" t="str">
        <f>IF($F466&lt;&gt;"",_xlfn.XLOOKUP(F466,Naturezas!B:B,Naturezas!E:E,"",0,1),"")</f>
        <v/>
      </c>
      <c r="T466" s="4" t="str">
        <f>IF($F466&lt;&gt;"",_xlfn.XLOOKUP($F466,Naturezas!B:B,Naturezas!D:D,"",0,1),"")</f>
        <v/>
      </c>
      <c r="U466" s="5" t="str">
        <f>IF(F466&lt;&gt;"",IF(OR(F466=Naturezas!$B$3,F466=Naturezas!$B$4,F466=Naturezas!$B$5,F466=Naturezas!$B$17,F466=Naturezas!$B$18,F466=Naturezas!$B$19),H466,-H466),"")</f>
        <v/>
      </c>
      <c r="V466" s="4" t="str">
        <f t="shared" si="43"/>
        <v/>
      </c>
      <c r="W466" s="4"/>
      <c r="X466" s="4" t="str">
        <f t="shared" si="44"/>
        <v/>
      </c>
      <c r="Y466" s="6" t="str">
        <f>IF(F466&lt;&gt;"",Tabela1[[#This Row],[Iniciais]],"")</f>
        <v/>
      </c>
      <c r="AA466" s="6" t="str">
        <f>IF($F466&lt;&gt;"",RIGHT(Tabela1[[#This Row],[Ref.]],2),"")</f>
        <v/>
      </c>
      <c r="AB466" s="46" t="str">
        <f>IF($F466&lt;&gt;"",DATE(LEFT(Tabela1[[#This Row],[Ref.]],4),RIGHT(Tabela1[[#This Row],[Ref.]],2),1),"")</f>
        <v/>
      </c>
      <c r="AC466" s="4" t="str">
        <f t="shared" si="45"/>
        <v/>
      </c>
      <c r="AD466" s="5" t="str">
        <f t="shared" si="46"/>
        <v/>
      </c>
      <c r="AE466" s="4"/>
      <c r="AF466" s="6" t="str">
        <f t="shared" si="47"/>
        <v/>
      </c>
    </row>
    <row r="467" spans="1:32" ht="15.75" customHeight="1" x14ac:dyDescent="0.2">
      <c r="A467" s="42"/>
      <c r="B467" s="44"/>
      <c r="C467" s="41"/>
      <c r="D467" s="41"/>
      <c r="E467" s="41"/>
      <c r="F467" s="11"/>
      <c r="G467" s="11"/>
      <c r="H467" s="43"/>
      <c r="K467" s="25"/>
      <c r="M467" s="31"/>
      <c r="N467" s="31"/>
      <c r="O467" s="33"/>
      <c r="Q467" s="6" t="str">
        <f>IF($F467&lt;&gt;"",RIGHT(Tabela1[[#This Row],[Ref.]],2),"")</f>
        <v/>
      </c>
      <c r="R467" s="6" t="str">
        <f t="shared" si="42"/>
        <v/>
      </c>
      <c r="S467" s="4" t="str">
        <f>IF($F467&lt;&gt;"",_xlfn.XLOOKUP(F467,Naturezas!B:B,Naturezas!E:E,"",0,1),"")</f>
        <v/>
      </c>
      <c r="T467" s="4" t="str">
        <f>IF($F467&lt;&gt;"",_xlfn.XLOOKUP($F467,Naturezas!B:B,Naturezas!D:D,"",0,1),"")</f>
        <v/>
      </c>
      <c r="U467" s="5" t="str">
        <f>IF(F467&lt;&gt;"",IF(OR(F467=Naturezas!$B$3,F467=Naturezas!$B$4,F467=Naturezas!$B$5,F467=Naturezas!$B$17,F467=Naturezas!$B$18,F467=Naturezas!$B$19),H467,-H467),"")</f>
        <v/>
      </c>
      <c r="V467" s="4" t="str">
        <f t="shared" si="43"/>
        <v/>
      </c>
      <c r="W467" s="4"/>
      <c r="X467" s="4" t="str">
        <f t="shared" si="44"/>
        <v/>
      </c>
      <c r="Y467" s="6" t="str">
        <f>IF(F467&lt;&gt;"",Tabela1[[#This Row],[Iniciais]],"")</f>
        <v/>
      </c>
      <c r="AA467" s="6" t="str">
        <f>IF($F467&lt;&gt;"",RIGHT(Tabela1[[#This Row],[Ref.]],2),"")</f>
        <v/>
      </c>
      <c r="AB467" s="46" t="str">
        <f>IF($F467&lt;&gt;"",DATE(LEFT(Tabela1[[#This Row],[Ref.]],4),RIGHT(Tabela1[[#This Row],[Ref.]],2),1),"")</f>
        <v/>
      </c>
      <c r="AC467" s="4" t="str">
        <f t="shared" si="45"/>
        <v/>
      </c>
      <c r="AD467" s="5" t="str">
        <f t="shared" si="46"/>
        <v/>
      </c>
      <c r="AE467" s="4"/>
      <c r="AF467" s="6" t="str">
        <f t="shared" si="47"/>
        <v/>
      </c>
    </row>
    <row r="468" spans="1:32" ht="15.75" customHeight="1" x14ac:dyDescent="0.2">
      <c r="A468" s="42"/>
      <c r="B468" s="44"/>
      <c r="C468" s="41"/>
      <c r="D468" s="41"/>
      <c r="E468" s="41"/>
      <c r="F468" s="11"/>
      <c r="G468" s="11"/>
      <c r="H468" s="43"/>
      <c r="K468" s="25"/>
      <c r="M468" s="31"/>
      <c r="N468" s="31"/>
      <c r="O468" s="33"/>
      <c r="Q468" s="6" t="str">
        <f>IF($F468&lt;&gt;"",RIGHT(Tabela1[[#This Row],[Ref.]],2),"")</f>
        <v/>
      </c>
      <c r="R468" s="6" t="str">
        <f t="shared" si="42"/>
        <v/>
      </c>
      <c r="S468" s="4" t="str">
        <f>IF($F468&lt;&gt;"",_xlfn.XLOOKUP(F468,Naturezas!B:B,Naturezas!E:E,"",0,1),"")</f>
        <v/>
      </c>
      <c r="T468" s="4" t="str">
        <f>IF($F468&lt;&gt;"",_xlfn.XLOOKUP($F468,Naturezas!B:B,Naturezas!D:D,"",0,1),"")</f>
        <v/>
      </c>
      <c r="U468" s="5" t="str">
        <f>IF(F468&lt;&gt;"",IF(OR(F468=Naturezas!$B$3,F468=Naturezas!$B$4,F468=Naturezas!$B$5,F468=Naturezas!$B$17,F468=Naturezas!$B$18,F468=Naturezas!$B$19),H468,-H468),"")</f>
        <v/>
      </c>
      <c r="V468" s="4" t="str">
        <f t="shared" si="43"/>
        <v/>
      </c>
      <c r="W468" s="4"/>
      <c r="X468" s="4" t="str">
        <f t="shared" si="44"/>
        <v/>
      </c>
      <c r="Y468" s="6" t="str">
        <f>IF(F468&lt;&gt;"",Tabela1[[#This Row],[Iniciais]],"")</f>
        <v/>
      </c>
      <c r="AA468" s="6" t="str">
        <f>IF($F468&lt;&gt;"",RIGHT(Tabela1[[#This Row],[Ref.]],2),"")</f>
        <v/>
      </c>
      <c r="AB468" s="46" t="str">
        <f>IF($F468&lt;&gt;"",DATE(LEFT(Tabela1[[#This Row],[Ref.]],4),RIGHT(Tabela1[[#This Row],[Ref.]],2),1),"")</f>
        <v/>
      </c>
      <c r="AC468" s="4" t="str">
        <f t="shared" si="45"/>
        <v/>
      </c>
      <c r="AD468" s="5" t="str">
        <f t="shared" si="46"/>
        <v/>
      </c>
      <c r="AE468" s="4"/>
      <c r="AF468" s="6" t="str">
        <f t="shared" si="47"/>
        <v/>
      </c>
    </row>
    <row r="469" spans="1:32" ht="15.75" customHeight="1" x14ac:dyDescent="0.2">
      <c r="A469" s="42"/>
      <c r="B469" s="44"/>
      <c r="C469" s="41"/>
      <c r="D469" s="41"/>
      <c r="E469" s="41"/>
      <c r="F469" s="11"/>
      <c r="G469" s="11"/>
      <c r="H469" s="43"/>
      <c r="K469" s="25"/>
      <c r="M469" s="31"/>
      <c r="N469" s="31"/>
      <c r="O469" s="33"/>
      <c r="Q469" s="6" t="str">
        <f>IF($F469&lt;&gt;"",RIGHT(Tabela1[[#This Row],[Ref.]],2),"")</f>
        <v/>
      </c>
      <c r="R469" s="6" t="str">
        <f t="shared" si="42"/>
        <v/>
      </c>
      <c r="S469" s="4" t="str">
        <f>IF($F469&lt;&gt;"",_xlfn.XLOOKUP(F469,Naturezas!B:B,Naturezas!E:E,"",0,1),"")</f>
        <v/>
      </c>
      <c r="T469" s="4" t="str">
        <f>IF($F469&lt;&gt;"",_xlfn.XLOOKUP($F469,Naturezas!B:B,Naturezas!D:D,"",0,1),"")</f>
        <v/>
      </c>
      <c r="U469" s="5" t="str">
        <f>IF(F469&lt;&gt;"",IF(OR(F469=Naturezas!$B$3,F469=Naturezas!$B$4,F469=Naturezas!$B$5,F469=Naturezas!$B$17,F469=Naturezas!$B$18,F469=Naturezas!$B$19),H469,-H469),"")</f>
        <v/>
      </c>
      <c r="V469" s="4" t="str">
        <f t="shared" si="43"/>
        <v/>
      </c>
      <c r="W469" s="4"/>
      <c r="X469" s="4" t="str">
        <f t="shared" si="44"/>
        <v/>
      </c>
      <c r="Y469" s="6" t="str">
        <f>IF(F469&lt;&gt;"",Tabela1[[#This Row],[Iniciais]],"")</f>
        <v/>
      </c>
      <c r="AA469" s="6" t="str">
        <f>IF($F469&lt;&gt;"",RIGHT(Tabela1[[#This Row],[Ref.]],2),"")</f>
        <v/>
      </c>
      <c r="AB469" s="46" t="str">
        <f>IF($F469&lt;&gt;"",DATE(LEFT(Tabela1[[#This Row],[Ref.]],4),RIGHT(Tabela1[[#This Row],[Ref.]],2),1),"")</f>
        <v/>
      </c>
      <c r="AC469" s="4" t="str">
        <f t="shared" si="45"/>
        <v/>
      </c>
      <c r="AD469" s="5" t="str">
        <f t="shared" si="46"/>
        <v/>
      </c>
      <c r="AE469" s="4"/>
      <c r="AF469" s="6" t="str">
        <f t="shared" si="47"/>
        <v/>
      </c>
    </row>
    <row r="470" spans="1:32" ht="15.75" customHeight="1" x14ac:dyDescent="0.2">
      <c r="A470" s="42"/>
      <c r="B470" s="44"/>
      <c r="C470" s="41"/>
      <c r="D470" s="41"/>
      <c r="E470" s="41"/>
      <c r="F470" s="11"/>
      <c r="G470" s="11"/>
      <c r="H470" s="43"/>
      <c r="K470" s="25"/>
      <c r="M470" s="31"/>
      <c r="N470" s="31"/>
      <c r="O470" s="33"/>
      <c r="Q470" s="6" t="str">
        <f>IF($F470&lt;&gt;"",RIGHT(Tabela1[[#This Row],[Ref.]],2),"")</f>
        <v/>
      </c>
      <c r="R470" s="6" t="str">
        <f t="shared" si="42"/>
        <v/>
      </c>
      <c r="S470" s="4" t="str">
        <f>IF($F470&lt;&gt;"",_xlfn.XLOOKUP(F470,Naturezas!B:B,Naturezas!E:E,"",0,1),"")</f>
        <v/>
      </c>
      <c r="T470" s="4" t="str">
        <f>IF($F470&lt;&gt;"",_xlfn.XLOOKUP($F470,Naturezas!B:B,Naturezas!D:D,"",0,1),"")</f>
        <v/>
      </c>
      <c r="U470" s="5" t="str">
        <f>IF(F470&lt;&gt;"",IF(OR(F470=Naturezas!$B$3,F470=Naturezas!$B$4,F470=Naturezas!$B$5,F470=Naturezas!$B$17,F470=Naturezas!$B$18,F470=Naturezas!$B$19),H470,-H470),"")</f>
        <v/>
      </c>
      <c r="V470" s="4" t="str">
        <f t="shared" si="43"/>
        <v/>
      </c>
      <c r="W470" s="4"/>
      <c r="X470" s="4" t="str">
        <f t="shared" si="44"/>
        <v/>
      </c>
      <c r="Y470" s="6" t="str">
        <f>IF(F470&lt;&gt;"",Tabela1[[#This Row],[Iniciais]],"")</f>
        <v/>
      </c>
      <c r="AA470" s="6" t="str">
        <f>IF($F470&lt;&gt;"",RIGHT(Tabela1[[#This Row],[Ref.]],2),"")</f>
        <v/>
      </c>
      <c r="AB470" s="46" t="str">
        <f>IF($F470&lt;&gt;"",DATE(LEFT(Tabela1[[#This Row],[Ref.]],4),RIGHT(Tabela1[[#This Row],[Ref.]],2),1),"")</f>
        <v/>
      </c>
      <c r="AC470" s="4" t="str">
        <f t="shared" si="45"/>
        <v/>
      </c>
      <c r="AD470" s="5" t="str">
        <f t="shared" si="46"/>
        <v/>
      </c>
      <c r="AE470" s="4"/>
      <c r="AF470" s="6" t="str">
        <f t="shared" si="47"/>
        <v/>
      </c>
    </row>
    <row r="471" spans="1:32" ht="15.75" customHeight="1" x14ac:dyDescent="0.2">
      <c r="A471" s="42"/>
      <c r="B471" s="44"/>
      <c r="C471" s="41"/>
      <c r="D471" s="41"/>
      <c r="E471" s="41"/>
      <c r="F471" s="11"/>
      <c r="G471" s="11"/>
      <c r="H471" s="43"/>
      <c r="K471" s="25"/>
      <c r="M471" s="31"/>
      <c r="N471" s="31"/>
      <c r="O471" s="33"/>
      <c r="Q471" s="6" t="str">
        <f>IF($F471&lt;&gt;"",RIGHT(Tabela1[[#This Row],[Ref.]],2),"")</f>
        <v/>
      </c>
      <c r="R471" s="6" t="str">
        <f t="shared" si="42"/>
        <v/>
      </c>
      <c r="S471" s="4" t="str">
        <f>IF($F471&lt;&gt;"",_xlfn.XLOOKUP(F471,Naturezas!B:B,Naturezas!E:E,"",0,1),"")</f>
        <v/>
      </c>
      <c r="T471" s="4" t="str">
        <f>IF($F471&lt;&gt;"",_xlfn.XLOOKUP($F471,Naturezas!B:B,Naturezas!D:D,"",0,1),"")</f>
        <v/>
      </c>
      <c r="U471" s="5" t="str">
        <f>IF(F471&lt;&gt;"",IF(OR(F471=Naturezas!$B$3,F471=Naturezas!$B$4,F471=Naturezas!$B$5,F471=Naturezas!$B$17,F471=Naturezas!$B$18,F471=Naturezas!$B$19),H471,-H471),"")</f>
        <v/>
      </c>
      <c r="V471" s="4" t="str">
        <f t="shared" si="43"/>
        <v/>
      </c>
      <c r="W471" s="4"/>
      <c r="X471" s="4" t="str">
        <f t="shared" si="44"/>
        <v/>
      </c>
      <c r="Y471" s="6" t="str">
        <f>IF(F471&lt;&gt;"",Tabela1[[#This Row],[Iniciais]],"")</f>
        <v/>
      </c>
      <c r="AA471" s="6" t="str">
        <f>IF($F471&lt;&gt;"",RIGHT(Tabela1[[#This Row],[Ref.]],2),"")</f>
        <v/>
      </c>
      <c r="AB471" s="46" t="str">
        <f>IF($F471&lt;&gt;"",DATE(LEFT(Tabela1[[#This Row],[Ref.]],4),RIGHT(Tabela1[[#This Row],[Ref.]],2),1),"")</f>
        <v/>
      </c>
      <c r="AC471" s="4" t="str">
        <f t="shared" si="45"/>
        <v/>
      </c>
      <c r="AD471" s="5" t="str">
        <f t="shared" si="46"/>
        <v/>
      </c>
      <c r="AE471" s="4"/>
      <c r="AF471" s="6" t="str">
        <f t="shared" si="47"/>
        <v/>
      </c>
    </row>
    <row r="472" spans="1:32" ht="15.75" customHeight="1" x14ac:dyDescent="0.2">
      <c r="A472" s="42"/>
      <c r="B472" s="44"/>
      <c r="C472" s="41"/>
      <c r="D472" s="41"/>
      <c r="E472" s="41"/>
      <c r="F472" s="11"/>
      <c r="G472" s="11"/>
      <c r="H472" s="43"/>
      <c r="K472" s="25"/>
      <c r="M472" s="31"/>
      <c r="N472" s="31"/>
      <c r="O472" s="33"/>
      <c r="Q472" s="6" t="str">
        <f>IF($F472&lt;&gt;"",RIGHT(Tabela1[[#This Row],[Ref.]],2),"")</f>
        <v/>
      </c>
      <c r="R472" s="6" t="str">
        <f t="shared" si="42"/>
        <v/>
      </c>
      <c r="S472" s="4" t="str">
        <f>IF($F472&lt;&gt;"",_xlfn.XLOOKUP(F472,Naturezas!B:B,Naturezas!E:E,"",0,1),"")</f>
        <v/>
      </c>
      <c r="T472" s="4" t="str">
        <f>IF($F472&lt;&gt;"",_xlfn.XLOOKUP($F472,Naturezas!B:B,Naturezas!D:D,"",0,1),"")</f>
        <v/>
      </c>
      <c r="U472" s="5" t="str">
        <f>IF(F472&lt;&gt;"",IF(OR(F472=Naturezas!$B$3,F472=Naturezas!$B$4,F472=Naturezas!$B$5,F472=Naturezas!$B$17,F472=Naturezas!$B$18,F472=Naturezas!$B$19),H472,-H472),"")</f>
        <v/>
      </c>
      <c r="V472" s="4" t="str">
        <f t="shared" si="43"/>
        <v/>
      </c>
      <c r="W472" s="4"/>
      <c r="X472" s="4" t="str">
        <f t="shared" si="44"/>
        <v/>
      </c>
      <c r="Y472" s="6" t="str">
        <f>IF(F472&lt;&gt;"",Tabela1[[#This Row],[Iniciais]],"")</f>
        <v/>
      </c>
      <c r="AA472" s="6" t="str">
        <f>IF($F472&lt;&gt;"",RIGHT(Tabela1[[#This Row],[Ref.]],2),"")</f>
        <v/>
      </c>
      <c r="AB472" s="46" t="str">
        <f>IF($F472&lt;&gt;"",DATE(LEFT(Tabela1[[#This Row],[Ref.]],4),RIGHT(Tabela1[[#This Row],[Ref.]],2),1),"")</f>
        <v/>
      </c>
      <c r="AC472" s="4" t="str">
        <f t="shared" si="45"/>
        <v/>
      </c>
      <c r="AD472" s="5" t="str">
        <f t="shared" si="46"/>
        <v/>
      </c>
      <c r="AE472" s="4"/>
      <c r="AF472" s="6" t="str">
        <f t="shared" si="47"/>
        <v/>
      </c>
    </row>
    <row r="473" spans="1:32" ht="15.75" customHeight="1" x14ac:dyDescent="0.2">
      <c r="A473" s="42"/>
      <c r="B473" s="44"/>
      <c r="C473" s="41"/>
      <c r="D473" s="41"/>
      <c r="E473" s="41"/>
      <c r="F473" s="11"/>
      <c r="G473" s="11"/>
      <c r="H473" s="43"/>
      <c r="K473" s="25"/>
      <c r="M473" s="31"/>
      <c r="N473" s="31"/>
      <c r="O473" s="33"/>
      <c r="Q473" s="6" t="str">
        <f>IF($F473&lt;&gt;"",RIGHT(Tabela1[[#This Row],[Ref.]],2),"")</f>
        <v/>
      </c>
      <c r="R473" s="6" t="str">
        <f t="shared" si="42"/>
        <v/>
      </c>
      <c r="S473" s="4" t="str">
        <f>IF($F473&lt;&gt;"",_xlfn.XLOOKUP(F473,Naturezas!B:B,Naturezas!E:E,"",0,1),"")</f>
        <v/>
      </c>
      <c r="T473" s="4" t="str">
        <f>IF($F473&lt;&gt;"",_xlfn.XLOOKUP($F473,Naturezas!B:B,Naturezas!D:D,"",0,1),"")</f>
        <v/>
      </c>
      <c r="U473" s="5" t="str">
        <f>IF(F473&lt;&gt;"",IF(OR(F473=Naturezas!$B$3,F473=Naturezas!$B$4,F473=Naturezas!$B$5,F473=Naturezas!$B$17,F473=Naturezas!$B$18,F473=Naturezas!$B$19),H473,-H473),"")</f>
        <v/>
      </c>
      <c r="V473" s="4" t="str">
        <f t="shared" si="43"/>
        <v/>
      </c>
      <c r="W473" s="4"/>
      <c r="X473" s="4" t="str">
        <f t="shared" si="44"/>
        <v/>
      </c>
      <c r="Y473" s="6" t="str">
        <f>IF(F473&lt;&gt;"",Tabela1[[#This Row],[Iniciais]],"")</f>
        <v/>
      </c>
      <c r="AA473" s="6" t="str">
        <f>IF($F473&lt;&gt;"",RIGHT(Tabela1[[#This Row],[Ref.]],2),"")</f>
        <v/>
      </c>
      <c r="AB473" s="46" t="str">
        <f>IF($F473&lt;&gt;"",DATE(LEFT(Tabela1[[#This Row],[Ref.]],4),RIGHT(Tabela1[[#This Row],[Ref.]],2),1),"")</f>
        <v/>
      </c>
      <c r="AC473" s="4" t="str">
        <f t="shared" si="45"/>
        <v/>
      </c>
      <c r="AD473" s="5" t="str">
        <f t="shared" si="46"/>
        <v/>
      </c>
      <c r="AE473" s="4"/>
      <c r="AF473" s="6" t="str">
        <f t="shared" si="47"/>
        <v/>
      </c>
    </row>
    <row r="474" spans="1:32" ht="15.75" customHeight="1" x14ac:dyDescent="0.2">
      <c r="A474" s="42"/>
      <c r="B474" s="44"/>
      <c r="C474" s="41"/>
      <c r="D474" s="41"/>
      <c r="E474" s="41"/>
      <c r="F474" s="11"/>
      <c r="G474" s="11"/>
      <c r="H474" s="43"/>
      <c r="K474" s="25"/>
      <c r="M474" s="31"/>
      <c r="N474" s="31"/>
      <c r="O474" s="33"/>
      <c r="Q474" s="6" t="str">
        <f>IF($F474&lt;&gt;"",RIGHT(Tabela1[[#This Row],[Ref.]],2),"")</f>
        <v/>
      </c>
      <c r="R474" s="6" t="str">
        <f t="shared" si="42"/>
        <v/>
      </c>
      <c r="S474" s="4" t="str">
        <f>IF($F474&lt;&gt;"",_xlfn.XLOOKUP(F474,Naturezas!B:B,Naturezas!E:E,"",0,1),"")</f>
        <v/>
      </c>
      <c r="T474" s="4" t="str">
        <f>IF($F474&lt;&gt;"",_xlfn.XLOOKUP($F474,Naturezas!B:B,Naturezas!D:D,"",0,1),"")</f>
        <v/>
      </c>
      <c r="U474" s="5" t="str">
        <f>IF(F474&lt;&gt;"",IF(OR(F474=Naturezas!$B$3,F474=Naturezas!$B$4,F474=Naturezas!$B$5,F474=Naturezas!$B$17,F474=Naturezas!$B$18,F474=Naturezas!$B$19),H474,-H474),"")</f>
        <v/>
      </c>
      <c r="V474" s="4" t="str">
        <f t="shared" si="43"/>
        <v/>
      </c>
      <c r="W474" s="4"/>
      <c r="X474" s="4" t="str">
        <f t="shared" si="44"/>
        <v/>
      </c>
      <c r="Y474" s="6" t="str">
        <f>IF(F474&lt;&gt;"",Tabela1[[#This Row],[Iniciais]],"")</f>
        <v/>
      </c>
      <c r="AA474" s="6" t="str">
        <f>IF($F474&lt;&gt;"",RIGHT(Tabela1[[#This Row],[Ref.]],2),"")</f>
        <v/>
      </c>
      <c r="AB474" s="46" t="str">
        <f>IF($F474&lt;&gt;"",DATE(LEFT(Tabela1[[#This Row],[Ref.]],4),RIGHT(Tabela1[[#This Row],[Ref.]],2),1),"")</f>
        <v/>
      </c>
      <c r="AC474" s="4" t="str">
        <f t="shared" si="45"/>
        <v/>
      </c>
      <c r="AD474" s="5" t="str">
        <f t="shared" si="46"/>
        <v/>
      </c>
      <c r="AE474" s="4"/>
      <c r="AF474" s="6" t="str">
        <f t="shared" si="47"/>
        <v/>
      </c>
    </row>
    <row r="475" spans="1:32" ht="15.75" customHeight="1" x14ac:dyDescent="0.2">
      <c r="A475" s="42"/>
      <c r="B475" s="44"/>
      <c r="C475" s="41"/>
      <c r="D475" s="41"/>
      <c r="E475" s="41"/>
      <c r="F475" s="11"/>
      <c r="G475" s="11"/>
      <c r="H475" s="43"/>
      <c r="K475" s="25"/>
      <c r="M475" s="31"/>
      <c r="N475" s="31"/>
      <c r="O475" s="33"/>
      <c r="Q475" s="6" t="str">
        <f>IF($F475&lt;&gt;"",RIGHT(Tabela1[[#This Row],[Ref.]],2),"")</f>
        <v/>
      </c>
      <c r="R475" s="6" t="str">
        <f t="shared" si="42"/>
        <v/>
      </c>
      <c r="S475" s="4" t="str">
        <f>IF($F475&lt;&gt;"",_xlfn.XLOOKUP(F475,Naturezas!B:B,Naturezas!E:E,"",0,1),"")</f>
        <v/>
      </c>
      <c r="T475" s="4" t="str">
        <f>IF($F475&lt;&gt;"",_xlfn.XLOOKUP($F475,Naturezas!B:B,Naturezas!D:D,"",0,1),"")</f>
        <v/>
      </c>
      <c r="U475" s="5" t="str">
        <f>IF(F475&lt;&gt;"",IF(OR(F475=Naturezas!$B$3,F475=Naturezas!$B$4,F475=Naturezas!$B$5,F475=Naturezas!$B$17,F475=Naturezas!$B$18,F475=Naturezas!$B$19),H475,-H475),"")</f>
        <v/>
      </c>
      <c r="V475" s="4" t="str">
        <f t="shared" si="43"/>
        <v/>
      </c>
      <c r="W475" s="4"/>
      <c r="X475" s="4" t="str">
        <f t="shared" si="44"/>
        <v/>
      </c>
      <c r="Y475" s="6" t="str">
        <f>IF(F475&lt;&gt;"",Tabela1[[#This Row],[Iniciais]],"")</f>
        <v/>
      </c>
      <c r="AA475" s="6" t="str">
        <f>IF($F475&lt;&gt;"",RIGHT(Tabela1[[#This Row],[Ref.]],2),"")</f>
        <v/>
      </c>
      <c r="AB475" s="46" t="str">
        <f>IF($F475&lt;&gt;"",DATE(LEFT(Tabela1[[#This Row],[Ref.]],4),RIGHT(Tabela1[[#This Row],[Ref.]],2),1),"")</f>
        <v/>
      </c>
      <c r="AC475" s="4" t="str">
        <f t="shared" si="45"/>
        <v/>
      </c>
      <c r="AD475" s="5" t="str">
        <f t="shared" si="46"/>
        <v/>
      </c>
      <c r="AE475" s="4"/>
      <c r="AF475" s="6" t="str">
        <f t="shared" si="47"/>
        <v/>
      </c>
    </row>
    <row r="476" spans="1:32" ht="15.75" customHeight="1" x14ac:dyDescent="0.2">
      <c r="A476" s="42"/>
      <c r="B476" s="44"/>
      <c r="C476" s="41"/>
      <c r="D476" s="41"/>
      <c r="E476" s="41"/>
      <c r="F476" s="11"/>
      <c r="G476" s="11"/>
      <c r="H476" s="43"/>
      <c r="K476" s="25"/>
      <c r="M476" s="31"/>
      <c r="N476" s="31"/>
      <c r="O476" s="33"/>
      <c r="Q476" s="6" t="str">
        <f>IF($F476&lt;&gt;"",RIGHT(Tabela1[[#This Row],[Ref.]],2),"")</f>
        <v/>
      </c>
      <c r="R476" s="6" t="str">
        <f t="shared" si="42"/>
        <v/>
      </c>
      <c r="S476" s="4" t="str">
        <f>IF($F476&lt;&gt;"",_xlfn.XLOOKUP(F476,Naturezas!B:B,Naturezas!E:E,"",0,1),"")</f>
        <v/>
      </c>
      <c r="T476" s="4" t="str">
        <f>IF($F476&lt;&gt;"",_xlfn.XLOOKUP($F476,Naturezas!B:B,Naturezas!D:D,"",0,1),"")</f>
        <v/>
      </c>
      <c r="U476" s="5" t="str">
        <f>IF(F476&lt;&gt;"",IF(OR(F476=Naturezas!$B$3,F476=Naturezas!$B$4,F476=Naturezas!$B$5,F476=Naturezas!$B$17,F476=Naturezas!$B$18,F476=Naturezas!$B$19),H476,-H476),"")</f>
        <v/>
      </c>
      <c r="V476" s="4" t="str">
        <f t="shared" si="43"/>
        <v/>
      </c>
      <c r="W476" s="4"/>
      <c r="X476" s="4" t="str">
        <f t="shared" si="44"/>
        <v/>
      </c>
      <c r="Y476" s="6" t="str">
        <f>IF(F476&lt;&gt;"",Tabela1[[#This Row],[Iniciais]],"")</f>
        <v/>
      </c>
      <c r="AA476" s="6" t="str">
        <f>IF($F476&lt;&gt;"",RIGHT(Tabela1[[#This Row],[Ref.]],2),"")</f>
        <v/>
      </c>
      <c r="AB476" s="46" t="str">
        <f>IF($F476&lt;&gt;"",DATE(LEFT(Tabela1[[#This Row],[Ref.]],4),RIGHT(Tabela1[[#This Row],[Ref.]],2),1),"")</f>
        <v/>
      </c>
      <c r="AC476" s="4" t="str">
        <f t="shared" si="45"/>
        <v/>
      </c>
      <c r="AD476" s="5" t="str">
        <f t="shared" si="46"/>
        <v/>
      </c>
      <c r="AE476" s="4"/>
      <c r="AF476" s="6" t="str">
        <f t="shared" si="47"/>
        <v/>
      </c>
    </row>
    <row r="477" spans="1:32" ht="15.75" customHeight="1" x14ac:dyDescent="0.2">
      <c r="A477" s="42"/>
      <c r="B477" s="44"/>
      <c r="C477" s="41"/>
      <c r="D477" s="41"/>
      <c r="E477" s="41"/>
      <c r="F477" s="11"/>
      <c r="G477" s="11"/>
      <c r="H477" s="43"/>
      <c r="K477" s="25"/>
      <c r="M477" s="31"/>
      <c r="N477" s="31"/>
      <c r="O477" s="33"/>
      <c r="Q477" s="6" t="str">
        <f>IF($F477&lt;&gt;"",RIGHT(Tabela1[[#This Row],[Ref.]],2),"")</f>
        <v/>
      </c>
      <c r="R477" s="6" t="str">
        <f t="shared" si="42"/>
        <v/>
      </c>
      <c r="S477" s="4" t="str">
        <f>IF($F477&lt;&gt;"",_xlfn.XLOOKUP(F477,Naturezas!B:B,Naturezas!E:E,"",0,1),"")</f>
        <v/>
      </c>
      <c r="T477" s="4" t="str">
        <f>IF($F477&lt;&gt;"",_xlfn.XLOOKUP($F477,Naturezas!B:B,Naturezas!D:D,"",0,1),"")</f>
        <v/>
      </c>
      <c r="U477" s="5" t="str">
        <f>IF(F477&lt;&gt;"",IF(OR(F477=Naturezas!$B$3,F477=Naturezas!$B$4,F477=Naturezas!$B$5,F477=Naturezas!$B$17,F477=Naturezas!$B$18,F477=Naturezas!$B$19),H477,-H477),"")</f>
        <v/>
      </c>
      <c r="V477" s="4" t="str">
        <f t="shared" si="43"/>
        <v/>
      </c>
      <c r="W477" s="4"/>
      <c r="X477" s="4" t="str">
        <f t="shared" si="44"/>
        <v/>
      </c>
      <c r="Y477" s="6" t="str">
        <f>IF(F477&lt;&gt;"",Tabela1[[#This Row],[Iniciais]],"")</f>
        <v/>
      </c>
      <c r="AA477" s="6" t="str">
        <f>IF($F477&lt;&gt;"",RIGHT(Tabela1[[#This Row],[Ref.]],2),"")</f>
        <v/>
      </c>
      <c r="AB477" s="46" t="str">
        <f>IF($F477&lt;&gt;"",DATE(LEFT(Tabela1[[#This Row],[Ref.]],4),RIGHT(Tabela1[[#This Row],[Ref.]],2),1),"")</f>
        <v/>
      </c>
      <c r="AC477" s="4" t="str">
        <f t="shared" si="45"/>
        <v/>
      </c>
      <c r="AD477" s="5" t="str">
        <f t="shared" si="46"/>
        <v/>
      </c>
      <c r="AE477" s="4"/>
      <c r="AF477" s="6" t="str">
        <f t="shared" si="47"/>
        <v/>
      </c>
    </row>
    <row r="478" spans="1:32" ht="15.75" customHeight="1" x14ac:dyDescent="0.2">
      <c r="A478" s="42"/>
      <c r="B478" s="44"/>
      <c r="C478" s="41"/>
      <c r="D478" s="41"/>
      <c r="E478" s="41"/>
      <c r="F478" s="11"/>
      <c r="G478" s="11"/>
      <c r="H478" s="43"/>
      <c r="K478" s="25"/>
      <c r="M478" s="31"/>
      <c r="N478" s="31"/>
      <c r="O478" s="33"/>
      <c r="Q478" s="6" t="str">
        <f>IF($F478&lt;&gt;"",RIGHT(Tabela1[[#This Row],[Ref.]],2),"")</f>
        <v/>
      </c>
      <c r="R478" s="6" t="str">
        <f t="shared" si="42"/>
        <v/>
      </c>
      <c r="S478" s="4" t="str">
        <f>IF($F478&lt;&gt;"",_xlfn.XLOOKUP(F478,Naturezas!B:B,Naturezas!E:E,"",0,1),"")</f>
        <v/>
      </c>
      <c r="T478" s="4" t="str">
        <f>IF($F478&lt;&gt;"",_xlfn.XLOOKUP($F478,Naturezas!B:B,Naturezas!D:D,"",0,1),"")</f>
        <v/>
      </c>
      <c r="U478" s="5" t="str">
        <f>IF(F478&lt;&gt;"",IF(OR(F478=Naturezas!$B$3,F478=Naturezas!$B$4,F478=Naturezas!$B$5,F478=Naturezas!$B$17,F478=Naturezas!$B$18,F478=Naturezas!$B$19),H478,-H478),"")</f>
        <v/>
      </c>
      <c r="V478" s="4" t="str">
        <f t="shared" si="43"/>
        <v/>
      </c>
      <c r="W478" s="4"/>
      <c r="X478" s="4" t="str">
        <f t="shared" si="44"/>
        <v/>
      </c>
      <c r="Y478" s="6" t="str">
        <f>IF(F478&lt;&gt;"",Tabela1[[#This Row],[Iniciais]],"")</f>
        <v/>
      </c>
      <c r="AA478" s="6" t="str">
        <f>IF($F478&lt;&gt;"",RIGHT(Tabela1[[#This Row],[Ref.]],2),"")</f>
        <v/>
      </c>
      <c r="AB478" s="46" t="str">
        <f>IF($F478&lt;&gt;"",DATE(LEFT(Tabela1[[#This Row],[Ref.]],4),RIGHT(Tabela1[[#This Row],[Ref.]],2),1),"")</f>
        <v/>
      </c>
      <c r="AC478" s="4" t="str">
        <f t="shared" si="45"/>
        <v/>
      </c>
      <c r="AD478" s="5" t="str">
        <f t="shared" si="46"/>
        <v/>
      </c>
      <c r="AE478" s="4"/>
      <c r="AF478" s="6" t="str">
        <f t="shared" si="47"/>
        <v/>
      </c>
    </row>
    <row r="479" spans="1:32" ht="15.75" customHeight="1" x14ac:dyDescent="0.2">
      <c r="A479" s="42"/>
      <c r="B479" s="44"/>
      <c r="C479" s="41"/>
      <c r="D479" s="41"/>
      <c r="E479" s="41"/>
      <c r="F479" s="11"/>
      <c r="G479" s="11"/>
      <c r="H479" s="43"/>
      <c r="K479" s="25"/>
      <c r="M479" s="31"/>
      <c r="N479" s="31"/>
      <c r="O479" s="33"/>
      <c r="Q479" s="6" t="str">
        <f>IF($F479&lt;&gt;"",RIGHT(Tabela1[[#This Row],[Ref.]],2),"")</f>
        <v/>
      </c>
      <c r="R479" s="6" t="str">
        <f t="shared" si="42"/>
        <v/>
      </c>
      <c r="S479" s="4" t="str">
        <f>IF($F479&lt;&gt;"",_xlfn.XLOOKUP(F479,Naturezas!B:B,Naturezas!E:E,"",0,1),"")</f>
        <v/>
      </c>
      <c r="T479" s="4" t="str">
        <f>IF($F479&lt;&gt;"",_xlfn.XLOOKUP($F479,Naturezas!B:B,Naturezas!D:D,"",0,1),"")</f>
        <v/>
      </c>
      <c r="U479" s="5" t="str">
        <f>IF(F479&lt;&gt;"",IF(OR(F479=Naturezas!$B$3,F479=Naturezas!$B$4,F479=Naturezas!$B$5,F479=Naturezas!$B$17,F479=Naturezas!$B$18,F479=Naturezas!$B$19),H479,-H479),"")</f>
        <v/>
      </c>
      <c r="V479" s="4" t="str">
        <f t="shared" si="43"/>
        <v/>
      </c>
      <c r="W479" s="4"/>
      <c r="X479" s="4" t="str">
        <f t="shared" si="44"/>
        <v/>
      </c>
      <c r="Y479" s="6" t="str">
        <f>IF(F479&lt;&gt;"",Tabela1[[#This Row],[Iniciais]],"")</f>
        <v/>
      </c>
      <c r="AA479" s="6" t="str">
        <f>IF($F479&lt;&gt;"",RIGHT(Tabela1[[#This Row],[Ref.]],2),"")</f>
        <v/>
      </c>
      <c r="AB479" s="46" t="str">
        <f>IF($F479&lt;&gt;"",DATE(LEFT(Tabela1[[#This Row],[Ref.]],4),RIGHT(Tabela1[[#This Row],[Ref.]],2),1),"")</f>
        <v/>
      </c>
      <c r="AC479" s="4" t="str">
        <f t="shared" si="45"/>
        <v/>
      </c>
      <c r="AD479" s="5" t="str">
        <f t="shared" si="46"/>
        <v/>
      </c>
      <c r="AE479" s="4"/>
      <c r="AF479" s="6" t="str">
        <f t="shared" si="47"/>
        <v/>
      </c>
    </row>
    <row r="480" spans="1:32" ht="15.75" customHeight="1" x14ac:dyDescent="0.2">
      <c r="A480" s="42"/>
      <c r="B480" s="44"/>
      <c r="C480" s="41"/>
      <c r="D480" s="41"/>
      <c r="E480" s="41"/>
      <c r="F480" s="11"/>
      <c r="G480" s="11"/>
      <c r="H480" s="43"/>
      <c r="K480" s="25"/>
      <c r="M480" s="31"/>
      <c r="N480" s="31"/>
      <c r="O480" s="33"/>
      <c r="Q480" s="6" t="str">
        <f>IF($F480&lt;&gt;"",RIGHT(Tabela1[[#This Row],[Ref.]],2),"")</f>
        <v/>
      </c>
      <c r="R480" s="6" t="str">
        <f t="shared" si="42"/>
        <v/>
      </c>
      <c r="S480" s="4" t="str">
        <f>IF($F480&lt;&gt;"",_xlfn.XLOOKUP(F480,Naturezas!B:B,Naturezas!E:E,"",0,1),"")</f>
        <v/>
      </c>
      <c r="T480" s="4" t="str">
        <f>IF($F480&lt;&gt;"",_xlfn.XLOOKUP($F480,Naturezas!B:B,Naturezas!D:D,"",0,1),"")</f>
        <v/>
      </c>
      <c r="U480" s="5" t="str">
        <f>IF(F480&lt;&gt;"",IF(OR(F480=Naturezas!$B$3,F480=Naturezas!$B$4,F480=Naturezas!$B$5,F480=Naturezas!$B$17,F480=Naturezas!$B$18,F480=Naturezas!$B$19),H480,-H480),"")</f>
        <v/>
      </c>
      <c r="V480" s="4" t="str">
        <f t="shared" si="43"/>
        <v/>
      </c>
      <c r="W480" s="4"/>
      <c r="X480" s="4" t="str">
        <f t="shared" si="44"/>
        <v/>
      </c>
      <c r="Y480" s="6" t="str">
        <f>IF(F480&lt;&gt;"",Tabela1[[#This Row],[Iniciais]],"")</f>
        <v/>
      </c>
      <c r="AA480" s="6" t="str">
        <f>IF($F480&lt;&gt;"",RIGHT(Tabela1[[#This Row],[Ref.]],2),"")</f>
        <v/>
      </c>
      <c r="AB480" s="46" t="str">
        <f>IF($F480&lt;&gt;"",DATE(LEFT(Tabela1[[#This Row],[Ref.]],4),RIGHT(Tabela1[[#This Row],[Ref.]],2),1),"")</f>
        <v/>
      </c>
      <c r="AC480" s="4" t="str">
        <f t="shared" si="45"/>
        <v/>
      </c>
      <c r="AD480" s="5" t="str">
        <f t="shared" si="46"/>
        <v/>
      </c>
      <c r="AE480" s="4"/>
      <c r="AF480" s="6" t="str">
        <f t="shared" si="47"/>
        <v/>
      </c>
    </row>
    <row r="481" spans="1:32" ht="15.75" customHeight="1" x14ac:dyDescent="0.2">
      <c r="A481" s="42"/>
      <c r="B481" s="44"/>
      <c r="C481" s="41"/>
      <c r="D481" s="41"/>
      <c r="E481" s="41"/>
      <c r="F481" s="11"/>
      <c r="G481" s="11"/>
      <c r="H481" s="43"/>
      <c r="K481" s="25"/>
      <c r="M481" s="31"/>
      <c r="N481" s="31"/>
      <c r="O481" s="33"/>
      <c r="Q481" s="6" t="str">
        <f>IF($F481&lt;&gt;"",RIGHT(Tabela1[[#This Row],[Ref.]],2),"")</f>
        <v/>
      </c>
      <c r="R481" s="6" t="str">
        <f t="shared" si="42"/>
        <v/>
      </c>
      <c r="S481" s="4" t="str">
        <f>IF($F481&lt;&gt;"",_xlfn.XLOOKUP(F481,Naturezas!B:B,Naturezas!E:E,"",0,1),"")</f>
        <v/>
      </c>
      <c r="T481" s="4" t="str">
        <f>IF($F481&lt;&gt;"",_xlfn.XLOOKUP($F481,Naturezas!B:B,Naturezas!D:D,"",0,1),"")</f>
        <v/>
      </c>
      <c r="U481" s="5" t="str">
        <f>IF(F481&lt;&gt;"",IF(OR(F481=Naturezas!$B$3,F481=Naturezas!$B$4,F481=Naturezas!$B$5,F481=Naturezas!$B$17,F481=Naturezas!$B$18,F481=Naturezas!$B$19),H481,-H481),"")</f>
        <v/>
      </c>
      <c r="V481" s="4" t="str">
        <f t="shared" si="43"/>
        <v/>
      </c>
      <c r="W481" s="4"/>
      <c r="X481" s="4" t="str">
        <f t="shared" si="44"/>
        <v/>
      </c>
      <c r="Y481" s="6" t="str">
        <f>IF(F481&lt;&gt;"",Tabela1[[#This Row],[Iniciais]],"")</f>
        <v/>
      </c>
      <c r="AA481" s="6" t="str">
        <f>IF($F481&lt;&gt;"",RIGHT(Tabela1[[#This Row],[Ref.]],2),"")</f>
        <v/>
      </c>
      <c r="AB481" s="46" t="str">
        <f>IF($F481&lt;&gt;"",DATE(LEFT(Tabela1[[#This Row],[Ref.]],4),RIGHT(Tabela1[[#This Row],[Ref.]],2),1),"")</f>
        <v/>
      </c>
      <c r="AC481" s="4" t="str">
        <f t="shared" si="45"/>
        <v/>
      </c>
      <c r="AD481" s="5" t="str">
        <f t="shared" si="46"/>
        <v/>
      </c>
      <c r="AE481" s="4"/>
      <c r="AF481" s="6" t="str">
        <f t="shared" si="47"/>
        <v/>
      </c>
    </row>
    <row r="482" spans="1:32" ht="15.75" customHeight="1" x14ac:dyDescent="0.2">
      <c r="A482" s="42"/>
      <c r="B482" s="44"/>
      <c r="C482" s="41"/>
      <c r="D482" s="41"/>
      <c r="E482" s="41"/>
      <c r="F482" s="11"/>
      <c r="G482" s="11"/>
      <c r="H482" s="43"/>
      <c r="K482" s="25"/>
      <c r="M482" s="31"/>
      <c r="N482" s="31"/>
      <c r="O482" s="33"/>
      <c r="Q482" s="6" t="str">
        <f>IF($F482&lt;&gt;"",RIGHT(Tabela1[[#This Row],[Ref.]],2),"")</f>
        <v/>
      </c>
      <c r="R482" s="6" t="str">
        <f t="shared" si="42"/>
        <v/>
      </c>
      <c r="S482" s="4" t="str">
        <f>IF($F482&lt;&gt;"",_xlfn.XLOOKUP(F482,Naturezas!B:B,Naturezas!E:E,"",0,1),"")</f>
        <v/>
      </c>
      <c r="T482" s="4" t="str">
        <f>IF($F482&lt;&gt;"",_xlfn.XLOOKUP($F482,Naturezas!B:B,Naturezas!D:D,"",0,1),"")</f>
        <v/>
      </c>
      <c r="U482" s="5" t="str">
        <f>IF(F482&lt;&gt;"",IF(OR(F482=Naturezas!$B$3,F482=Naturezas!$B$4,F482=Naturezas!$B$5,F482=Naturezas!$B$17,F482=Naturezas!$B$18,F482=Naturezas!$B$19),H482,-H482),"")</f>
        <v/>
      </c>
      <c r="V482" s="4" t="str">
        <f t="shared" si="43"/>
        <v/>
      </c>
      <c r="W482" s="4"/>
      <c r="X482" s="4" t="str">
        <f t="shared" si="44"/>
        <v/>
      </c>
      <c r="Y482" s="6" t="str">
        <f>IF(F482&lt;&gt;"",Tabela1[[#This Row],[Iniciais]],"")</f>
        <v/>
      </c>
      <c r="AA482" s="6" t="str">
        <f>IF($F482&lt;&gt;"",RIGHT(Tabela1[[#This Row],[Ref.]],2),"")</f>
        <v/>
      </c>
      <c r="AB482" s="46" t="str">
        <f>IF($F482&lt;&gt;"",DATE(LEFT(Tabela1[[#This Row],[Ref.]],4),RIGHT(Tabela1[[#This Row],[Ref.]],2),1),"")</f>
        <v/>
      </c>
      <c r="AC482" s="4" t="str">
        <f t="shared" si="45"/>
        <v/>
      </c>
      <c r="AD482" s="5" t="str">
        <f t="shared" si="46"/>
        <v/>
      </c>
      <c r="AE482" s="4"/>
      <c r="AF482" s="6" t="str">
        <f t="shared" si="47"/>
        <v/>
      </c>
    </row>
    <row r="483" spans="1:32" ht="15.75" customHeight="1" x14ac:dyDescent="0.2">
      <c r="A483" s="42"/>
      <c r="B483" s="44"/>
      <c r="C483" s="41"/>
      <c r="D483" s="41"/>
      <c r="E483" s="41"/>
      <c r="F483" s="11"/>
      <c r="G483" s="11"/>
      <c r="H483" s="43"/>
      <c r="K483" s="25"/>
      <c r="M483" s="31"/>
      <c r="N483" s="31"/>
      <c r="O483" s="33"/>
      <c r="Q483" s="6" t="str">
        <f>IF($F483&lt;&gt;"",RIGHT(Tabela1[[#This Row],[Ref.]],2),"")</f>
        <v/>
      </c>
      <c r="R483" s="6" t="str">
        <f t="shared" si="42"/>
        <v/>
      </c>
      <c r="S483" s="4" t="str">
        <f>IF($F483&lt;&gt;"",_xlfn.XLOOKUP(F483,Naturezas!B:B,Naturezas!E:E,"",0,1),"")</f>
        <v/>
      </c>
      <c r="T483" s="4" t="str">
        <f>IF($F483&lt;&gt;"",_xlfn.XLOOKUP($F483,Naturezas!B:B,Naturezas!D:D,"",0,1),"")</f>
        <v/>
      </c>
      <c r="U483" s="5" t="str">
        <f>IF(F483&lt;&gt;"",IF(OR(F483=Naturezas!$B$3,F483=Naturezas!$B$4,F483=Naturezas!$B$5,F483=Naturezas!$B$17,F483=Naturezas!$B$18,F483=Naturezas!$B$19),H483,-H483),"")</f>
        <v/>
      </c>
      <c r="V483" s="4" t="str">
        <f t="shared" si="43"/>
        <v/>
      </c>
      <c r="W483" s="4"/>
      <c r="X483" s="4" t="str">
        <f t="shared" si="44"/>
        <v/>
      </c>
      <c r="Y483" s="6" t="str">
        <f>IF(F483&lt;&gt;"",Tabela1[[#This Row],[Iniciais]],"")</f>
        <v/>
      </c>
      <c r="AA483" s="6" t="str">
        <f>IF($F483&lt;&gt;"",RIGHT(Tabela1[[#This Row],[Ref.]],2),"")</f>
        <v/>
      </c>
      <c r="AB483" s="46" t="str">
        <f>IF($F483&lt;&gt;"",DATE(LEFT(Tabela1[[#This Row],[Ref.]],4),RIGHT(Tabela1[[#This Row],[Ref.]],2),1),"")</f>
        <v/>
      </c>
      <c r="AC483" s="4" t="str">
        <f t="shared" si="45"/>
        <v/>
      </c>
      <c r="AD483" s="5" t="str">
        <f t="shared" si="46"/>
        <v/>
      </c>
      <c r="AE483" s="4"/>
      <c r="AF483" s="6" t="str">
        <f t="shared" si="47"/>
        <v/>
      </c>
    </row>
    <row r="484" spans="1:32" ht="15.75" customHeight="1" x14ac:dyDescent="0.2">
      <c r="A484" s="42"/>
      <c r="B484" s="44"/>
      <c r="C484" s="41"/>
      <c r="D484" s="41"/>
      <c r="E484" s="41"/>
      <c r="F484" s="11"/>
      <c r="G484" s="11"/>
      <c r="H484" s="43"/>
      <c r="K484" s="25"/>
      <c r="M484" s="31"/>
      <c r="N484" s="31"/>
      <c r="O484" s="33"/>
      <c r="Q484" s="6" t="str">
        <f>IF($F484&lt;&gt;"",RIGHT(Tabela1[[#This Row],[Ref.]],2),"")</f>
        <v/>
      </c>
      <c r="R484" s="6" t="str">
        <f t="shared" si="42"/>
        <v/>
      </c>
      <c r="S484" s="4" t="str">
        <f>IF($F484&lt;&gt;"",_xlfn.XLOOKUP(F484,Naturezas!B:B,Naturezas!E:E,"",0,1),"")</f>
        <v/>
      </c>
      <c r="T484" s="4" t="str">
        <f>IF($F484&lt;&gt;"",_xlfn.XLOOKUP($F484,Naturezas!B:B,Naturezas!D:D,"",0,1),"")</f>
        <v/>
      </c>
      <c r="U484" s="5" t="str">
        <f>IF(F484&lt;&gt;"",IF(OR(F484=Naturezas!$B$3,F484=Naturezas!$B$4,F484=Naturezas!$B$5,F484=Naturezas!$B$17,F484=Naturezas!$B$18,F484=Naturezas!$B$19),H484,-H484),"")</f>
        <v/>
      </c>
      <c r="V484" s="4" t="str">
        <f t="shared" si="43"/>
        <v/>
      </c>
      <c r="W484" s="4"/>
      <c r="X484" s="4" t="str">
        <f t="shared" si="44"/>
        <v/>
      </c>
      <c r="Y484" s="6" t="str">
        <f>IF(F484&lt;&gt;"",Tabela1[[#This Row],[Iniciais]],"")</f>
        <v/>
      </c>
      <c r="AA484" s="6" t="str">
        <f>IF($F484&lt;&gt;"",RIGHT(Tabela1[[#This Row],[Ref.]],2),"")</f>
        <v/>
      </c>
      <c r="AB484" s="46" t="str">
        <f>IF($F484&lt;&gt;"",DATE(LEFT(Tabela1[[#This Row],[Ref.]],4),RIGHT(Tabela1[[#This Row],[Ref.]],2),1),"")</f>
        <v/>
      </c>
      <c r="AC484" s="4" t="str">
        <f t="shared" si="45"/>
        <v/>
      </c>
      <c r="AD484" s="5" t="str">
        <f t="shared" si="46"/>
        <v/>
      </c>
      <c r="AE484" s="4"/>
      <c r="AF484" s="6" t="str">
        <f t="shared" si="47"/>
        <v/>
      </c>
    </row>
    <row r="485" spans="1:32" ht="15.75" customHeight="1" x14ac:dyDescent="0.2">
      <c r="A485" s="42"/>
      <c r="B485" s="44"/>
      <c r="C485" s="41"/>
      <c r="D485" s="41"/>
      <c r="E485" s="41"/>
      <c r="F485" s="11"/>
      <c r="G485" s="11"/>
      <c r="H485" s="43"/>
      <c r="K485" s="25"/>
      <c r="M485" s="31"/>
      <c r="N485" s="31"/>
      <c r="O485" s="33"/>
      <c r="Q485" s="6" t="str">
        <f>IF($F485&lt;&gt;"",RIGHT(Tabela1[[#This Row],[Ref.]],2),"")</f>
        <v/>
      </c>
      <c r="R485" s="6" t="str">
        <f t="shared" si="42"/>
        <v/>
      </c>
      <c r="S485" s="4" t="str">
        <f>IF($F485&lt;&gt;"",_xlfn.XLOOKUP(F485,Naturezas!B:B,Naturezas!E:E,"",0,1),"")</f>
        <v/>
      </c>
      <c r="T485" s="4" t="str">
        <f>IF($F485&lt;&gt;"",_xlfn.XLOOKUP($F485,Naturezas!B:B,Naturezas!D:D,"",0,1),"")</f>
        <v/>
      </c>
      <c r="U485" s="5" t="str">
        <f>IF(F485&lt;&gt;"",IF(OR(F485=Naturezas!$B$3,F485=Naturezas!$B$4,F485=Naturezas!$B$5,F485=Naturezas!$B$17,F485=Naturezas!$B$18,F485=Naturezas!$B$19),H485,-H485),"")</f>
        <v/>
      </c>
      <c r="V485" s="4" t="str">
        <f t="shared" si="43"/>
        <v/>
      </c>
      <c r="W485" s="4"/>
      <c r="X485" s="4" t="str">
        <f t="shared" si="44"/>
        <v/>
      </c>
      <c r="Y485" s="6" t="str">
        <f>IF(F485&lt;&gt;"",Tabela1[[#This Row],[Iniciais]],"")</f>
        <v/>
      </c>
      <c r="AA485" s="6" t="str">
        <f>IF($F485&lt;&gt;"",RIGHT(Tabela1[[#This Row],[Ref.]],2),"")</f>
        <v/>
      </c>
      <c r="AB485" s="46" t="str">
        <f>IF($F485&lt;&gt;"",DATE(LEFT(Tabela1[[#This Row],[Ref.]],4),RIGHT(Tabela1[[#This Row],[Ref.]],2),1),"")</f>
        <v/>
      </c>
      <c r="AC485" s="4" t="str">
        <f t="shared" si="45"/>
        <v/>
      </c>
      <c r="AD485" s="5" t="str">
        <f t="shared" si="46"/>
        <v/>
      </c>
      <c r="AE485" s="4"/>
      <c r="AF485" s="6" t="str">
        <f t="shared" si="47"/>
        <v/>
      </c>
    </row>
    <row r="486" spans="1:32" ht="15.75" customHeight="1" x14ac:dyDescent="0.2">
      <c r="A486" s="42"/>
      <c r="B486" s="44"/>
      <c r="C486" s="41"/>
      <c r="D486" s="41"/>
      <c r="E486" s="41"/>
      <c r="F486" s="11"/>
      <c r="G486" s="11"/>
      <c r="H486" s="43"/>
      <c r="K486" s="25"/>
      <c r="M486" s="31"/>
      <c r="N486" s="31"/>
      <c r="O486" s="33"/>
      <c r="Q486" s="6" t="str">
        <f>IF($F486&lt;&gt;"",RIGHT(Tabela1[[#This Row],[Ref.]],2),"")</f>
        <v/>
      </c>
      <c r="R486" s="6" t="str">
        <f t="shared" si="42"/>
        <v/>
      </c>
      <c r="S486" s="4" t="str">
        <f>IF($F486&lt;&gt;"",_xlfn.XLOOKUP(F486,Naturezas!B:B,Naturezas!E:E,"",0,1),"")</f>
        <v/>
      </c>
      <c r="T486" s="4" t="str">
        <f>IF($F486&lt;&gt;"",_xlfn.XLOOKUP($F486,Naturezas!B:B,Naturezas!D:D,"",0,1),"")</f>
        <v/>
      </c>
      <c r="U486" s="5" t="str">
        <f>IF(F486&lt;&gt;"",IF(OR(F486=Naturezas!$B$3,F486=Naturezas!$B$4,F486=Naturezas!$B$5,F486=Naturezas!$B$17,F486=Naturezas!$B$18,F486=Naturezas!$B$19),H486,-H486),"")</f>
        <v/>
      </c>
      <c r="V486" s="4" t="str">
        <f t="shared" si="43"/>
        <v/>
      </c>
      <c r="W486" s="4"/>
      <c r="X486" s="4" t="str">
        <f t="shared" si="44"/>
        <v/>
      </c>
      <c r="Y486" s="6" t="str">
        <f>IF(F486&lt;&gt;"",Tabela1[[#This Row],[Iniciais]],"")</f>
        <v/>
      </c>
      <c r="AA486" s="6" t="str">
        <f>IF($F486&lt;&gt;"",RIGHT(Tabela1[[#This Row],[Ref.]],2),"")</f>
        <v/>
      </c>
      <c r="AB486" s="46" t="str">
        <f>IF($F486&lt;&gt;"",DATE(LEFT(Tabela1[[#This Row],[Ref.]],4),RIGHT(Tabela1[[#This Row],[Ref.]],2),1),"")</f>
        <v/>
      </c>
      <c r="AC486" s="4" t="str">
        <f t="shared" si="45"/>
        <v/>
      </c>
      <c r="AD486" s="5" t="str">
        <f t="shared" si="46"/>
        <v/>
      </c>
      <c r="AE486" s="4"/>
      <c r="AF486" s="6" t="str">
        <f t="shared" si="47"/>
        <v/>
      </c>
    </row>
    <row r="487" spans="1:32" ht="15.75" customHeight="1" x14ac:dyDescent="0.2">
      <c r="A487" s="42"/>
      <c r="B487" s="44"/>
      <c r="C487" s="41"/>
      <c r="D487" s="41"/>
      <c r="E487" s="41"/>
      <c r="F487" s="11"/>
      <c r="G487" s="11"/>
      <c r="H487" s="43"/>
      <c r="K487" s="25"/>
      <c r="M487" s="31"/>
      <c r="N487" s="31"/>
      <c r="O487" s="33"/>
      <c r="Q487" s="6" t="str">
        <f>IF($F487&lt;&gt;"",RIGHT(Tabela1[[#This Row],[Ref.]],2),"")</f>
        <v/>
      </c>
      <c r="R487" s="6" t="str">
        <f t="shared" si="42"/>
        <v/>
      </c>
      <c r="S487" s="4" t="str">
        <f>IF($F487&lt;&gt;"",_xlfn.XLOOKUP(F487,Naturezas!B:B,Naturezas!E:E,"",0,1),"")</f>
        <v/>
      </c>
      <c r="T487" s="4" t="str">
        <f>IF($F487&lt;&gt;"",_xlfn.XLOOKUP($F487,Naturezas!B:B,Naturezas!D:D,"",0,1),"")</f>
        <v/>
      </c>
      <c r="U487" s="5" t="str">
        <f>IF(F487&lt;&gt;"",IF(OR(F487=Naturezas!$B$3,F487=Naturezas!$B$4,F487=Naturezas!$B$5,F487=Naturezas!$B$17,F487=Naturezas!$B$18,F487=Naturezas!$B$19),H487,-H487),"")</f>
        <v/>
      </c>
      <c r="V487" s="4" t="str">
        <f t="shared" si="43"/>
        <v/>
      </c>
      <c r="W487" s="4"/>
      <c r="X487" s="4" t="str">
        <f t="shared" si="44"/>
        <v/>
      </c>
      <c r="Y487" s="6" t="str">
        <f>IF(F487&lt;&gt;"",Tabela1[[#This Row],[Iniciais]],"")</f>
        <v/>
      </c>
      <c r="AA487" s="6" t="str">
        <f>IF($F487&lt;&gt;"",RIGHT(Tabela1[[#This Row],[Ref.]],2),"")</f>
        <v/>
      </c>
      <c r="AB487" s="46" t="str">
        <f>IF($F487&lt;&gt;"",DATE(LEFT(Tabela1[[#This Row],[Ref.]],4),RIGHT(Tabela1[[#This Row],[Ref.]],2),1),"")</f>
        <v/>
      </c>
      <c r="AC487" s="4" t="str">
        <f t="shared" si="45"/>
        <v/>
      </c>
      <c r="AD487" s="5" t="str">
        <f t="shared" si="46"/>
        <v/>
      </c>
      <c r="AE487" s="4"/>
      <c r="AF487" s="6" t="str">
        <f t="shared" si="47"/>
        <v/>
      </c>
    </row>
    <row r="488" spans="1:32" ht="15.75" customHeight="1" x14ac:dyDescent="0.2">
      <c r="A488" s="42"/>
      <c r="B488" s="44"/>
      <c r="C488" s="41"/>
      <c r="D488" s="41"/>
      <c r="E488" s="41"/>
      <c r="F488" s="11"/>
      <c r="G488" s="11"/>
      <c r="H488" s="43"/>
      <c r="K488" s="25"/>
      <c r="M488" s="31"/>
      <c r="N488" s="31"/>
      <c r="O488" s="33"/>
      <c r="Q488" s="6" t="str">
        <f>IF($F488&lt;&gt;"",RIGHT(Tabela1[[#This Row],[Ref.]],2),"")</f>
        <v/>
      </c>
      <c r="R488" s="6" t="str">
        <f t="shared" si="42"/>
        <v/>
      </c>
      <c r="S488" s="4" t="str">
        <f>IF($F488&lt;&gt;"",_xlfn.XLOOKUP(F488,Naturezas!B:B,Naturezas!E:E,"",0,1),"")</f>
        <v/>
      </c>
      <c r="T488" s="4" t="str">
        <f>IF($F488&lt;&gt;"",_xlfn.XLOOKUP($F488,Naturezas!B:B,Naturezas!D:D,"",0,1),"")</f>
        <v/>
      </c>
      <c r="U488" s="5" t="str">
        <f>IF(F488&lt;&gt;"",IF(OR(F488=Naturezas!$B$3,F488=Naturezas!$B$4,F488=Naturezas!$B$5,F488=Naturezas!$B$17,F488=Naturezas!$B$18,F488=Naturezas!$B$19),H488,-H488),"")</f>
        <v/>
      </c>
      <c r="V488" s="4" t="str">
        <f t="shared" si="43"/>
        <v/>
      </c>
      <c r="W488" s="4"/>
      <c r="X488" s="4" t="str">
        <f t="shared" si="44"/>
        <v/>
      </c>
      <c r="Y488" s="6" t="str">
        <f>IF(F488&lt;&gt;"",Tabela1[[#This Row],[Iniciais]],"")</f>
        <v/>
      </c>
      <c r="AA488" s="6" t="str">
        <f>IF($F488&lt;&gt;"",RIGHT(Tabela1[[#This Row],[Ref.]],2),"")</f>
        <v/>
      </c>
      <c r="AB488" s="46" t="str">
        <f>IF($F488&lt;&gt;"",DATE(LEFT(Tabela1[[#This Row],[Ref.]],4),RIGHT(Tabela1[[#This Row],[Ref.]],2),1),"")</f>
        <v/>
      </c>
      <c r="AC488" s="4" t="str">
        <f t="shared" si="45"/>
        <v/>
      </c>
      <c r="AD488" s="5" t="str">
        <f t="shared" si="46"/>
        <v/>
      </c>
      <c r="AE488" s="4"/>
      <c r="AF488" s="6" t="str">
        <f t="shared" si="47"/>
        <v/>
      </c>
    </row>
    <row r="489" spans="1:32" ht="15.75" customHeight="1" x14ac:dyDescent="0.2">
      <c r="A489" s="42"/>
      <c r="B489" s="44"/>
      <c r="C489" s="41"/>
      <c r="D489" s="41"/>
      <c r="E489" s="41"/>
      <c r="F489" s="11"/>
      <c r="G489" s="11"/>
      <c r="H489" s="43"/>
      <c r="K489" s="25"/>
      <c r="M489" s="31"/>
      <c r="N489" s="31"/>
      <c r="O489" s="33"/>
      <c r="Q489" s="6" t="str">
        <f>IF($F489&lt;&gt;"",RIGHT(Tabela1[[#This Row],[Ref.]],2),"")</f>
        <v/>
      </c>
      <c r="R489" s="6" t="str">
        <f t="shared" si="42"/>
        <v/>
      </c>
      <c r="S489" s="4" t="str">
        <f>IF($F489&lt;&gt;"",_xlfn.XLOOKUP(F489,Naturezas!B:B,Naturezas!E:E,"",0,1),"")</f>
        <v/>
      </c>
      <c r="T489" s="4" t="str">
        <f>IF($F489&lt;&gt;"",_xlfn.XLOOKUP($F489,Naturezas!B:B,Naturezas!D:D,"",0,1),"")</f>
        <v/>
      </c>
      <c r="U489" s="5" t="str">
        <f>IF(F489&lt;&gt;"",IF(OR(F489=Naturezas!$B$3,F489=Naturezas!$B$4,F489=Naturezas!$B$5,F489=Naturezas!$B$17,F489=Naturezas!$B$18,F489=Naturezas!$B$19),H489,-H489),"")</f>
        <v/>
      </c>
      <c r="V489" s="4" t="str">
        <f t="shared" si="43"/>
        <v/>
      </c>
      <c r="W489" s="4"/>
      <c r="X489" s="4" t="str">
        <f t="shared" si="44"/>
        <v/>
      </c>
      <c r="Y489" s="6" t="str">
        <f>IF(F489&lt;&gt;"",Tabela1[[#This Row],[Iniciais]],"")</f>
        <v/>
      </c>
      <c r="AA489" s="6" t="str">
        <f>IF($F489&lt;&gt;"",RIGHT(Tabela1[[#This Row],[Ref.]],2),"")</f>
        <v/>
      </c>
      <c r="AB489" s="46" t="str">
        <f>IF($F489&lt;&gt;"",DATE(LEFT(Tabela1[[#This Row],[Ref.]],4),RIGHT(Tabela1[[#This Row],[Ref.]],2),1),"")</f>
        <v/>
      </c>
      <c r="AC489" s="4" t="str">
        <f t="shared" si="45"/>
        <v/>
      </c>
      <c r="AD489" s="5" t="str">
        <f t="shared" si="46"/>
        <v/>
      </c>
      <c r="AE489" s="4"/>
      <c r="AF489" s="6" t="str">
        <f t="shared" si="47"/>
        <v/>
      </c>
    </row>
    <row r="490" spans="1:32" ht="15.75" customHeight="1" x14ac:dyDescent="0.2">
      <c r="A490" s="42"/>
      <c r="B490" s="44"/>
      <c r="C490" s="41"/>
      <c r="D490" s="41"/>
      <c r="E490" s="41"/>
      <c r="F490" s="11"/>
      <c r="G490" s="11"/>
      <c r="H490" s="43"/>
      <c r="K490" s="25"/>
      <c r="M490" s="31"/>
      <c r="N490" s="31"/>
      <c r="O490" s="33"/>
      <c r="Q490" s="6" t="str">
        <f>IF($F490&lt;&gt;"",RIGHT(Tabela1[[#This Row],[Ref.]],2),"")</f>
        <v/>
      </c>
      <c r="R490" s="6" t="str">
        <f t="shared" si="42"/>
        <v/>
      </c>
      <c r="S490" s="4" t="str">
        <f>IF($F490&lt;&gt;"",_xlfn.XLOOKUP(F490,Naturezas!B:B,Naturezas!E:E,"",0,1),"")</f>
        <v/>
      </c>
      <c r="T490" s="4" t="str">
        <f>IF($F490&lt;&gt;"",_xlfn.XLOOKUP($F490,Naturezas!B:B,Naturezas!D:D,"",0,1),"")</f>
        <v/>
      </c>
      <c r="U490" s="5" t="str">
        <f>IF(F490&lt;&gt;"",IF(OR(F490=Naturezas!$B$3,F490=Naturezas!$B$4,F490=Naturezas!$B$5,F490=Naturezas!$B$17,F490=Naturezas!$B$18,F490=Naturezas!$B$19),H490,-H490),"")</f>
        <v/>
      </c>
      <c r="V490" s="4" t="str">
        <f t="shared" si="43"/>
        <v/>
      </c>
      <c r="W490" s="4"/>
      <c r="X490" s="4" t="str">
        <f t="shared" si="44"/>
        <v/>
      </c>
      <c r="Y490" s="6" t="str">
        <f>IF(F490&lt;&gt;"",Tabela1[[#This Row],[Iniciais]],"")</f>
        <v/>
      </c>
      <c r="AA490" s="6" t="str">
        <f>IF($F490&lt;&gt;"",RIGHT(Tabela1[[#This Row],[Ref.]],2),"")</f>
        <v/>
      </c>
      <c r="AB490" s="46" t="str">
        <f>IF($F490&lt;&gt;"",DATE(LEFT(Tabela1[[#This Row],[Ref.]],4),RIGHT(Tabela1[[#This Row],[Ref.]],2),1),"")</f>
        <v/>
      </c>
      <c r="AC490" s="4" t="str">
        <f t="shared" si="45"/>
        <v/>
      </c>
      <c r="AD490" s="5" t="str">
        <f t="shared" si="46"/>
        <v/>
      </c>
      <c r="AE490" s="4"/>
      <c r="AF490" s="6" t="str">
        <f t="shared" si="47"/>
        <v/>
      </c>
    </row>
    <row r="491" spans="1:32" ht="15.75" customHeight="1" x14ac:dyDescent="0.2">
      <c r="A491" s="42"/>
      <c r="B491" s="44"/>
      <c r="C491" s="41"/>
      <c r="D491" s="41"/>
      <c r="E491" s="41"/>
      <c r="F491" s="11"/>
      <c r="G491" s="11"/>
      <c r="H491" s="43"/>
      <c r="K491" s="25"/>
      <c r="M491" s="31"/>
      <c r="N491" s="31"/>
      <c r="O491" s="33"/>
      <c r="Q491" s="6" t="str">
        <f>IF($F491&lt;&gt;"",RIGHT(Tabela1[[#This Row],[Ref.]],2),"")</f>
        <v/>
      </c>
      <c r="R491" s="6" t="str">
        <f t="shared" si="42"/>
        <v/>
      </c>
      <c r="S491" s="4" t="str">
        <f>IF($F491&lt;&gt;"",_xlfn.XLOOKUP(F491,Naturezas!B:B,Naturezas!E:E,"",0,1),"")</f>
        <v/>
      </c>
      <c r="T491" s="4" t="str">
        <f>IF($F491&lt;&gt;"",_xlfn.XLOOKUP($F491,Naturezas!B:B,Naturezas!D:D,"",0,1),"")</f>
        <v/>
      </c>
      <c r="U491" s="5" t="str">
        <f>IF(F491&lt;&gt;"",IF(OR(F491=Naturezas!$B$3,F491=Naturezas!$B$4,F491=Naturezas!$B$5,F491=Naturezas!$B$17,F491=Naturezas!$B$18,F491=Naturezas!$B$19),H491,-H491),"")</f>
        <v/>
      </c>
      <c r="V491" s="4" t="str">
        <f t="shared" si="43"/>
        <v/>
      </c>
      <c r="W491" s="4"/>
      <c r="X491" s="4" t="str">
        <f t="shared" si="44"/>
        <v/>
      </c>
      <c r="Y491" s="6" t="str">
        <f>IF(F491&lt;&gt;"",Tabela1[[#This Row],[Iniciais]],"")</f>
        <v/>
      </c>
      <c r="AA491" s="6" t="str">
        <f>IF($F491&lt;&gt;"",RIGHT(Tabela1[[#This Row],[Ref.]],2),"")</f>
        <v/>
      </c>
      <c r="AB491" s="46" t="str">
        <f>IF($F491&lt;&gt;"",DATE(LEFT(Tabela1[[#This Row],[Ref.]],4),RIGHT(Tabela1[[#This Row],[Ref.]],2),1),"")</f>
        <v/>
      </c>
      <c r="AC491" s="4" t="str">
        <f t="shared" si="45"/>
        <v/>
      </c>
      <c r="AD491" s="5" t="str">
        <f t="shared" si="46"/>
        <v/>
      </c>
      <c r="AE491" s="4"/>
      <c r="AF491" s="6" t="str">
        <f t="shared" si="47"/>
        <v/>
      </c>
    </row>
    <row r="492" spans="1:32" ht="15.75" customHeight="1" x14ac:dyDescent="0.2">
      <c r="A492" s="42"/>
      <c r="B492" s="44"/>
      <c r="C492" s="41"/>
      <c r="D492" s="41"/>
      <c r="E492" s="41"/>
      <c r="F492" s="11"/>
      <c r="G492" s="11"/>
      <c r="H492" s="43"/>
      <c r="K492" s="25"/>
      <c r="M492" s="31"/>
      <c r="N492" s="31"/>
      <c r="O492" s="33"/>
      <c r="Q492" s="6" t="str">
        <f>IF($F492&lt;&gt;"",RIGHT(Tabela1[[#This Row],[Ref.]],2),"")</f>
        <v/>
      </c>
      <c r="R492" s="6" t="str">
        <f t="shared" si="42"/>
        <v/>
      </c>
      <c r="S492" s="4" t="str">
        <f>IF($F492&lt;&gt;"",_xlfn.XLOOKUP(F492,Naturezas!B:B,Naturezas!E:E,"",0,1),"")</f>
        <v/>
      </c>
      <c r="T492" s="4" t="str">
        <f>IF($F492&lt;&gt;"",_xlfn.XLOOKUP($F492,Naturezas!B:B,Naturezas!D:D,"",0,1),"")</f>
        <v/>
      </c>
      <c r="U492" s="5" t="str">
        <f>IF(F492&lt;&gt;"",IF(OR(F492=Naturezas!$B$3,F492=Naturezas!$B$4,F492=Naturezas!$B$5,F492=Naturezas!$B$17,F492=Naturezas!$B$18,F492=Naturezas!$B$19),H492,-H492),"")</f>
        <v/>
      </c>
      <c r="V492" s="4" t="str">
        <f t="shared" si="43"/>
        <v/>
      </c>
      <c r="W492" s="4"/>
      <c r="X492" s="4" t="str">
        <f t="shared" si="44"/>
        <v/>
      </c>
      <c r="Y492" s="6" t="str">
        <f>IF(F492&lt;&gt;"",Tabela1[[#This Row],[Iniciais]],"")</f>
        <v/>
      </c>
      <c r="AA492" s="6" t="str">
        <f>IF($F492&lt;&gt;"",RIGHT(Tabela1[[#This Row],[Ref.]],2),"")</f>
        <v/>
      </c>
      <c r="AB492" s="46" t="str">
        <f>IF($F492&lt;&gt;"",DATE(LEFT(Tabela1[[#This Row],[Ref.]],4),RIGHT(Tabela1[[#This Row],[Ref.]],2),1),"")</f>
        <v/>
      </c>
      <c r="AC492" s="4" t="str">
        <f t="shared" si="45"/>
        <v/>
      </c>
      <c r="AD492" s="5" t="str">
        <f t="shared" si="46"/>
        <v/>
      </c>
      <c r="AE492" s="4"/>
      <c r="AF492" s="6" t="str">
        <f t="shared" si="47"/>
        <v/>
      </c>
    </row>
    <row r="493" spans="1:32" ht="15.75" customHeight="1" x14ac:dyDescent="0.2">
      <c r="A493" s="42"/>
      <c r="B493" s="44"/>
      <c r="C493" s="41"/>
      <c r="D493" s="41"/>
      <c r="E493" s="41"/>
      <c r="F493" s="11"/>
      <c r="G493" s="11"/>
      <c r="H493" s="43"/>
      <c r="K493" s="25"/>
      <c r="M493" s="31"/>
      <c r="N493" s="31"/>
      <c r="O493" s="33"/>
      <c r="Q493" s="6" t="str">
        <f>IF($F493&lt;&gt;"",RIGHT(Tabela1[[#This Row],[Ref.]],2),"")</f>
        <v/>
      </c>
      <c r="R493" s="6" t="str">
        <f t="shared" si="42"/>
        <v/>
      </c>
      <c r="S493" s="4" t="str">
        <f>IF($F493&lt;&gt;"",_xlfn.XLOOKUP(F493,Naturezas!B:B,Naturezas!E:E,"",0,1),"")</f>
        <v/>
      </c>
      <c r="T493" s="4" t="str">
        <f>IF($F493&lt;&gt;"",_xlfn.XLOOKUP($F493,Naturezas!B:B,Naturezas!D:D,"",0,1),"")</f>
        <v/>
      </c>
      <c r="U493" s="5" t="str">
        <f>IF(F493&lt;&gt;"",IF(OR(F493=Naturezas!$B$3,F493=Naturezas!$B$4,F493=Naturezas!$B$5,F493=Naturezas!$B$17,F493=Naturezas!$B$18,F493=Naturezas!$B$19),H493,-H493),"")</f>
        <v/>
      </c>
      <c r="V493" s="4" t="str">
        <f t="shared" si="43"/>
        <v/>
      </c>
      <c r="W493" s="4"/>
      <c r="X493" s="4" t="str">
        <f t="shared" si="44"/>
        <v/>
      </c>
      <c r="Y493" s="6" t="str">
        <f>IF(F493&lt;&gt;"",Tabela1[[#This Row],[Iniciais]],"")</f>
        <v/>
      </c>
      <c r="AA493" s="6" t="str">
        <f>IF($F493&lt;&gt;"",RIGHT(Tabela1[[#This Row],[Ref.]],2),"")</f>
        <v/>
      </c>
      <c r="AB493" s="46" t="str">
        <f>IF($F493&lt;&gt;"",DATE(LEFT(Tabela1[[#This Row],[Ref.]],4),RIGHT(Tabela1[[#This Row],[Ref.]],2),1),"")</f>
        <v/>
      </c>
      <c r="AC493" s="4" t="str">
        <f t="shared" si="45"/>
        <v/>
      </c>
      <c r="AD493" s="5" t="str">
        <f t="shared" si="46"/>
        <v/>
      </c>
      <c r="AE493" s="4"/>
      <c r="AF493" s="6" t="str">
        <f t="shared" si="47"/>
        <v/>
      </c>
    </row>
    <row r="494" spans="1:32" ht="15.75" customHeight="1" x14ac:dyDescent="0.2">
      <c r="A494" s="42"/>
      <c r="B494" s="44"/>
      <c r="C494" s="41"/>
      <c r="D494" s="41"/>
      <c r="E494" s="41"/>
      <c r="F494" s="11"/>
      <c r="G494" s="11"/>
      <c r="H494" s="43"/>
      <c r="K494" s="25"/>
      <c r="M494" s="31"/>
      <c r="N494" s="31"/>
      <c r="O494" s="33"/>
      <c r="Q494" s="6" t="str">
        <f>IF($F494&lt;&gt;"",RIGHT(Tabela1[[#This Row],[Ref.]],2),"")</f>
        <v/>
      </c>
      <c r="R494" s="6" t="str">
        <f t="shared" si="42"/>
        <v/>
      </c>
      <c r="S494" s="4" t="str">
        <f>IF($F494&lt;&gt;"",_xlfn.XLOOKUP(F494,Naturezas!B:B,Naturezas!E:E,"",0,1),"")</f>
        <v/>
      </c>
      <c r="T494" s="4" t="str">
        <f>IF($F494&lt;&gt;"",_xlfn.XLOOKUP($F494,Naturezas!B:B,Naturezas!D:D,"",0,1),"")</f>
        <v/>
      </c>
      <c r="U494" s="5" t="str">
        <f>IF(F494&lt;&gt;"",IF(OR(F494=Naturezas!$B$3,F494=Naturezas!$B$4,F494=Naturezas!$B$5,F494=Naturezas!$B$17,F494=Naturezas!$B$18,F494=Naturezas!$B$19),H494,-H494),"")</f>
        <v/>
      </c>
      <c r="V494" s="4" t="str">
        <f t="shared" si="43"/>
        <v/>
      </c>
      <c r="W494" s="4"/>
      <c r="X494" s="4" t="str">
        <f t="shared" si="44"/>
        <v/>
      </c>
      <c r="Y494" s="6" t="str">
        <f>IF(F494&lt;&gt;"",Tabela1[[#This Row],[Iniciais]],"")</f>
        <v/>
      </c>
      <c r="AA494" s="6" t="str">
        <f>IF($F494&lt;&gt;"",RIGHT(Tabela1[[#This Row],[Ref.]],2),"")</f>
        <v/>
      </c>
      <c r="AB494" s="46" t="str">
        <f>IF($F494&lt;&gt;"",DATE(LEFT(Tabela1[[#This Row],[Ref.]],4),RIGHT(Tabela1[[#This Row],[Ref.]],2),1),"")</f>
        <v/>
      </c>
      <c r="AC494" s="4" t="str">
        <f t="shared" si="45"/>
        <v/>
      </c>
      <c r="AD494" s="5" t="str">
        <f t="shared" si="46"/>
        <v/>
      </c>
      <c r="AE494" s="4"/>
      <c r="AF494" s="6" t="str">
        <f t="shared" si="47"/>
        <v/>
      </c>
    </row>
    <row r="495" spans="1:32" ht="15.75" customHeight="1" x14ac:dyDescent="0.2">
      <c r="A495" s="42"/>
      <c r="B495" s="44"/>
      <c r="C495" s="41"/>
      <c r="D495" s="41"/>
      <c r="E495" s="41"/>
      <c r="F495" s="11"/>
      <c r="G495" s="11"/>
      <c r="H495" s="43"/>
      <c r="K495" s="25"/>
      <c r="M495" s="31"/>
      <c r="N495" s="31"/>
      <c r="O495" s="33"/>
      <c r="Q495" s="6" t="str">
        <f>IF($F495&lt;&gt;"",RIGHT(Tabela1[[#This Row],[Ref.]],2),"")</f>
        <v/>
      </c>
      <c r="R495" s="6" t="str">
        <f t="shared" si="42"/>
        <v/>
      </c>
      <c r="S495" s="4" t="str">
        <f>IF($F495&lt;&gt;"",_xlfn.XLOOKUP(F495,Naturezas!B:B,Naturezas!E:E,"",0,1),"")</f>
        <v/>
      </c>
      <c r="T495" s="4" t="str">
        <f>IF($F495&lt;&gt;"",_xlfn.XLOOKUP($F495,Naturezas!B:B,Naturezas!D:D,"",0,1),"")</f>
        <v/>
      </c>
      <c r="U495" s="5" t="str">
        <f>IF(F495&lt;&gt;"",IF(OR(F495=Naturezas!$B$3,F495=Naturezas!$B$4,F495=Naturezas!$B$5,F495=Naturezas!$B$17,F495=Naturezas!$B$18,F495=Naturezas!$B$19),H495,-H495),"")</f>
        <v/>
      </c>
      <c r="V495" s="4" t="str">
        <f t="shared" si="43"/>
        <v/>
      </c>
      <c r="W495" s="4"/>
      <c r="X495" s="4" t="str">
        <f t="shared" si="44"/>
        <v/>
      </c>
      <c r="Y495" s="6" t="str">
        <f>IF(F495&lt;&gt;"",Tabela1[[#This Row],[Iniciais]],"")</f>
        <v/>
      </c>
      <c r="AA495" s="6" t="str">
        <f>IF($F495&lt;&gt;"",RIGHT(Tabela1[[#This Row],[Ref.]],2),"")</f>
        <v/>
      </c>
      <c r="AB495" s="46" t="str">
        <f>IF($F495&lt;&gt;"",DATE(LEFT(Tabela1[[#This Row],[Ref.]],4),RIGHT(Tabela1[[#This Row],[Ref.]],2),1),"")</f>
        <v/>
      </c>
      <c r="AC495" s="4" t="str">
        <f t="shared" si="45"/>
        <v/>
      </c>
      <c r="AD495" s="5" t="str">
        <f t="shared" si="46"/>
        <v/>
      </c>
      <c r="AE495" s="4"/>
      <c r="AF495" s="6" t="str">
        <f t="shared" si="47"/>
        <v/>
      </c>
    </row>
    <row r="496" spans="1:32" ht="15.75" customHeight="1" x14ac:dyDescent="0.2">
      <c r="A496" s="42"/>
      <c r="B496" s="44"/>
      <c r="C496" s="41"/>
      <c r="D496" s="41"/>
      <c r="E496" s="41"/>
      <c r="F496" s="11"/>
      <c r="G496" s="11"/>
      <c r="H496" s="43"/>
      <c r="K496" s="25"/>
      <c r="M496" s="31"/>
      <c r="N496" s="31"/>
      <c r="O496" s="33"/>
      <c r="Q496" s="6" t="str">
        <f>IF($F496&lt;&gt;"",RIGHT(Tabela1[[#This Row],[Ref.]],2),"")</f>
        <v/>
      </c>
      <c r="R496" s="6" t="str">
        <f t="shared" si="42"/>
        <v/>
      </c>
      <c r="S496" s="4" t="str">
        <f>IF($F496&lt;&gt;"",_xlfn.XLOOKUP(F496,Naturezas!B:B,Naturezas!E:E,"",0,1),"")</f>
        <v/>
      </c>
      <c r="T496" s="4" t="str">
        <f>IF($F496&lt;&gt;"",_xlfn.XLOOKUP($F496,Naturezas!B:B,Naturezas!D:D,"",0,1),"")</f>
        <v/>
      </c>
      <c r="U496" s="5" t="str">
        <f>IF(F496&lt;&gt;"",IF(OR(F496=Naturezas!$B$3,F496=Naturezas!$B$4,F496=Naturezas!$B$5,F496=Naturezas!$B$17,F496=Naturezas!$B$18,F496=Naturezas!$B$19),H496,-H496),"")</f>
        <v/>
      </c>
      <c r="V496" s="4" t="str">
        <f t="shared" si="43"/>
        <v/>
      </c>
      <c r="W496" s="4"/>
      <c r="X496" s="4" t="str">
        <f t="shared" si="44"/>
        <v/>
      </c>
      <c r="Y496" s="6" t="str">
        <f>IF(F496&lt;&gt;"",Tabela1[[#This Row],[Iniciais]],"")</f>
        <v/>
      </c>
      <c r="AA496" s="6" t="str">
        <f>IF($F496&lt;&gt;"",RIGHT(Tabela1[[#This Row],[Ref.]],2),"")</f>
        <v/>
      </c>
      <c r="AB496" s="46" t="str">
        <f>IF($F496&lt;&gt;"",DATE(LEFT(Tabela1[[#This Row],[Ref.]],4),RIGHT(Tabela1[[#This Row],[Ref.]],2),1),"")</f>
        <v/>
      </c>
      <c r="AC496" s="4" t="str">
        <f t="shared" si="45"/>
        <v/>
      </c>
      <c r="AD496" s="5" t="str">
        <f t="shared" si="46"/>
        <v/>
      </c>
      <c r="AE496" s="4"/>
      <c r="AF496" s="6" t="str">
        <f t="shared" si="47"/>
        <v/>
      </c>
    </row>
    <row r="497" spans="1:32" ht="15.75" customHeight="1" x14ac:dyDescent="0.2">
      <c r="A497" s="42"/>
      <c r="B497" s="44"/>
      <c r="C497" s="41"/>
      <c r="D497" s="41"/>
      <c r="E497" s="41"/>
      <c r="F497" s="11"/>
      <c r="G497" s="11"/>
      <c r="H497" s="43"/>
      <c r="K497" s="25"/>
      <c r="M497" s="31"/>
      <c r="N497" s="31"/>
      <c r="O497" s="33"/>
      <c r="Q497" s="6" t="str">
        <f>IF($F497&lt;&gt;"",RIGHT(Tabela1[[#This Row],[Ref.]],2),"")</f>
        <v/>
      </c>
      <c r="R497" s="6" t="str">
        <f t="shared" si="42"/>
        <v/>
      </c>
      <c r="S497" s="4" t="str">
        <f>IF($F497&lt;&gt;"",_xlfn.XLOOKUP(F497,Naturezas!B:B,Naturezas!E:E,"",0,1),"")</f>
        <v/>
      </c>
      <c r="T497" s="4" t="str">
        <f>IF($F497&lt;&gt;"",_xlfn.XLOOKUP($F497,Naturezas!B:B,Naturezas!D:D,"",0,1),"")</f>
        <v/>
      </c>
      <c r="U497" s="5" t="str">
        <f>IF(F497&lt;&gt;"",IF(OR(F497=Naturezas!$B$3,F497=Naturezas!$B$4,F497=Naturezas!$B$5,F497=Naturezas!$B$17,F497=Naturezas!$B$18,F497=Naturezas!$B$19),H497,-H497),"")</f>
        <v/>
      </c>
      <c r="V497" s="4" t="str">
        <f t="shared" si="43"/>
        <v/>
      </c>
      <c r="W497" s="4"/>
      <c r="X497" s="4" t="str">
        <f t="shared" si="44"/>
        <v/>
      </c>
      <c r="Y497" s="6" t="str">
        <f>IF(F497&lt;&gt;"",Tabela1[[#This Row],[Iniciais]],"")</f>
        <v/>
      </c>
      <c r="AA497" s="6" t="str">
        <f>IF($F497&lt;&gt;"",RIGHT(Tabela1[[#This Row],[Ref.]],2),"")</f>
        <v/>
      </c>
      <c r="AB497" s="46" t="str">
        <f>IF($F497&lt;&gt;"",DATE(LEFT(Tabela1[[#This Row],[Ref.]],4),RIGHT(Tabela1[[#This Row],[Ref.]],2),1),"")</f>
        <v/>
      </c>
      <c r="AC497" s="4" t="str">
        <f t="shared" si="45"/>
        <v/>
      </c>
      <c r="AD497" s="5" t="str">
        <f t="shared" si="46"/>
        <v/>
      </c>
      <c r="AE497" s="4"/>
      <c r="AF497" s="6" t="str">
        <f t="shared" si="47"/>
        <v/>
      </c>
    </row>
    <row r="498" spans="1:32" ht="15.75" customHeight="1" x14ac:dyDescent="0.2">
      <c r="A498" s="42"/>
      <c r="B498" s="44"/>
      <c r="C498" s="41"/>
      <c r="D498" s="41"/>
      <c r="E498" s="41"/>
      <c r="F498" s="11"/>
      <c r="G498" s="11"/>
      <c r="H498" s="43"/>
      <c r="K498" s="25"/>
      <c r="M498" s="31"/>
      <c r="N498" s="31"/>
      <c r="O498" s="33"/>
      <c r="Q498" s="6" t="str">
        <f>IF($F498&lt;&gt;"",RIGHT(Tabela1[[#This Row],[Ref.]],2),"")</f>
        <v/>
      </c>
      <c r="R498" s="6" t="str">
        <f t="shared" si="42"/>
        <v/>
      </c>
      <c r="S498" s="4" t="str">
        <f>IF($F498&lt;&gt;"",_xlfn.XLOOKUP(F498,Naturezas!B:B,Naturezas!E:E,"",0,1),"")</f>
        <v/>
      </c>
      <c r="T498" s="4" t="str">
        <f>IF($F498&lt;&gt;"",_xlfn.XLOOKUP($F498,Naturezas!B:B,Naturezas!D:D,"",0,1),"")</f>
        <v/>
      </c>
      <c r="U498" s="5" t="str">
        <f>IF(F498&lt;&gt;"",IF(OR(F498=Naturezas!$B$3,F498=Naturezas!$B$4,F498=Naturezas!$B$5,F498=Naturezas!$B$17,F498=Naturezas!$B$18,F498=Naturezas!$B$19),H498,-H498),"")</f>
        <v/>
      </c>
      <c r="V498" s="4" t="str">
        <f t="shared" si="43"/>
        <v/>
      </c>
      <c r="W498" s="4"/>
      <c r="X498" s="4" t="str">
        <f t="shared" si="44"/>
        <v/>
      </c>
      <c r="Y498" s="6" t="str">
        <f>IF(F498&lt;&gt;"",Tabela1[[#This Row],[Iniciais]],"")</f>
        <v/>
      </c>
      <c r="AA498" s="6" t="str">
        <f>IF($F498&lt;&gt;"",RIGHT(Tabela1[[#This Row],[Ref.]],2),"")</f>
        <v/>
      </c>
      <c r="AB498" s="46" t="str">
        <f>IF($F498&lt;&gt;"",DATE(LEFT(Tabela1[[#This Row],[Ref.]],4),RIGHT(Tabela1[[#This Row],[Ref.]],2),1),"")</f>
        <v/>
      </c>
      <c r="AC498" s="4" t="str">
        <f t="shared" si="45"/>
        <v/>
      </c>
      <c r="AD498" s="5" t="str">
        <f t="shared" si="46"/>
        <v/>
      </c>
      <c r="AE498" s="4"/>
      <c r="AF498" s="6" t="str">
        <f t="shared" si="47"/>
        <v/>
      </c>
    </row>
    <row r="499" spans="1:32" ht="15.75" customHeight="1" x14ac:dyDescent="0.2">
      <c r="A499" s="42"/>
      <c r="B499" s="44"/>
      <c r="C499" s="41"/>
      <c r="D499" s="41"/>
      <c r="E499" s="41"/>
      <c r="F499" s="11"/>
      <c r="G499" s="11"/>
      <c r="H499" s="43"/>
      <c r="K499" s="25"/>
      <c r="M499" s="31"/>
      <c r="N499" s="31"/>
      <c r="O499" s="33"/>
      <c r="Q499" s="6" t="str">
        <f>IF($F499&lt;&gt;"",RIGHT(Tabela1[[#This Row],[Ref.]],2),"")</f>
        <v/>
      </c>
      <c r="R499" s="6" t="str">
        <f t="shared" si="42"/>
        <v/>
      </c>
      <c r="S499" s="4" t="str">
        <f>IF($F499&lt;&gt;"",_xlfn.XLOOKUP(F499,Naturezas!B:B,Naturezas!E:E,"",0,1),"")</f>
        <v/>
      </c>
      <c r="T499" s="4" t="str">
        <f>IF($F499&lt;&gt;"",_xlfn.XLOOKUP($F499,Naturezas!B:B,Naturezas!D:D,"",0,1),"")</f>
        <v/>
      </c>
      <c r="U499" s="5" t="str">
        <f>IF(F499&lt;&gt;"",IF(OR(F499=Naturezas!$B$3,F499=Naturezas!$B$4,F499=Naturezas!$B$5,F499=Naturezas!$B$17,F499=Naturezas!$B$18,F499=Naturezas!$B$19),H499,-H499),"")</f>
        <v/>
      </c>
      <c r="V499" s="4" t="str">
        <f t="shared" si="43"/>
        <v/>
      </c>
      <c r="W499" s="4"/>
      <c r="X499" s="4" t="str">
        <f t="shared" si="44"/>
        <v/>
      </c>
      <c r="Y499" s="6" t="str">
        <f>IF(F499&lt;&gt;"",Tabela1[[#This Row],[Iniciais]],"")</f>
        <v/>
      </c>
      <c r="AA499" s="6" t="str">
        <f>IF($F499&lt;&gt;"",RIGHT(Tabela1[[#This Row],[Ref.]],2),"")</f>
        <v/>
      </c>
      <c r="AB499" s="46" t="str">
        <f>IF($F499&lt;&gt;"",DATE(LEFT(Tabela1[[#This Row],[Ref.]],4),RIGHT(Tabela1[[#This Row],[Ref.]],2),1),"")</f>
        <v/>
      </c>
      <c r="AC499" s="4" t="str">
        <f t="shared" si="45"/>
        <v/>
      </c>
      <c r="AD499" s="5" t="str">
        <f t="shared" si="46"/>
        <v/>
      </c>
      <c r="AE499" s="4"/>
      <c r="AF499" s="6" t="str">
        <f t="shared" si="47"/>
        <v/>
      </c>
    </row>
    <row r="500" spans="1:32" ht="15.75" customHeight="1" x14ac:dyDescent="0.2">
      <c r="A500" s="42"/>
      <c r="B500" s="44"/>
      <c r="C500" s="41"/>
      <c r="D500" s="41"/>
      <c r="E500" s="41"/>
      <c r="F500" s="11"/>
      <c r="G500" s="11"/>
      <c r="H500" s="43"/>
      <c r="K500" s="25"/>
      <c r="M500" s="31"/>
      <c r="N500" s="31"/>
      <c r="O500" s="33"/>
      <c r="Q500" s="6" t="str">
        <f>IF($F500&lt;&gt;"",RIGHT(Tabela1[[#This Row],[Ref.]],2),"")</f>
        <v/>
      </c>
      <c r="R500" s="6" t="str">
        <f t="shared" si="42"/>
        <v/>
      </c>
      <c r="S500" s="4" t="str">
        <f>IF($F500&lt;&gt;"",_xlfn.XLOOKUP(F500,Naturezas!B:B,Naturezas!E:E,"",0,1),"")</f>
        <v/>
      </c>
      <c r="T500" s="4" t="str">
        <f>IF($F500&lt;&gt;"",_xlfn.XLOOKUP($F500,Naturezas!B:B,Naturezas!D:D,"",0,1),"")</f>
        <v/>
      </c>
      <c r="U500" s="5" t="str">
        <f>IF(F500&lt;&gt;"",IF(OR(F500=Naturezas!$B$3,F500=Naturezas!$B$4,F500=Naturezas!$B$5,F500=Naturezas!$B$17,F500=Naturezas!$B$18,F500=Naturezas!$B$19),H500,-H500),"")</f>
        <v/>
      </c>
      <c r="V500" s="4" t="str">
        <f t="shared" si="43"/>
        <v/>
      </c>
      <c r="W500" s="4"/>
      <c r="X500" s="4" t="str">
        <f t="shared" si="44"/>
        <v/>
      </c>
      <c r="Y500" s="6" t="str">
        <f>IF(F500&lt;&gt;"",Tabela1[[#This Row],[Iniciais]],"")</f>
        <v/>
      </c>
      <c r="AA500" s="6" t="str">
        <f>IF($F500&lt;&gt;"",RIGHT(Tabela1[[#This Row],[Ref.]],2),"")</f>
        <v/>
      </c>
      <c r="AB500" s="46" t="str">
        <f>IF($F500&lt;&gt;"",DATE(LEFT(Tabela1[[#This Row],[Ref.]],4),RIGHT(Tabela1[[#This Row],[Ref.]],2),1),"")</f>
        <v/>
      </c>
      <c r="AC500" s="4" t="str">
        <f t="shared" si="45"/>
        <v/>
      </c>
      <c r="AD500" s="5" t="str">
        <f t="shared" si="46"/>
        <v/>
      </c>
      <c r="AE500" s="4"/>
      <c r="AF500" s="6" t="str">
        <f t="shared" si="47"/>
        <v/>
      </c>
    </row>
    <row r="501" spans="1:32" ht="15.75" customHeight="1" x14ac:dyDescent="0.2">
      <c r="A501" s="42"/>
      <c r="B501" s="44"/>
      <c r="C501" s="41"/>
      <c r="D501" s="41"/>
      <c r="E501" s="41"/>
      <c r="F501" s="11"/>
      <c r="G501" s="11"/>
      <c r="H501" s="43"/>
      <c r="K501" s="25"/>
      <c r="M501" s="31"/>
      <c r="N501" s="31"/>
      <c r="O501" s="33"/>
      <c r="Q501" s="6" t="str">
        <f>IF($F501&lt;&gt;"",RIGHT(Tabela1[[#This Row],[Ref.]],2),"")</f>
        <v/>
      </c>
      <c r="R501" s="6" t="str">
        <f t="shared" si="42"/>
        <v/>
      </c>
      <c r="S501" s="4" t="str">
        <f>IF($F501&lt;&gt;"",_xlfn.XLOOKUP(F501,Naturezas!B:B,Naturezas!E:E,"",0,1),"")</f>
        <v/>
      </c>
      <c r="T501" s="4" t="str">
        <f>IF($F501&lt;&gt;"",_xlfn.XLOOKUP($F501,Naturezas!B:B,Naturezas!D:D,"",0,1),"")</f>
        <v/>
      </c>
      <c r="U501" s="5" t="str">
        <f>IF(F501&lt;&gt;"",IF(OR(F501=Naturezas!$B$3,F501=Naturezas!$B$4,F501=Naturezas!$B$5,F501=Naturezas!$B$17,F501=Naturezas!$B$18,F501=Naturezas!$B$19),H501,-H501),"")</f>
        <v/>
      </c>
      <c r="V501" s="4" t="str">
        <f t="shared" si="43"/>
        <v/>
      </c>
      <c r="W501" s="4"/>
      <c r="X501" s="4" t="str">
        <f t="shared" si="44"/>
        <v/>
      </c>
      <c r="Y501" s="6" t="str">
        <f>IF(F501&lt;&gt;"",Tabela1[[#This Row],[Iniciais]],"")</f>
        <v/>
      </c>
      <c r="AA501" s="6" t="str">
        <f>IF($F501&lt;&gt;"",RIGHT(Tabela1[[#This Row],[Ref.]],2),"")</f>
        <v/>
      </c>
      <c r="AB501" s="46" t="str">
        <f>IF($F501&lt;&gt;"",DATE(LEFT(Tabela1[[#This Row],[Ref.]],4),RIGHT(Tabela1[[#This Row],[Ref.]],2),1),"")</f>
        <v/>
      </c>
      <c r="AC501" s="4" t="str">
        <f t="shared" si="45"/>
        <v/>
      </c>
      <c r="AD501" s="5" t="str">
        <f t="shared" si="46"/>
        <v/>
      </c>
      <c r="AE501" s="4"/>
      <c r="AF501" s="6" t="str">
        <f t="shared" si="47"/>
        <v/>
      </c>
    </row>
    <row r="502" spans="1:32" ht="15.75" customHeight="1" x14ac:dyDescent="0.2">
      <c r="A502" s="42"/>
      <c r="B502" s="44"/>
      <c r="C502" s="41"/>
      <c r="D502" s="41"/>
      <c r="E502" s="41"/>
      <c r="F502" s="11"/>
      <c r="G502" s="11"/>
      <c r="H502" s="43"/>
      <c r="K502" s="25"/>
      <c r="M502" s="31"/>
      <c r="N502" s="31"/>
      <c r="O502" s="33"/>
      <c r="Q502" s="6" t="str">
        <f>IF($F502&lt;&gt;"",RIGHT(Tabela1[[#This Row],[Ref.]],2),"")</f>
        <v/>
      </c>
      <c r="R502" s="6" t="str">
        <f t="shared" si="42"/>
        <v/>
      </c>
      <c r="S502" s="4" t="str">
        <f>IF($F502&lt;&gt;"",_xlfn.XLOOKUP(F502,Naturezas!B:B,Naturezas!E:E,"",0,1),"")</f>
        <v/>
      </c>
      <c r="T502" s="4" t="str">
        <f>IF($F502&lt;&gt;"",_xlfn.XLOOKUP($F502,Naturezas!B:B,Naturezas!D:D,"",0,1),"")</f>
        <v/>
      </c>
      <c r="U502" s="5" t="str">
        <f>IF(F502&lt;&gt;"",IF(OR(F502=Naturezas!$B$3,F502=Naturezas!$B$4,F502=Naturezas!$B$5,F502=Naturezas!$B$17,F502=Naturezas!$B$18,F502=Naturezas!$B$19),H502,-H502),"")</f>
        <v/>
      </c>
      <c r="V502" s="4" t="str">
        <f t="shared" si="43"/>
        <v/>
      </c>
      <c r="W502" s="4"/>
      <c r="X502" s="4" t="str">
        <f t="shared" si="44"/>
        <v/>
      </c>
      <c r="Y502" s="6" t="str">
        <f>IF(F502&lt;&gt;"",Tabela1[[#This Row],[Iniciais]],"")</f>
        <v/>
      </c>
      <c r="AA502" s="6" t="str">
        <f>IF($F502&lt;&gt;"",RIGHT(Tabela1[[#This Row],[Ref.]],2),"")</f>
        <v/>
      </c>
      <c r="AB502" s="46" t="str">
        <f>IF($F502&lt;&gt;"",DATE(LEFT(Tabela1[[#This Row],[Ref.]],4),RIGHT(Tabela1[[#This Row],[Ref.]],2),1),"")</f>
        <v/>
      </c>
      <c r="AC502" s="4" t="str">
        <f t="shared" si="45"/>
        <v/>
      </c>
      <c r="AD502" s="5" t="str">
        <f t="shared" si="46"/>
        <v/>
      </c>
      <c r="AE502" s="4"/>
      <c r="AF502" s="6" t="str">
        <f t="shared" si="47"/>
        <v/>
      </c>
    </row>
    <row r="503" spans="1:32" ht="15.75" customHeight="1" x14ac:dyDescent="0.2">
      <c r="A503" s="42"/>
      <c r="B503" s="44"/>
      <c r="C503" s="41"/>
      <c r="D503" s="41"/>
      <c r="E503" s="41"/>
      <c r="F503" s="11"/>
      <c r="G503" s="11"/>
      <c r="H503" s="43"/>
      <c r="K503" s="25"/>
      <c r="M503" s="31"/>
      <c r="N503" s="31"/>
      <c r="O503" s="33"/>
      <c r="Q503" s="6" t="str">
        <f>IF($F503&lt;&gt;"",RIGHT(Tabela1[[#This Row],[Ref.]],2),"")</f>
        <v/>
      </c>
      <c r="R503" s="6" t="str">
        <f t="shared" si="42"/>
        <v/>
      </c>
      <c r="S503" s="4" t="str">
        <f>IF($F503&lt;&gt;"",_xlfn.XLOOKUP(F503,Naturezas!B:B,Naturezas!E:E,"",0,1),"")</f>
        <v/>
      </c>
      <c r="T503" s="4" t="str">
        <f>IF($F503&lt;&gt;"",_xlfn.XLOOKUP($F503,Naturezas!B:B,Naturezas!D:D,"",0,1),"")</f>
        <v/>
      </c>
      <c r="U503" s="5" t="str">
        <f>IF(F503&lt;&gt;"",IF(OR(F503=Naturezas!$B$3,F503=Naturezas!$B$4,F503=Naturezas!$B$5,F503=Naturezas!$B$17,F503=Naturezas!$B$18,F503=Naturezas!$B$19),H503,-H503),"")</f>
        <v/>
      </c>
      <c r="V503" s="4" t="str">
        <f t="shared" si="43"/>
        <v/>
      </c>
      <c r="W503" s="4"/>
      <c r="X503" s="4" t="str">
        <f t="shared" si="44"/>
        <v/>
      </c>
      <c r="Y503" s="6" t="str">
        <f>IF(F503&lt;&gt;"",Tabela1[[#This Row],[Iniciais]],"")</f>
        <v/>
      </c>
      <c r="AA503" s="6" t="str">
        <f>IF($F503&lt;&gt;"",RIGHT(Tabela1[[#This Row],[Ref.]],2),"")</f>
        <v/>
      </c>
      <c r="AB503" s="46" t="str">
        <f>IF($F503&lt;&gt;"",DATE(LEFT(Tabela1[[#This Row],[Ref.]],4),RIGHT(Tabela1[[#This Row],[Ref.]],2),1),"")</f>
        <v/>
      </c>
      <c r="AC503" s="4" t="str">
        <f t="shared" si="45"/>
        <v/>
      </c>
      <c r="AD503" s="5" t="str">
        <f t="shared" si="46"/>
        <v/>
      </c>
      <c r="AE503" s="4"/>
      <c r="AF503" s="6" t="str">
        <f t="shared" si="47"/>
        <v/>
      </c>
    </row>
    <row r="504" spans="1:32" ht="15.75" customHeight="1" x14ac:dyDescent="0.2">
      <c r="A504" s="42"/>
      <c r="B504" s="44"/>
      <c r="C504" s="41"/>
      <c r="D504" s="41"/>
      <c r="E504" s="41"/>
      <c r="F504" s="11"/>
      <c r="G504" s="11"/>
      <c r="H504" s="43"/>
      <c r="K504" s="25"/>
      <c r="M504" s="31"/>
      <c r="N504" s="31"/>
      <c r="O504" s="33"/>
      <c r="Q504" s="6" t="str">
        <f>IF($F504&lt;&gt;"",RIGHT(Tabela1[[#This Row],[Ref.]],2),"")</f>
        <v/>
      </c>
      <c r="R504" s="6" t="str">
        <f t="shared" si="42"/>
        <v/>
      </c>
      <c r="S504" s="4" t="str">
        <f>IF($F504&lt;&gt;"",_xlfn.XLOOKUP(F504,Naturezas!B:B,Naturezas!E:E,"",0,1),"")</f>
        <v/>
      </c>
      <c r="T504" s="4" t="str">
        <f>IF($F504&lt;&gt;"",_xlfn.XLOOKUP($F504,Naturezas!B:B,Naturezas!D:D,"",0,1),"")</f>
        <v/>
      </c>
      <c r="U504" s="5" t="str">
        <f>IF(F504&lt;&gt;"",IF(OR(F504=Naturezas!$B$3,F504=Naturezas!$B$4,F504=Naturezas!$B$5,F504=Naturezas!$B$17,F504=Naturezas!$B$18,F504=Naturezas!$B$19),H504,-H504),"")</f>
        <v/>
      </c>
      <c r="V504" s="4" t="str">
        <f t="shared" si="43"/>
        <v/>
      </c>
      <c r="W504" s="4"/>
      <c r="X504" s="4" t="str">
        <f t="shared" si="44"/>
        <v/>
      </c>
      <c r="Y504" s="6" t="str">
        <f>IF(F504&lt;&gt;"",Tabela1[[#This Row],[Iniciais]],"")</f>
        <v/>
      </c>
      <c r="AA504" s="6" t="str">
        <f>IF($F504&lt;&gt;"",RIGHT(Tabela1[[#This Row],[Ref.]],2),"")</f>
        <v/>
      </c>
      <c r="AB504" s="46" t="str">
        <f>IF($F504&lt;&gt;"",DATE(LEFT(Tabela1[[#This Row],[Ref.]],4),RIGHT(Tabela1[[#This Row],[Ref.]],2),1),"")</f>
        <v/>
      </c>
      <c r="AC504" s="4" t="str">
        <f t="shared" si="45"/>
        <v/>
      </c>
      <c r="AD504" s="5" t="str">
        <f t="shared" si="46"/>
        <v/>
      </c>
      <c r="AE504" s="4"/>
      <c r="AF504" s="6" t="str">
        <f t="shared" si="47"/>
        <v/>
      </c>
    </row>
    <row r="505" spans="1:32" ht="15.75" customHeight="1" x14ac:dyDescent="0.2">
      <c r="K505"/>
      <c r="O505"/>
    </row>
    <row r="506" spans="1:32" ht="15.75" customHeight="1" x14ac:dyDescent="0.2">
      <c r="A506" s="41"/>
      <c r="B506" s="41"/>
      <c r="C506" s="41"/>
      <c r="D506" s="41"/>
      <c r="E506" s="41"/>
      <c r="H506" s="2"/>
    </row>
    <row r="507" spans="1:32" ht="15.75" customHeight="1" x14ac:dyDescent="0.2">
      <c r="A507" s="41"/>
      <c r="B507" s="41"/>
      <c r="C507" s="41"/>
      <c r="D507" s="41"/>
      <c r="E507" s="41"/>
      <c r="H507" s="2"/>
    </row>
    <row r="508" spans="1:32" ht="15.75" customHeight="1" x14ac:dyDescent="0.2">
      <c r="A508" s="41"/>
      <c r="B508" s="41"/>
      <c r="C508" s="41"/>
      <c r="D508" s="41"/>
      <c r="E508" s="41"/>
      <c r="H508" s="2"/>
    </row>
    <row r="509" spans="1:32" ht="15.75" customHeight="1" x14ac:dyDescent="0.2">
      <c r="A509" s="41"/>
      <c r="B509" s="41"/>
      <c r="C509" s="41"/>
      <c r="D509" s="41"/>
      <c r="E509" s="41"/>
      <c r="H509" s="2"/>
    </row>
    <row r="510" spans="1:32" ht="15.75" customHeight="1" x14ac:dyDescent="0.2">
      <c r="A510" s="41"/>
      <c r="B510" s="41"/>
      <c r="C510" s="41"/>
      <c r="D510" s="41"/>
      <c r="E510" s="41"/>
      <c r="H510" s="2"/>
    </row>
    <row r="511" spans="1:32" ht="15.75" customHeight="1" x14ac:dyDescent="0.2">
      <c r="A511" s="41"/>
      <c r="B511" s="41"/>
      <c r="C511" s="41"/>
      <c r="D511" s="41"/>
      <c r="E511" s="41"/>
      <c r="H511" s="2"/>
    </row>
    <row r="512" spans="1:32" ht="15.75" customHeight="1" x14ac:dyDescent="0.2">
      <c r="A512" s="41"/>
      <c r="B512" s="41"/>
      <c r="C512" s="41"/>
      <c r="D512" s="41"/>
      <c r="E512" s="41"/>
      <c r="H512" s="2"/>
    </row>
    <row r="513" spans="1:8" ht="15.75" customHeight="1" x14ac:dyDescent="0.2">
      <c r="A513" s="41"/>
      <c r="B513" s="41"/>
      <c r="C513" s="41"/>
      <c r="D513" s="41"/>
      <c r="E513" s="41"/>
      <c r="H513" s="2"/>
    </row>
    <row r="514" spans="1:8" ht="15.75" customHeight="1" x14ac:dyDescent="0.2">
      <c r="A514" s="41"/>
      <c r="B514" s="41"/>
      <c r="C514" s="41"/>
      <c r="D514" s="41"/>
      <c r="E514" s="41"/>
      <c r="H514" s="2"/>
    </row>
    <row r="515" spans="1:8" ht="15.75" customHeight="1" x14ac:dyDescent="0.2">
      <c r="A515" s="41"/>
      <c r="B515" s="41"/>
      <c r="C515" s="41"/>
      <c r="D515" s="41"/>
      <c r="E515" s="41"/>
      <c r="H515" s="2"/>
    </row>
    <row r="516" spans="1:8" ht="15.75" customHeight="1" x14ac:dyDescent="0.2">
      <c r="A516" s="41"/>
      <c r="B516" s="41"/>
      <c r="C516" s="41"/>
      <c r="D516" s="41"/>
      <c r="E516" s="41"/>
      <c r="H516" s="2"/>
    </row>
    <row r="517" spans="1:8" ht="15.75" customHeight="1" x14ac:dyDescent="0.2">
      <c r="A517" s="41"/>
      <c r="B517" s="41"/>
      <c r="C517" s="41"/>
      <c r="D517" s="41"/>
      <c r="E517" s="41"/>
      <c r="H517" s="2"/>
    </row>
    <row r="518" spans="1:8" ht="15.75" customHeight="1" x14ac:dyDescent="0.2">
      <c r="A518" s="41"/>
      <c r="B518" s="41"/>
      <c r="C518" s="41"/>
      <c r="D518" s="41"/>
      <c r="E518" s="41"/>
      <c r="H518" s="2"/>
    </row>
    <row r="519" spans="1:8" ht="15.75" customHeight="1" x14ac:dyDescent="0.2">
      <c r="A519" s="41"/>
      <c r="B519" s="41"/>
      <c r="C519" s="41"/>
      <c r="D519" s="41"/>
      <c r="E519" s="41"/>
      <c r="H519" s="2"/>
    </row>
    <row r="520" spans="1:8" ht="15.75" customHeight="1" x14ac:dyDescent="0.2">
      <c r="A520" s="41"/>
      <c r="B520" s="41"/>
      <c r="C520" s="41"/>
      <c r="D520" s="41"/>
      <c r="E520" s="41"/>
      <c r="H520" s="2"/>
    </row>
    <row r="521" spans="1:8" ht="15.75" customHeight="1" x14ac:dyDescent="0.2">
      <c r="A521" s="41"/>
      <c r="B521" s="41"/>
      <c r="C521" s="41"/>
      <c r="D521" s="41"/>
      <c r="E521" s="41"/>
      <c r="H521" s="2"/>
    </row>
    <row r="522" spans="1:8" ht="15.75" customHeight="1" x14ac:dyDescent="0.2">
      <c r="A522" s="41"/>
      <c r="B522" s="41"/>
      <c r="C522" s="41"/>
      <c r="D522" s="41"/>
      <c r="E522" s="41"/>
      <c r="H522" s="2"/>
    </row>
    <row r="523" spans="1:8" ht="15.75" customHeight="1" x14ac:dyDescent="0.2">
      <c r="A523" s="41"/>
      <c r="B523" s="41"/>
      <c r="C523" s="41"/>
      <c r="D523" s="41"/>
      <c r="E523" s="41"/>
      <c r="H523" s="2"/>
    </row>
    <row r="524" spans="1:8" ht="15.75" customHeight="1" x14ac:dyDescent="0.2">
      <c r="A524" s="41"/>
      <c r="B524" s="41"/>
      <c r="C524" s="41"/>
      <c r="D524" s="41"/>
      <c r="E524" s="41"/>
      <c r="H524" s="2"/>
    </row>
    <row r="525" spans="1:8" ht="15.75" customHeight="1" x14ac:dyDescent="0.2">
      <c r="A525" s="41"/>
      <c r="B525" s="41"/>
      <c r="C525" s="41"/>
      <c r="D525" s="41"/>
      <c r="E525" s="41"/>
      <c r="H525" s="2"/>
    </row>
    <row r="526" spans="1:8" ht="15.75" customHeight="1" x14ac:dyDescent="0.2">
      <c r="A526" s="41"/>
      <c r="B526" s="41"/>
      <c r="C526" s="41"/>
      <c r="D526" s="41"/>
      <c r="E526" s="41"/>
      <c r="H526" s="2"/>
    </row>
    <row r="527" spans="1:8" ht="15.75" customHeight="1" x14ac:dyDescent="0.2">
      <c r="A527" s="41"/>
      <c r="B527" s="41"/>
      <c r="C527" s="41"/>
      <c r="D527" s="41"/>
      <c r="E527" s="41"/>
      <c r="H527" s="2"/>
    </row>
    <row r="528" spans="1:8" ht="15.75" customHeight="1" x14ac:dyDescent="0.2">
      <c r="A528" s="41"/>
      <c r="B528" s="41"/>
      <c r="C528" s="41"/>
      <c r="D528" s="41"/>
      <c r="E528" s="41"/>
      <c r="H528" s="2"/>
    </row>
    <row r="529" spans="1:8" ht="15.75" customHeight="1" x14ac:dyDescent="0.2">
      <c r="A529" s="41"/>
      <c r="B529" s="41"/>
      <c r="C529" s="41"/>
      <c r="D529" s="41"/>
      <c r="E529" s="41"/>
      <c r="H529" s="2"/>
    </row>
    <row r="530" spans="1:8" ht="15.75" customHeight="1" x14ac:dyDescent="0.2">
      <c r="A530" s="41"/>
      <c r="B530" s="41"/>
      <c r="C530" s="41"/>
      <c r="D530" s="41"/>
      <c r="E530" s="41"/>
      <c r="H530" s="2"/>
    </row>
    <row r="531" spans="1:8" ht="15.75" customHeight="1" x14ac:dyDescent="0.2">
      <c r="A531" s="41"/>
      <c r="B531" s="41"/>
      <c r="C531" s="41"/>
      <c r="D531" s="41"/>
      <c r="E531" s="41"/>
      <c r="H531" s="2"/>
    </row>
    <row r="532" spans="1:8" ht="15.75" customHeight="1" x14ac:dyDescent="0.2">
      <c r="A532" s="41"/>
      <c r="B532" s="41"/>
      <c r="C532" s="41"/>
      <c r="D532" s="41"/>
      <c r="E532" s="41"/>
      <c r="H532" s="2"/>
    </row>
    <row r="533" spans="1:8" ht="15.75" customHeight="1" x14ac:dyDescent="0.2">
      <c r="A533" s="41"/>
      <c r="B533" s="41"/>
      <c r="C533" s="41"/>
      <c r="D533" s="41"/>
      <c r="E533" s="41"/>
      <c r="H533" s="2"/>
    </row>
    <row r="534" spans="1:8" ht="15.75" customHeight="1" x14ac:dyDescent="0.2">
      <c r="A534" s="41"/>
      <c r="B534" s="41"/>
      <c r="C534" s="41"/>
      <c r="D534" s="41"/>
      <c r="E534" s="41"/>
      <c r="H534" s="2"/>
    </row>
    <row r="535" spans="1:8" ht="15.75" customHeight="1" x14ac:dyDescent="0.2">
      <c r="A535" s="41"/>
      <c r="B535" s="41"/>
      <c r="C535" s="41"/>
      <c r="D535" s="41"/>
      <c r="E535" s="41"/>
      <c r="H535" s="2"/>
    </row>
    <row r="536" spans="1:8" ht="15.75" customHeight="1" x14ac:dyDescent="0.2">
      <c r="A536" s="41"/>
      <c r="B536" s="41"/>
      <c r="C536" s="41"/>
      <c r="D536" s="41"/>
      <c r="E536" s="41"/>
      <c r="H536" s="2"/>
    </row>
    <row r="537" spans="1:8" ht="15.75" customHeight="1" x14ac:dyDescent="0.2">
      <c r="A537" s="41"/>
      <c r="B537" s="41"/>
      <c r="C537" s="41"/>
      <c r="D537" s="41"/>
      <c r="E537" s="41"/>
      <c r="H537" s="2"/>
    </row>
    <row r="538" spans="1:8" ht="15.75" customHeight="1" x14ac:dyDescent="0.2">
      <c r="A538" s="41"/>
      <c r="B538" s="41"/>
      <c r="C538" s="41"/>
      <c r="D538" s="41"/>
      <c r="E538" s="41"/>
      <c r="H538" s="2"/>
    </row>
    <row r="539" spans="1:8" ht="15.75" customHeight="1" x14ac:dyDescent="0.2">
      <c r="A539" s="41"/>
      <c r="B539" s="41"/>
      <c r="C539" s="41"/>
      <c r="D539" s="41"/>
      <c r="E539" s="41"/>
      <c r="H539" s="2"/>
    </row>
    <row r="540" spans="1:8" ht="15.75" customHeight="1" x14ac:dyDescent="0.2">
      <c r="A540" s="41"/>
      <c r="B540" s="41"/>
      <c r="C540" s="41"/>
      <c r="D540" s="41"/>
      <c r="E540" s="41"/>
      <c r="H540" s="2"/>
    </row>
    <row r="541" spans="1:8" ht="15.75" customHeight="1" x14ac:dyDescent="0.2">
      <c r="A541" s="41"/>
      <c r="B541" s="41"/>
      <c r="C541" s="41"/>
      <c r="D541" s="41"/>
      <c r="E541" s="41"/>
      <c r="H541" s="2"/>
    </row>
    <row r="542" spans="1:8" ht="15.75" customHeight="1" x14ac:dyDescent="0.2">
      <c r="A542" s="41"/>
      <c r="B542" s="41"/>
      <c r="C542" s="41"/>
      <c r="D542" s="41"/>
      <c r="E542" s="41"/>
      <c r="H542" s="2"/>
    </row>
    <row r="543" spans="1:8" ht="15.75" customHeight="1" x14ac:dyDescent="0.2">
      <c r="A543" s="41"/>
      <c r="B543" s="41"/>
      <c r="C543" s="41"/>
      <c r="D543" s="41"/>
      <c r="E543" s="41"/>
      <c r="H543" s="2"/>
    </row>
    <row r="544" spans="1:8" ht="15.75" customHeight="1" x14ac:dyDescent="0.2">
      <c r="A544" s="41"/>
      <c r="B544" s="41"/>
      <c r="C544" s="41"/>
      <c r="D544" s="41"/>
      <c r="E544" s="41"/>
      <c r="H544" s="2"/>
    </row>
    <row r="545" spans="1:8" ht="15.75" customHeight="1" x14ac:dyDescent="0.2">
      <c r="A545" s="41"/>
      <c r="B545" s="41"/>
      <c r="C545" s="41"/>
      <c r="D545" s="41"/>
      <c r="E545" s="41"/>
      <c r="H545" s="2"/>
    </row>
    <row r="546" spans="1:8" ht="15.75" customHeight="1" x14ac:dyDescent="0.2">
      <c r="A546" s="41"/>
      <c r="B546" s="41"/>
      <c r="C546" s="41"/>
      <c r="D546" s="41"/>
      <c r="E546" s="41"/>
      <c r="H546" s="2"/>
    </row>
    <row r="547" spans="1:8" ht="15.75" customHeight="1" x14ac:dyDescent="0.2">
      <c r="A547" s="41"/>
      <c r="B547" s="41"/>
      <c r="C547" s="41"/>
      <c r="D547" s="41"/>
      <c r="E547" s="41"/>
      <c r="H547" s="2"/>
    </row>
    <row r="548" spans="1:8" ht="15.75" customHeight="1" x14ac:dyDescent="0.2">
      <c r="A548" s="41"/>
      <c r="B548" s="41"/>
      <c r="C548" s="41"/>
      <c r="D548" s="41"/>
      <c r="E548" s="41"/>
      <c r="H548" s="2"/>
    </row>
    <row r="549" spans="1:8" ht="15.75" customHeight="1" x14ac:dyDescent="0.2">
      <c r="A549" s="41"/>
      <c r="B549" s="41"/>
      <c r="C549" s="41"/>
      <c r="D549" s="41"/>
      <c r="E549" s="41"/>
      <c r="H549" s="2"/>
    </row>
    <row r="550" spans="1:8" ht="15.75" customHeight="1" x14ac:dyDescent="0.2">
      <c r="A550" s="41"/>
      <c r="B550" s="41"/>
      <c r="C550" s="41"/>
      <c r="D550" s="41"/>
      <c r="E550" s="41"/>
      <c r="H550" s="2"/>
    </row>
    <row r="551" spans="1:8" ht="15.75" customHeight="1" x14ac:dyDescent="0.2">
      <c r="A551" s="41"/>
      <c r="B551" s="41"/>
      <c r="C551" s="41"/>
      <c r="D551" s="41"/>
      <c r="E551" s="41"/>
      <c r="H551" s="2"/>
    </row>
    <row r="552" spans="1:8" ht="15.75" customHeight="1" x14ac:dyDescent="0.2">
      <c r="A552" s="41"/>
      <c r="B552" s="41"/>
      <c r="C552" s="41"/>
      <c r="D552" s="41"/>
      <c r="E552" s="41"/>
      <c r="H552" s="2"/>
    </row>
    <row r="553" spans="1:8" ht="15.75" customHeight="1" x14ac:dyDescent="0.2">
      <c r="A553" s="41"/>
      <c r="B553" s="41"/>
      <c r="C553" s="41"/>
      <c r="D553" s="41"/>
      <c r="E553" s="41"/>
      <c r="H553" s="2"/>
    </row>
    <row r="554" spans="1:8" ht="15.75" customHeight="1" x14ac:dyDescent="0.2">
      <c r="A554" s="41"/>
      <c r="B554" s="41"/>
      <c r="C554" s="41"/>
      <c r="D554" s="41"/>
      <c r="E554" s="41"/>
      <c r="H554" s="2"/>
    </row>
    <row r="555" spans="1:8" ht="15.75" customHeight="1" x14ac:dyDescent="0.2">
      <c r="A555" s="41"/>
      <c r="B555" s="41"/>
      <c r="C555" s="41"/>
      <c r="D555" s="41"/>
      <c r="E555" s="41"/>
      <c r="H555" s="2"/>
    </row>
    <row r="556" spans="1:8" ht="15.75" customHeight="1" x14ac:dyDescent="0.2">
      <c r="A556" s="41"/>
      <c r="B556" s="41"/>
      <c r="C556" s="41"/>
      <c r="D556" s="41"/>
      <c r="E556" s="41"/>
      <c r="H556" s="2"/>
    </row>
    <row r="557" spans="1:8" ht="15.75" customHeight="1" x14ac:dyDescent="0.2">
      <c r="A557" s="41"/>
      <c r="B557" s="41"/>
      <c r="C557" s="41"/>
      <c r="D557" s="41"/>
      <c r="E557" s="41"/>
      <c r="H557" s="2"/>
    </row>
    <row r="558" spans="1:8" ht="15.75" customHeight="1" x14ac:dyDescent="0.2">
      <c r="A558" s="41"/>
      <c r="B558" s="41"/>
      <c r="C558" s="41"/>
      <c r="D558" s="41"/>
      <c r="E558" s="41"/>
      <c r="H558" s="2"/>
    </row>
    <row r="559" spans="1:8" ht="15.75" customHeight="1" x14ac:dyDescent="0.2">
      <c r="A559" s="41"/>
      <c r="B559" s="41"/>
      <c r="C559" s="41"/>
      <c r="D559" s="41"/>
      <c r="E559" s="41"/>
      <c r="H559" s="2"/>
    </row>
    <row r="560" spans="1:8" ht="15.75" customHeight="1" x14ac:dyDescent="0.2">
      <c r="A560" s="41"/>
      <c r="B560" s="41"/>
      <c r="C560" s="41"/>
      <c r="D560" s="41"/>
      <c r="E560" s="41"/>
      <c r="H560" s="2"/>
    </row>
    <row r="561" spans="1:8" ht="15.75" customHeight="1" x14ac:dyDescent="0.2">
      <c r="A561" s="41"/>
      <c r="B561" s="41"/>
      <c r="C561" s="41"/>
      <c r="D561" s="41"/>
      <c r="E561" s="41"/>
      <c r="H561" s="2"/>
    </row>
    <row r="562" spans="1:8" ht="15.75" customHeight="1" x14ac:dyDescent="0.2">
      <c r="A562" s="41"/>
      <c r="B562" s="41"/>
      <c r="C562" s="41"/>
      <c r="D562" s="41"/>
      <c r="E562" s="41"/>
      <c r="H562" s="2"/>
    </row>
    <row r="563" spans="1:8" ht="15.75" customHeight="1" x14ac:dyDescent="0.2">
      <c r="A563" s="41"/>
      <c r="B563" s="41"/>
      <c r="C563" s="41"/>
      <c r="D563" s="41"/>
      <c r="E563" s="41"/>
      <c r="H563" s="2"/>
    </row>
    <row r="564" spans="1:8" ht="15.75" customHeight="1" x14ac:dyDescent="0.2">
      <c r="A564" s="41"/>
      <c r="B564" s="41"/>
      <c r="C564" s="41"/>
      <c r="D564" s="41"/>
      <c r="E564" s="41"/>
      <c r="H564" s="2"/>
    </row>
    <row r="565" spans="1:8" ht="15.75" customHeight="1" x14ac:dyDescent="0.2">
      <c r="A565" s="41"/>
      <c r="B565" s="41"/>
      <c r="C565" s="41"/>
      <c r="D565" s="41"/>
      <c r="E565" s="41"/>
      <c r="H565" s="2"/>
    </row>
    <row r="566" spans="1:8" ht="15.75" customHeight="1" x14ac:dyDescent="0.2">
      <c r="A566" s="41"/>
      <c r="B566" s="41"/>
      <c r="C566" s="41"/>
      <c r="D566" s="41"/>
      <c r="E566" s="41"/>
      <c r="H566" s="2"/>
    </row>
    <row r="567" spans="1:8" ht="15.75" customHeight="1" x14ac:dyDescent="0.2">
      <c r="A567" s="41"/>
      <c r="B567" s="41"/>
      <c r="C567" s="41"/>
      <c r="D567" s="41"/>
      <c r="E567" s="41"/>
      <c r="H567" s="2"/>
    </row>
    <row r="568" spans="1:8" ht="15.75" customHeight="1" x14ac:dyDescent="0.2">
      <c r="A568" s="41"/>
      <c r="B568" s="41"/>
      <c r="C568" s="41"/>
      <c r="D568" s="41"/>
      <c r="E568" s="41"/>
      <c r="H568" s="2"/>
    </row>
    <row r="569" spans="1:8" ht="15.75" customHeight="1" x14ac:dyDescent="0.2">
      <c r="A569" s="41"/>
      <c r="B569" s="41"/>
      <c r="C569" s="41"/>
      <c r="D569" s="41"/>
      <c r="E569" s="41"/>
      <c r="H569" s="2"/>
    </row>
    <row r="570" spans="1:8" ht="15.75" customHeight="1" x14ac:dyDescent="0.2">
      <c r="A570" s="41"/>
      <c r="B570" s="41"/>
      <c r="C570" s="41"/>
      <c r="D570" s="41"/>
      <c r="E570" s="41"/>
      <c r="H570" s="2"/>
    </row>
    <row r="571" spans="1:8" ht="15.75" customHeight="1" x14ac:dyDescent="0.2">
      <c r="A571" s="41"/>
      <c r="B571" s="41"/>
      <c r="C571" s="41"/>
      <c r="D571" s="41"/>
      <c r="E571" s="41"/>
      <c r="H571" s="2"/>
    </row>
    <row r="572" spans="1:8" ht="15.75" customHeight="1" x14ac:dyDescent="0.2">
      <c r="A572" s="41"/>
      <c r="B572" s="41"/>
      <c r="C572" s="41"/>
      <c r="D572" s="41"/>
      <c r="E572" s="41"/>
      <c r="H572" s="2"/>
    </row>
    <row r="573" spans="1:8" ht="15.75" customHeight="1" x14ac:dyDescent="0.2">
      <c r="A573" s="41"/>
      <c r="B573" s="41"/>
      <c r="C573" s="41"/>
      <c r="D573" s="41"/>
      <c r="E573" s="41"/>
      <c r="H573" s="2"/>
    </row>
    <row r="574" spans="1:8" ht="15.75" customHeight="1" x14ac:dyDescent="0.2">
      <c r="A574" s="41"/>
      <c r="B574" s="41"/>
      <c r="C574" s="41"/>
      <c r="D574" s="41"/>
      <c r="E574" s="41"/>
      <c r="H574" s="2"/>
    </row>
    <row r="575" spans="1:8" ht="15.75" customHeight="1" x14ac:dyDescent="0.2">
      <c r="A575" s="41"/>
      <c r="B575" s="41"/>
      <c r="C575" s="41"/>
      <c r="D575" s="41"/>
      <c r="E575" s="41"/>
      <c r="H575" s="2"/>
    </row>
    <row r="576" spans="1:8" ht="15.75" customHeight="1" x14ac:dyDescent="0.2">
      <c r="A576" s="41"/>
      <c r="B576" s="41"/>
      <c r="C576" s="41"/>
      <c r="D576" s="41"/>
      <c r="E576" s="41"/>
      <c r="H576" s="2"/>
    </row>
    <row r="577" spans="1:8" ht="15.75" customHeight="1" x14ac:dyDescent="0.2">
      <c r="A577" s="41"/>
      <c r="B577" s="41"/>
      <c r="C577" s="41"/>
      <c r="D577" s="41"/>
      <c r="E577" s="41"/>
      <c r="H577" s="2"/>
    </row>
    <row r="578" spans="1:8" ht="15.75" customHeight="1" x14ac:dyDescent="0.2">
      <c r="A578" s="41"/>
      <c r="B578" s="41"/>
      <c r="C578" s="41"/>
      <c r="D578" s="41"/>
      <c r="E578" s="41"/>
      <c r="H578" s="2"/>
    </row>
    <row r="579" spans="1:8" ht="15.75" customHeight="1" x14ac:dyDescent="0.2">
      <c r="A579" s="41"/>
      <c r="B579" s="41"/>
      <c r="C579" s="41"/>
      <c r="D579" s="41"/>
      <c r="E579" s="41"/>
      <c r="H579" s="2"/>
    </row>
    <row r="580" spans="1:8" ht="15.75" customHeight="1" x14ac:dyDescent="0.2">
      <c r="A580" s="41"/>
      <c r="B580" s="41"/>
      <c r="C580" s="41"/>
      <c r="D580" s="41"/>
      <c r="E580" s="41"/>
      <c r="H580" s="2"/>
    </row>
    <row r="581" spans="1:8" ht="15.75" customHeight="1" x14ac:dyDescent="0.2">
      <c r="A581" s="41"/>
      <c r="B581" s="41"/>
      <c r="C581" s="41"/>
      <c r="D581" s="41"/>
      <c r="E581" s="41"/>
      <c r="H581" s="2"/>
    </row>
    <row r="582" spans="1:8" ht="15.75" customHeight="1" x14ac:dyDescent="0.2">
      <c r="A582" s="41"/>
      <c r="B582" s="41"/>
      <c r="C582" s="41"/>
      <c r="D582" s="41"/>
      <c r="E582" s="41"/>
      <c r="H582" s="2"/>
    </row>
    <row r="583" spans="1:8" ht="15.75" customHeight="1" x14ac:dyDescent="0.2">
      <c r="A583" s="41"/>
      <c r="B583" s="41"/>
      <c r="C583" s="41"/>
      <c r="D583" s="41"/>
      <c r="E583" s="41"/>
      <c r="H583" s="2"/>
    </row>
    <row r="584" spans="1:8" ht="15.75" customHeight="1" x14ac:dyDescent="0.2">
      <c r="A584" s="41"/>
      <c r="B584" s="41"/>
      <c r="C584" s="41"/>
      <c r="D584" s="41"/>
      <c r="E584" s="41"/>
      <c r="H584" s="2"/>
    </row>
    <row r="585" spans="1:8" ht="15.75" customHeight="1" x14ac:dyDescent="0.2">
      <c r="A585" s="41"/>
      <c r="B585" s="41"/>
      <c r="C585" s="41"/>
      <c r="D585" s="41"/>
      <c r="E585" s="41"/>
      <c r="H585" s="2"/>
    </row>
    <row r="586" spans="1:8" ht="15.75" customHeight="1" x14ac:dyDescent="0.2">
      <c r="A586" s="41"/>
      <c r="B586" s="41"/>
      <c r="C586" s="41"/>
      <c r="D586" s="41"/>
      <c r="E586" s="41"/>
      <c r="H586" s="2"/>
    </row>
    <row r="587" spans="1:8" ht="15.75" customHeight="1" x14ac:dyDescent="0.2">
      <c r="A587" s="41"/>
      <c r="B587" s="41"/>
      <c r="C587" s="41"/>
      <c r="D587" s="41"/>
      <c r="E587" s="41"/>
      <c r="H587" s="2"/>
    </row>
    <row r="588" spans="1:8" ht="15.75" customHeight="1" x14ac:dyDescent="0.2">
      <c r="A588" s="41"/>
      <c r="B588" s="41"/>
      <c r="C588" s="41"/>
      <c r="D588" s="41"/>
      <c r="E588" s="41"/>
      <c r="H588" s="2"/>
    </row>
    <row r="589" spans="1:8" ht="15.75" customHeight="1" x14ac:dyDescent="0.2">
      <c r="A589" s="41"/>
      <c r="B589" s="41"/>
      <c r="C589" s="41"/>
      <c r="D589" s="41"/>
      <c r="E589" s="41"/>
      <c r="H589" s="2"/>
    </row>
    <row r="590" spans="1:8" ht="15.75" customHeight="1" x14ac:dyDescent="0.2">
      <c r="A590" s="41"/>
      <c r="B590" s="41"/>
      <c r="C590" s="41"/>
      <c r="D590" s="41"/>
      <c r="E590" s="41"/>
      <c r="H590" s="2"/>
    </row>
    <row r="591" spans="1:8" ht="15.75" customHeight="1" x14ac:dyDescent="0.2">
      <c r="A591" s="41"/>
      <c r="B591" s="41"/>
      <c r="C591" s="41"/>
      <c r="D591" s="41"/>
      <c r="E591" s="41"/>
      <c r="H591" s="2"/>
    </row>
    <row r="592" spans="1:8" ht="15.75" customHeight="1" x14ac:dyDescent="0.2">
      <c r="A592" s="41"/>
      <c r="B592" s="41"/>
      <c r="C592" s="41"/>
      <c r="D592" s="41"/>
      <c r="E592" s="41"/>
      <c r="H592" s="2"/>
    </row>
    <row r="593" spans="1:8" ht="15.75" customHeight="1" x14ac:dyDescent="0.2">
      <c r="A593" s="41"/>
      <c r="B593" s="41"/>
      <c r="C593" s="41"/>
      <c r="D593" s="41"/>
      <c r="E593" s="41"/>
      <c r="H593" s="2"/>
    </row>
    <row r="594" spans="1:8" ht="15.75" customHeight="1" x14ac:dyDescent="0.2">
      <c r="A594" s="41"/>
      <c r="B594" s="41"/>
      <c r="C594" s="41"/>
      <c r="D594" s="41"/>
      <c r="E594" s="41"/>
      <c r="H594" s="2"/>
    </row>
    <row r="595" spans="1:8" ht="15.75" customHeight="1" x14ac:dyDescent="0.2">
      <c r="A595" s="41"/>
      <c r="B595" s="41"/>
      <c r="C595" s="41"/>
      <c r="D595" s="41"/>
      <c r="E595" s="41"/>
      <c r="H595" s="2"/>
    </row>
    <row r="596" spans="1:8" ht="15.75" customHeight="1" x14ac:dyDescent="0.2">
      <c r="A596" s="41"/>
      <c r="B596" s="41"/>
      <c r="C596" s="41"/>
      <c r="D596" s="41"/>
      <c r="E596" s="41"/>
      <c r="H596" s="2"/>
    </row>
    <row r="597" spans="1:8" ht="15.75" customHeight="1" x14ac:dyDescent="0.2">
      <c r="A597" s="41"/>
      <c r="B597" s="41"/>
      <c r="C597" s="41"/>
      <c r="D597" s="41"/>
      <c r="E597" s="41"/>
      <c r="H597" s="2"/>
    </row>
    <row r="598" spans="1:8" ht="15.75" customHeight="1" x14ac:dyDescent="0.2">
      <c r="A598" s="41"/>
      <c r="B598" s="41"/>
      <c r="C598" s="41"/>
      <c r="D598" s="41"/>
      <c r="E598" s="41"/>
      <c r="H598" s="2"/>
    </row>
    <row r="599" spans="1:8" ht="15.75" customHeight="1" x14ac:dyDescent="0.2">
      <c r="A599" s="41"/>
      <c r="B599" s="41"/>
      <c r="C599" s="41"/>
      <c r="D599" s="41"/>
      <c r="E599" s="41"/>
      <c r="H599" s="2"/>
    </row>
    <row r="600" spans="1:8" ht="15.75" customHeight="1" x14ac:dyDescent="0.2">
      <c r="A600" s="41"/>
      <c r="B600" s="41"/>
      <c r="C600" s="41"/>
      <c r="D600" s="41"/>
      <c r="E600" s="41"/>
      <c r="H600" s="2"/>
    </row>
    <row r="601" spans="1:8" ht="15.75" customHeight="1" x14ac:dyDescent="0.2">
      <c r="A601" s="41"/>
      <c r="B601" s="41"/>
      <c r="C601" s="41"/>
      <c r="D601" s="41"/>
      <c r="E601" s="41"/>
      <c r="H601" s="2"/>
    </row>
    <row r="602" spans="1:8" ht="15.75" customHeight="1" x14ac:dyDescent="0.2">
      <c r="A602" s="41"/>
      <c r="B602" s="41"/>
      <c r="C602" s="41"/>
      <c r="D602" s="41"/>
      <c r="E602" s="41"/>
      <c r="H602" s="2"/>
    </row>
    <row r="603" spans="1:8" ht="15.75" customHeight="1" x14ac:dyDescent="0.2">
      <c r="A603" s="41"/>
      <c r="B603" s="41"/>
      <c r="C603" s="41"/>
      <c r="D603" s="41"/>
      <c r="E603" s="41"/>
      <c r="H603" s="2"/>
    </row>
    <row r="604" spans="1:8" ht="15.75" customHeight="1" x14ac:dyDescent="0.2">
      <c r="A604" s="41"/>
      <c r="B604" s="41"/>
      <c r="C604" s="41"/>
      <c r="D604" s="41"/>
      <c r="E604" s="41"/>
      <c r="H604" s="2"/>
    </row>
    <row r="605" spans="1:8" ht="15.75" customHeight="1" x14ac:dyDescent="0.2">
      <c r="A605" s="41"/>
      <c r="B605" s="41"/>
      <c r="C605" s="41"/>
      <c r="D605" s="41"/>
      <c r="E605" s="41"/>
      <c r="H605" s="2"/>
    </row>
    <row r="606" spans="1:8" ht="15.75" customHeight="1" x14ac:dyDescent="0.2">
      <c r="A606" s="41"/>
      <c r="B606" s="41"/>
      <c r="C606" s="41"/>
      <c r="D606" s="41"/>
      <c r="E606" s="41"/>
      <c r="H606" s="2"/>
    </row>
    <row r="607" spans="1:8" ht="15.75" customHeight="1" x14ac:dyDescent="0.2">
      <c r="A607" s="41"/>
      <c r="B607" s="41"/>
      <c r="C607" s="41"/>
      <c r="D607" s="41"/>
      <c r="E607" s="41"/>
      <c r="H607" s="2"/>
    </row>
    <row r="608" spans="1:8" ht="15.75" customHeight="1" x14ac:dyDescent="0.2">
      <c r="A608" s="41"/>
      <c r="B608" s="41"/>
      <c r="C608" s="41"/>
      <c r="D608" s="41"/>
      <c r="E608" s="41"/>
      <c r="H608" s="2"/>
    </row>
    <row r="609" spans="1:8" ht="15.75" customHeight="1" x14ac:dyDescent="0.2">
      <c r="A609" s="41"/>
      <c r="B609" s="41"/>
      <c r="C609" s="41"/>
      <c r="D609" s="41"/>
      <c r="E609" s="41"/>
      <c r="H609" s="2"/>
    </row>
    <row r="610" spans="1:8" ht="15.75" customHeight="1" x14ac:dyDescent="0.2">
      <c r="A610" s="41"/>
      <c r="B610" s="41"/>
      <c r="C610" s="41"/>
      <c r="D610" s="41"/>
      <c r="E610" s="41"/>
      <c r="H610" s="2"/>
    </row>
    <row r="611" spans="1:8" ht="15.75" customHeight="1" x14ac:dyDescent="0.2">
      <c r="A611" s="41"/>
      <c r="B611" s="41"/>
      <c r="C611" s="41"/>
      <c r="D611" s="41"/>
      <c r="E611" s="41"/>
      <c r="H611" s="2"/>
    </row>
    <row r="612" spans="1:8" ht="15.75" customHeight="1" x14ac:dyDescent="0.2">
      <c r="A612" s="41"/>
      <c r="B612" s="41"/>
      <c r="C612" s="41"/>
      <c r="D612" s="41"/>
      <c r="E612" s="41"/>
      <c r="H612" s="2"/>
    </row>
    <row r="613" spans="1:8" ht="15.75" customHeight="1" x14ac:dyDescent="0.2">
      <c r="A613" s="41"/>
      <c r="B613" s="41"/>
      <c r="C613" s="41"/>
      <c r="D613" s="41"/>
      <c r="E613" s="41"/>
      <c r="H613" s="2"/>
    </row>
    <row r="614" spans="1:8" ht="15.75" customHeight="1" x14ac:dyDescent="0.2">
      <c r="A614" s="41"/>
      <c r="B614" s="41"/>
      <c r="C614" s="41"/>
      <c r="D614" s="41"/>
      <c r="E614" s="41"/>
      <c r="H614" s="2"/>
    </row>
    <row r="615" spans="1:8" ht="15.75" customHeight="1" x14ac:dyDescent="0.2">
      <c r="A615" s="41"/>
      <c r="B615" s="41"/>
      <c r="C615" s="41"/>
      <c r="D615" s="41"/>
      <c r="E615" s="41"/>
      <c r="H615" s="2"/>
    </row>
    <row r="616" spans="1:8" ht="15.75" customHeight="1" x14ac:dyDescent="0.2">
      <c r="A616" s="41"/>
      <c r="B616" s="41"/>
      <c r="C616" s="41"/>
      <c r="D616" s="41"/>
      <c r="E616" s="41"/>
      <c r="H616" s="2"/>
    </row>
    <row r="617" spans="1:8" ht="15.75" customHeight="1" x14ac:dyDescent="0.2">
      <c r="A617" s="41"/>
      <c r="B617" s="41"/>
      <c r="C617" s="41"/>
      <c r="D617" s="41"/>
      <c r="E617" s="41"/>
      <c r="H617" s="2"/>
    </row>
    <row r="618" spans="1:8" ht="15.75" customHeight="1" x14ac:dyDescent="0.2">
      <c r="A618" s="41"/>
      <c r="B618" s="41"/>
      <c r="C618" s="41"/>
      <c r="D618" s="41"/>
      <c r="E618" s="41"/>
      <c r="H618" s="2"/>
    </row>
    <row r="619" spans="1:8" ht="15.75" customHeight="1" x14ac:dyDescent="0.2">
      <c r="A619" s="41"/>
      <c r="B619" s="41"/>
      <c r="C619" s="41"/>
      <c r="D619" s="41"/>
      <c r="E619" s="41"/>
      <c r="H619" s="2"/>
    </row>
    <row r="620" spans="1:8" ht="15.75" customHeight="1" x14ac:dyDescent="0.2">
      <c r="A620" s="41"/>
      <c r="B620" s="41"/>
      <c r="C620" s="41"/>
      <c r="D620" s="41"/>
      <c r="E620" s="41"/>
      <c r="H620" s="2"/>
    </row>
    <row r="621" spans="1:8" ht="15.75" customHeight="1" x14ac:dyDescent="0.2">
      <c r="A621" s="41"/>
      <c r="B621" s="41"/>
      <c r="C621" s="41"/>
      <c r="D621" s="41"/>
      <c r="E621" s="41"/>
      <c r="H621" s="2"/>
    </row>
    <row r="622" spans="1:8" ht="15.75" customHeight="1" x14ac:dyDescent="0.2">
      <c r="A622" s="41"/>
      <c r="B622" s="41"/>
      <c r="C622" s="41"/>
      <c r="D622" s="41"/>
      <c r="E622" s="41"/>
      <c r="H622" s="2"/>
    </row>
    <row r="623" spans="1:8" ht="15.75" customHeight="1" x14ac:dyDescent="0.2">
      <c r="A623" s="41"/>
      <c r="B623" s="41"/>
      <c r="C623" s="41"/>
      <c r="D623" s="41"/>
      <c r="E623" s="41"/>
      <c r="H623" s="2"/>
    </row>
    <row r="624" spans="1:8" ht="15.75" customHeight="1" x14ac:dyDescent="0.2">
      <c r="A624" s="41"/>
      <c r="B624" s="41"/>
      <c r="C624" s="41"/>
      <c r="D624" s="41"/>
      <c r="E624" s="41"/>
      <c r="H624" s="2"/>
    </row>
    <row r="625" spans="1:8" ht="15.75" customHeight="1" x14ac:dyDescent="0.2">
      <c r="A625" s="41"/>
      <c r="B625" s="41"/>
      <c r="C625" s="41"/>
      <c r="D625" s="41"/>
      <c r="E625" s="41"/>
      <c r="H625" s="2"/>
    </row>
    <row r="626" spans="1:8" ht="15.75" customHeight="1" x14ac:dyDescent="0.2">
      <c r="A626" s="41"/>
      <c r="B626" s="41"/>
      <c r="C626" s="41"/>
      <c r="D626" s="41"/>
      <c r="E626" s="41"/>
      <c r="H626" s="2"/>
    </row>
    <row r="627" spans="1:8" ht="15.75" customHeight="1" x14ac:dyDescent="0.2">
      <c r="A627" s="41"/>
      <c r="B627" s="41"/>
      <c r="C627" s="41"/>
      <c r="D627" s="41"/>
      <c r="E627" s="41"/>
      <c r="H627" s="2"/>
    </row>
    <row r="628" spans="1:8" ht="15.75" customHeight="1" x14ac:dyDescent="0.2">
      <c r="A628" s="41"/>
      <c r="B628" s="41"/>
      <c r="C628" s="41"/>
      <c r="D628" s="41"/>
      <c r="E628" s="41"/>
      <c r="H628" s="2"/>
    </row>
    <row r="629" spans="1:8" ht="15.75" customHeight="1" x14ac:dyDescent="0.2">
      <c r="A629" s="41"/>
      <c r="B629" s="41"/>
      <c r="C629" s="41"/>
      <c r="D629" s="41"/>
      <c r="E629" s="41"/>
      <c r="H629" s="2"/>
    </row>
    <row r="630" spans="1:8" ht="15.75" customHeight="1" x14ac:dyDescent="0.2">
      <c r="A630" s="41"/>
      <c r="B630" s="41"/>
      <c r="C630" s="41"/>
      <c r="D630" s="41"/>
      <c r="E630" s="41"/>
      <c r="H630" s="2"/>
    </row>
    <row r="631" spans="1:8" ht="15.75" customHeight="1" x14ac:dyDescent="0.2">
      <c r="A631" s="41"/>
      <c r="B631" s="41"/>
      <c r="C631" s="41"/>
      <c r="D631" s="41"/>
      <c r="E631" s="41"/>
      <c r="H631" s="2"/>
    </row>
    <row r="632" spans="1:8" ht="15.75" customHeight="1" x14ac:dyDescent="0.2">
      <c r="A632" s="41"/>
      <c r="B632" s="41"/>
      <c r="C632" s="41"/>
      <c r="D632" s="41"/>
      <c r="E632" s="41"/>
      <c r="H632" s="2"/>
    </row>
    <row r="633" spans="1:8" ht="15.75" customHeight="1" x14ac:dyDescent="0.2">
      <c r="A633" s="41"/>
      <c r="B633" s="41"/>
      <c r="C633" s="41"/>
      <c r="D633" s="41"/>
      <c r="E633" s="41"/>
      <c r="H633" s="2"/>
    </row>
    <row r="634" spans="1:8" ht="15.75" customHeight="1" x14ac:dyDescent="0.2">
      <c r="A634" s="41"/>
      <c r="B634" s="41"/>
      <c r="C634" s="41"/>
      <c r="D634" s="41"/>
      <c r="E634" s="41"/>
      <c r="H634" s="2"/>
    </row>
    <row r="635" spans="1:8" ht="15.75" customHeight="1" x14ac:dyDescent="0.2">
      <c r="A635" s="41"/>
      <c r="B635" s="41"/>
      <c r="C635" s="41"/>
      <c r="D635" s="41"/>
      <c r="E635" s="41"/>
      <c r="H635" s="2"/>
    </row>
    <row r="636" spans="1:8" ht="15.75" customHeight="1" x14ac:dyDescent="0.2">
      <c r="A636" s="41"/>
      <c r="B636" s="41"/>
      <c r="C636" s="41"/>
      <c r="D636" s="41"/>
      <c r="E636" s="41"/>
      <c r="H636" s="2"/>
    </row>
    <row r="637" spans="1:8" ht="15.75" customHeight="1" x14ac:dyDescent="0.2">
      <c r="A637" s="41"/>
      <c r="B637" s="41"/>
      <c r="C637" s="41"/>
      <c r="D637" s="41"/>
      <c r="E637" s="41"/>
      <c r="H637" s="2"/>
    </row>
    <row r="638" spans="1:8" ht="15.75" customHeight="1" x14ac:dyDescent="0.2">
      <c r="A638" s="41"/>
      <c r="B638" s="41"/>
      <c r="C638" s="41"/>
      <c r="D638" s="41"/>
      <c r="E638" s="41"/>
      <c r="H638" s="2"/>
    </row>
    <row r="639" spans="1:8" ht="15.75" customHeight="1" x14ac:dyDescent="0.2">
      <c r="A639" s="41"/>
      <c r="B639" s="41"/>
      <c r="C639" s="41"/>
      <c r="D639" s="41"/>
      <c r="E639" s="41"/>
      <c r="H639" s="2"/>
    </row>
    <row r="640" spans="1:8" ht="15.75" customHeight="1" x14ac:dyDescent="0.2">
      <c r="A640" s="41"/>
      <c r="B640" s="41"/>
      <c r="C640" s="41"/>
      <c r="D640" s="41"/>
      <c r="E640" s="41"/>
      <c r="H640" s="2"/>
    </row>
    <row r="641" spans="1:8" ht="15.75" customHeight="1" x14ac:dyDescent="0.2">
      <c r="A641" s="41"/>
      <c r="B641" s="41"/>
      <c r="C641" s="41"/>
      <c r="D641" s="41"/>
      <c r="E641" s="41"/>
      <c r="H641" s="2"/>
    </row>
    <row r="642" spans="1:8" ht="15.75" customHeight="1" x14ac:dyDescent="0.2">
      <c r="A642" s="41"/>
      <c r="B642" s="41"/>
      <c r="C642" s="41"/>
      <c r="D642" s="41"/>
      <c r="E642" s="41"/>
      <c r="H642" s="2"/>
    </row>
    <row r="643" spans="1:8" ht="15.75" customHeight="1" x14ac:dyDescent="0.2">
      <c r="A643" s="41"/>
      <c r="B643" s="41"/>
      <c r="C643" s="41"/>
      <c r="D643" s="41"/>
      <c r="E643" s="41"/>
      <c r="H643" s="2"/>
    </row>
    <row r="644" spans="1:8" ht="15.75" customHeight="1" x14ac:dyDescent="0.2">
      <c r="A644" s="41"/>
      <c r="B644" s="41"/>
      <c r="C644" s="41"/>
      <c r="D644" s="41"/>
      <c r="E644" s="41"/>
      <c r="H644" s="2"/>
    </row>
    <row r="645" spans="1:8" ht="15.75" customHeight="1" x14ac:dyDescent="0.2">
      <c r="A645" s="41"/>
      <c r="B645" s="41"/>
      <c r="C645" s="41"/>
      <c r="D645" s="41"/>
      <c r="E645" s="41"/>
      <c r="H645" s="2"/>
    </row>
    <row r="646" spans="1:8" ht="15.75" customHeight="1" x14ac:dyDescent="0.2">
      <c r="A646" s="41"/>
      <c r="B646" s="41"/>
      <c r="C646" s="41"/>
      <c r="D646" s="41"/>
      <c r="E646" s="41"/>
      <c r="H646" s="2"/>
    </row>
    <row r="647" spans="1:8" ht="15.75" customHeight="1" x14ac:dyDescent="0.2">
      <c r="A647" s="41"/>
      <c r="B647" s="41"/>
      <c r="C647" s="41"/>
      <c r="D647" s="41"/>
      <c r="E647" s="41"/>
      <c r="H647" s="2"/>
    </row>
    <row r="648" spans="1:8" ht="15.75" customHeight="1" x14ac:dyDescent="0.2">
      <c r="A648" s="41"/>
      <c r="B648" s="41"/>
      <c r="C648" s="41"/>
      <c r="D648" s="41"/>
      <c r="E648" s="41"/>
      <c r="H648" s="2"/>
    </row>
    <row r="649" spans="1:8" ht="15.75" customHeight="1" x14ac:dyDescent="0.2">
      <c r="A649" s="41"/>
      <c r="B649" s="41"/>
      <c r="C649" s="41"/>
      <c r="D649" s="41"/>
      <c r="E649" s="41"/>
      <c r="H649" s="2"/>
    </row>
    <row r="650" spans="1:8" ht="15.75" customHeight="1" x14ac:dyDescent="0.2">
      <c r="A650" s="41"/>
      <c r="B650" s="41"/>
      <c r="C650" s="41"/>
      <c r="D650" s="41"/>
      <c r="E650" s="41"/>
      <c r="H650" s="2"/>
    </row>
    <row r="651" spans="1:8" ht="15.75" customHeight="1" x14ac:dyDescent="0.2">
      <c r="A651" s="41"/>
      <c r="B651" s="41"/>
      <c r="C651" s="41"/>
      <c r="D651" s="41"/>
      <c r="E651" s="41"/>
      <c r="H651" s="2"/>
    </row>
    <row r="652" spans="1:8" ht="15.75" customHeight="1" x14ac:dyDescent="0.2">
      <c r="A652" s="41"/>
      <c r="B652" s="41"/>
      <c r="C652" s="41"/>
      <c r="D652" s="41"/>
      <c r="E652" s="41"/>
      <c r="H652" s="2"/>
    </row>
    <row r="653" spans="1:8" ht="15.75" customHeight="1" x14ac:dyDescent="0.2">
      <c r="A653" s="41"/>
      <c r="B653" s="41"/>
      <c r="C653" s="41"/>
      <c r="D653" s="41"/>
      <c r="E653" s="41"/>
      <c r="H653" s="2"/>
    </row>
    <row r="654" spans="1:8" ht="15.75" customHeight="1" x14ac:dyDescent="0.2">
      <c r="A654" s="41"/>
      <c r="B654" s="41"/>
      <c r="C654" s="41"/>
      <c r="D654" s="41"/>
      <c r="E654" s="41"/>
      <c r="H654" s="2"/>
    </row>
    <row r="655" spans="1:8" ht="15.75" customHeight="1" x14ac:dyDescent="0.2">
      <c r="A655" s="41"/>
      <c r="B655" s="41"/>
      <c r="C655" s="41"/>
      <c r="D655" s="41"/>
      <c r="E655" s="41"/>
      <c r="H655" s="2"/>
    </row>
    <row r="656" spans="1:8" ht="15.75" customHeight="1" x14ac:dyDescent="0.2">
      <c r="A656" s="41"/>
      <c r="B656" s="41"/>
      <c r="C656" s="41"/>
      <c r="D656" s="41"/>
      <c r="E656" s="41"/>
      <c r="H656" s="2"/>
    </row>
    <row r="657" spans="1:8" ht="15.75" customHeight="1" x14ac:dyDescent="0.2">
      <c r="A657" s="41"/>
      <c r="B657" s="41"/>
      <c r="C657" s="41"/>
      <c r="D657" s="41"/>
      <c r="E657" s="41"/>
      <c r="H657" s="2"/>
    </row>
    <row r="658" spans="1:8" ht="15.75" customHeight="1" x14ac:dyDescent="0.2">
      <c r="A658" s="41"/>
      <c r="B658" s="41"/>
      <c r="C658" s="41"/>
      <c r="D658" s="41"/>
      <c r="E658" s="41"/>
      <c r="H658" s="2"/>
    </row>
    <row r="659" spans="1:8" ht="15.75" customHeight="1" x14ac:dyDescent="0.2">
      <c r="A659" s="41"/>
      <c r="B659" s="41"/>
      <c r="C659" s="41"/>
      <c r="D659" s="41"/>
      <c r="E659" s="41"/>
      <c r="H659" s="2"/>
    </row>
    <row r="660" spans="1:8" ht="15.75" customHeight="1" x14ac:dyDescent="0.2">
      <c r="A660" s="41"/>
      <c r="B660" s="41"/>
      <c r="C660" s="41"/>
      <c r="D660" s="41"/>
      <c r="E660" s="41"/>
      <c r="H660" s="2"/>
    </row>
    <row r="661" spans="1:8" ht="15.75" customHeight="1" x14ac:dyDescent="0.2">
      <c r="A661" s="41"/>
      <c r="B661" s="41"/>
      <c r="C661" s="41"/>
      <c r="D661" s="41"/>
      <c r="E661" s="41"/>
      <c r="H661" s="2"/>
    </row>
    <row r="662" spans="1:8" ht="15.75" customHeight="1" x14ac:dyDescent="0.2">
      <c r="A662" s="41"/>
      <c r="B662" s="41"/>
      <c r="C662" s="41"/>
      <c r="D662" s="41"/>
      <c r="E662" s="41"/>
      <c r="H662" s="2"/>
    </row>
    <row r="663" spans="1:8" ht="15.75" customHeight="1" x14ac:dyDescent="0.2">
      <c r="A663" s="41"/>
      <c r="B663" s="41"/>
      <c r="C663" s="41"/>
      <c r="D663" s="41"/>
      <c r="E663" s="41"/>
      <c r="H663" s="2"/>
    </row>
    <row r="664" spans="1:8" ht="15.75" customHeight="1" x14ac:dyDescent="0.2">
      <c r="A664" s="41"/>
      <c r="B664" s="41"/>
      <c r="C664" s="41"/>
      <c r="D664" s="41"/>
      <c r="E664" s="41"/>
      <c r="H664" s="2"/>
    </row>
    <row r="665" spans="1:8" ht="15.75" customHeight="1" x14ac:dyDescent="0.2">
      <c r="A665" s="41"/>
      <c r="B665" s="41"/>
      <c r="C665" s="41"/>
      <c r="D665" s="41"/>
      <c r="E665" s="41"/>
      <c r="H665" s="2"/>
    </row>
    <row r="666" spans="1:8" ht="15.75" customHeight="1" x14ac:dyDescent="0.2">
      <c r="A666" s="41"/>
      <c r="B666" s="41"/>
      <c r="C666" s="41"/>
      <c r="D666" s="41"/>
      <c r="E666" s="41"/>
      <c r="H666" s="2"/>
    </row>
    <row r="667" spans="1:8" ht="15.75" customHeight="1" x14ac:dyDescent="0.2">
      <c r="A667" s="41"/>
      <c r="B667" s="41"/>
      <c r="C667" s="41"/>
      <c r="D667" s="41"/>
      <c r="E667" s="41"/>
      <c r="H667" s="2"/>
    </row>
    <row r="668" spans="1:8" ht="15.75" customHeight="1" x14ac:dyDescent="0.2">
      <c r="A668" s="41"/>
      <c r="B668" s="41"/>
      <c r="C668" s="41"/>
      <c r="D668" s="41"/>
      <c r="E668" s="41"/>
      <c r="H668" s="2"/>
    </row>
    <row r="669" spans="1:8" ht="15.75" customHeight="1" x14ac:dyDescent="0.2">
      <c r="A669" s="41"/>
      <c r="B669" s="41"/>
      <c r="C669" s="41"/>
      <c r="D669" s="41"/>
      <c r="E669" s="41"/>
      <c r="H669" s="2"/>
    </row>
    <row r="670" spans="1:8" ht="15.75" customHeight="1" x14ac:dyDescent="0.2">
      <c r="A670" s="41"/>
      <c r="B670" s="41"/>
      <c r="C670" s="41"/>
      <c r="D670" s="41"/>
      <c r="E670" s="41"/>
      <c r="H670" s="2"/>
    </row>
    <row r="671" spans="1:8" ht="15.75" customHeight="1" x14ac:dyDescent="0.2">
      <c r="A671" s="41"/>
      <c r="B671" s="41"/>
      <c r="C671" s="41"/>
      <c r="D671" s="41"/>
      <c r="E671" s="41"/>
      <c r="H671" s="2"/>
    </row>
    <row r="672" spans="1:8" ht="15.75" customHeight="1" x14ac:dyDescent="0.2">
      <c r="A672" s="41"/>
      <c r="B672" s="41"/>
      <c r="C672" s="41"/>
      <c r="D672" s="41"/>
      <c r="E672" s="41"/>
      <c r="H672" s="2"/>
    </row>
    <row r="673" spans="1:8" ht="15.75" customHeight="1" x14ac:dyDescent="0.2">
      <c r="A673" s="41"/>
      <c r="B673" s="41"/>
      <c r="C673" s="41"/>
      <c r="D673" s="41"/>
      <c r="E673" s="41"/>
      <c r="H673" s="2"/>
    </row>
    <row r="674" spans="1:8" ht="15.75" customHeight="1" x14ac:dyDescent="0.2">
      <c r="A674" s="41"/>
      <c r="B674" s="41"/>
      <c r="C674" s="41"/>
      <c r="D674" s="41"/>
      <c r="E674" s="41"/>
      <c r="H674" s="2"/>
    </row>
    <row r="675" spans="1:8" ht="15.75" customHeight="1" x14ac:dyDescent="0.2">
      <c r="A675" s="41"/>
      <c r="B675" s="41"/>
      <c r="C675" s="41"/>
      <c r="D675" s="41"/>
      <c r="E675" s="41"/>
      <c r="H675" s="2"/>
    </row>
    <row r="676" spans="1:8" ht="15.75" customHeight="1" x14ac:dyDescent="0.2">
      <c r="A676" s="41"/>
      <c r="B676" s="41"/>
      <c r="C676" s="41"/>
      <c r="D676" s="41"/>
      <c r="E676" s="41"/>
      <c r="H676" s="2"/>
    </row>
    <row r="677" spans="1:8" ht="15.75" customHeight="1" x14ac:dyDescent="0.2">
      <c r="A677" s="41"/>
      <c r="B677" s="41"/>
      <c r="C677" s="41"/>
      <c r="D677" s="41"/>
      <c r="E677" s="41"/>
      <c r="H677" s="2"/>
    </row>
    <row r="678" spans="1:8" ht="15.75" customHeight="1" x14ac:dyDescent="0.2">
      <c r="A678" s="41"/>
      <c r="B678" s="41"/>
      <c r="C678" s="41"/>
      <c r="D678" s="41"/>
      <c r="E678" s="41"/>
      <c r="H678" s="2"/>
    </row>
    <row r="679" spans="1:8" ht="15.75" customHeight="1" x14ac:dyDescent="0.2">
      <c r="A679" s="41"/>
      <c r="B679" s="41"/>
      <c r="C679" s="41"/>
      <c r="D679" s="41"/>
      <c r="E679" s="41"/>
      <c r="H679" s="2"/>
    </row>
    <row r="680" spans="1:8" ht="15.75" customHeight="1" x14ac:dyDescent="0.2">
      <c r="A680" s="41"/>
      <c r="B680" s="41"/>
      <c r="C680" s="41"/>
      <c r="D680" s="41"/>
      <c r="E680" s="41"/>
      <c r="H680" s="2"/>
    </row>
    <row r="681" spans="1:8" ht="15.75" customHeight="1" x14ac:dyDescent="0.2">
      <c r="A681" s="41"/>
      <c r="B681" s="41"/>
      <c r="C681" s="41"/>
      <c r="D681" s="41"/>
      <c r="E681" s="41"/>
      <c r="H681" s="2"/>
    </row>
    <row r="682" spans="1:8" ht="15.75" customHeight="1" x14ac:dyDescent="0.2">
      <c r="A682" s="41"/>
      <c r="B682" s="41"/>
      <c r="C682" s="41"/>
      <c r="D682" s="41"/>
      <c r="E682" s="41"/>
      <c r="H682" s="2"/>
    </row>
    <row r="683" spans="1:8" ht="15.75" customHeight="1" x14ac:dyDescent="0.2">
      <c r="A683" s="41"/>
      <c r="B683" s="41"/>
      <c r="C683" s="41"/>
      <c r="D683" s="41"/>
      <c r="E683" s="41"/>
      <c r="H683" s="2"/>
    </row>
    <row r="684" spans="1:8" ht="15.75" customHeight="1" x14ac:dyDescent="0.2">
      <c r="A684" s="41"/>
      <c r="B684" s="41"/>
      <c r="C684" s="41"/>
      <c r="D684" s="41"/>
      <c r="E684" s="41"/>
      <c r="H684" s="2"/>
    </row>
    <row r="685" spans="1:8" ht="15.75" customHeight="1" x14ac:dyDescent="0.2">
      <c r="A685" s="41"/>
      <c r="B685" s="41"/>
      <c r="C685" s="41"/>
      <c r="D685" s="41"/>
      <c r="E685" s="41"/>
      <c r="H685" s="2"/>
    </row>
    <row r="686" spans="1:8" ht="15.75" customHeight="1" x14ac:dyDescent="0.2">
      <c r="A686" s="41"/>
      <c r="B686" s="41"/>
      <c r="C686" s="41"/>
      <c r="D686" s="41"/>
      <c r="E686" s="41"/>
      <c r="H686" s="2"/>
    </row>
    <row r="687" spans="1:8" ht="15.75" customHeight="1" x14ac:dyDescent="0.2">
      <c r="A687" s="41"/>
      <c r="B687" s="41"/>
      <c r="C687" s="41"/>
      <c r="D687" s="41"/>
      <c r="E687" s="41"/>
      <c r="H687" s="2"/>
    </row>
    <row r="688" spans="1:8" ht="15.75" customHeight="1" x14ac:dyDescent="0.2">
      <c r="A688" s="41"/>
      <c r="B688" s="41"/>
      <c r="C688" s="41"/>
      <c r="D688" s="41"/>
      <c r="E688" s="41"/>
      <c r="H688" s="2"/>
    </row>
    <row r="689" spans="1:8" ht="15.75" customHeight="1" x14ac:dyDescent="0.2">
      <c r="A689" s="41"/>
      <c r="B689" s="41"/>
      <c r="C689" s="41"/>
      <c r="D689" s="41"/>
      <c r="E689" s="41"/>
      <c r="H689" s="2"/>
    </row>
    <row r="690" spans="1:8" ht="15.75" customHeight="1" x14ac:dyDescent="0.2">
      <c r="A690" s="41"/>
      <c r="B690" s="41"/>
      <c r="C690" s="41"/>
      <c r="D690" s="41"/>
      <c r="E690" s="41"/>
      <c r="H690" s="2"/>
    </row>
    <row r="691" spans="1:8" ht="15.75" customHeight="1" x14ac:dyDescent="0.2">
      <c r="A691" s="41"/>
      <c r="B691" s="41"/>
      <c r="C691" s="41"/>
      <c r="D691" s="41"/>
      <c r="E691" s="41"/>
      <c r="H691" s="2"/>
    </row>
    <row r="692" spans="1:8" ht="15.75" customHeight="1" x14ac:dyDescent="0.2">
      <c r="A692" s="41"/>
      <c r="B692" s="41"/>
      <c r="C692" s="41"/>
      <c r="D692" s="41"/>
      <c r="E692" s="41"/>
      <c r="H692" s="2"/>
    </row>
    <row r="693" spans="1:8" ht="15.75" customHeight="1" x14ac:dyDescent="0.2">
      <c r="A693" s="41"/>
      <c r="B693" s="41"/>
      <c r="C693" s="41"/>
      <c r="D693" s="41"/>
      <c r="E693" s="41"/>
      <c r="H693" s="2"/>
    </row>
    <row r="694" spans="1:8" ht="15.75" customHeight="1" x14ac:dyDescent="0.2">
      <c r="A694" s="41"/>
      <c r="B694" s="41"/>
      <c r="C694" s="41"/>
      <c r="D694" s="41"/>
      <c r="E694" s="41"/>
      <c r="H694" s="2"/>
    </row>
    <row r="695" spans="1:8" ht="15.75" customHeight="1" x14ac:dyDescent="0.2">
      <c r="A695" s="41"/>
      <c r="B695" s="41"/>
      <c r="C695" s="41"/>
      <c r="D695" s="41"/>
      <c r="E695" s="41"/>
      <c r="H695" s="2"/>
    </row>
    <row r="696" spans="1:8" ht="15.75" customHeight="1" x14ac:dyDescent="0.2">
      <c r="A696" s="41"/>
      <c r="B696" s="41"/>
      <c r="C696" s="41"/>
      <c r="D696" s="41"/>
      <c r="E696" s="41"/>
      <c r="H696" s="2"/>
    </row>
    <row r="697" spans="1:8" ht="15.75" customHeight="1" x14ac:dyDescent="0.2">
      <c r="A697" s="41"/>
      <c r="B697" s="41"/>
      <c r="C697" s="41"/>
      <c r="D697" s="41"/>
      <c r="E697" s="41"/>
      <c r="H697" s="2"/>
    </row>
    <row r="698" spans="1:8" ht="15.75" customHeight="1" x14ac:dyDescent="0.2">
      <c r="A698" s="41"/>
      <c r="B698" s="41"/>
      <c r="C698" s="41"/>
      <c r="D698" s="41"/>
      <c r="E698" s="41"/>
      <c r="H698" s="2"/>
    </row>
    <row r="699" spans="1:8" ht="15.75" customHeight="1" x14ac:dyDescent="0.2">
      <c r="A699" s="41"/>
      <c r="B699" s="41"/>
      <c r="C699" s="41"/>
      <c r="D699" s="41"/>
      <c r="E699" s="41"/>
      <c r="H699" s="2"/>
    </row>
    <row r="700" spans="1:8" ht="15.75" customHeight="1" x14ac:dyDescent="0.2">
      <c r="A700" s="41"/>
      <c r="B700" s="41"/>
      <c r="C700" s="41"/>
      <c r="D700" s="41"/>
      <c r="E700" s="41"/>
      <c r="H700" s="2"/>
    </row>
    <row r="701" spans="1:8" ht="15.75" customHeight="1" x14ac:dyDescent="0.2">
      <c r="A701" s="41"/>
      <c r="B701" s="41"/>
      <c r="C701" s="41"/>
      <c r="D701" s="41"/>
      <c r="E701" s="41"/>
      <c r="H701" s="2"/>
    </row>
    <row r="702" spans="1:8" ht="15.75" customHeight="1" x14ac:dyDescent="0.2">
      <c r="A702" s="41"/>
      <c r="B702" s="41"/>
      <c r="C702" s="41"/>
      <c r="D702" s="41"/>
      <c r="E702" s="41"/>
      <c r="H702" s="2"/>
    </row>
    <row r="703" spans="1:8" ht="15.75" customHeight="1" x14ac:dyDescent="0.2">
      <c r="A703" s="41"/>
      <c r="B703" s="41"/>
      <c r="C703" s="41"/>
      <c r="D703" s="41"/>
      <c r="E703" s="41"/>
      <c r="H703" s="2"/>
    </row>
    <row r="704" spans="1:8" ht="15.75" customHeight="1" x14ac:dyDescent="0.2">
      <c r="A704" s="41"/>
      <c r="B704" s="41"/>
      <c r="C704" s="41"/>
      <c r="D704" s="41"/>
      <c r="E704" s="41"/>
      <c r="H704" s="2"/>
    </row>
    <row r="705" spans="1:8" ht="15.75" customHeight="1" x14ac:dyDescent="0.2">
      <c r="A705" s="41"/>
      <c r="B705" s="41"/>
      <c r="C705" s="41"/>
      <c r="D705" s="41"/>
      <c r="E705" s="41"/>
      <c r="H705" s="2"/>
    </row>
    <row r="706" spans="1:8" ht="15.75" customHeight="1" x14ac:dyDescent="0.2">
      <c r="A706" s="41"/>
      <c r="B706" s="41"/>
      <c r="C706" s="41"/>
      <c r="D706" s="41"/>
      <c r="E706" s="41"/>
      <c r="H706" s="2"/>
    </row>
    <row r="707" spans="1:8" ht="15.75" customHeight="1" x14ac:dyDescent="0.2">
      <c r="A707" s="41"/>
      <c r="B707" s="41"/>
      <c r="C707" s="41"/>
      <c r="D707" s="41"/>
      <c r="E707" s="41"/>
      <c r="H707" s="2"/>
    </row>
    <row r="708" spans="1:8" ht="15.75" customHeight="1" x14ac:dyDescent="0.2">
      <c r="A708" s="41"/>
      <c r="B708" s="41"/>
      <c r="C708" s="41"/>
      <c r="D708" s="41"/>
      <c r="E708" s="41"/>
      <c r="H708" s="2"/>
    </row>
    <row r="709" spans="1:8" ht="15.75" customHeight="1" x14ac:dyDescent="0.2">
      <c r="A709" s="41"/>
      <c r="B709" s="41"/>
      <c r="C709" s="41"/>
      <c r="D709" s="41"/>
      <c r="E709" s="41"/>
      <c r="H709" s="2"/>
    </row>
    <row r="710" spans="1:8" ht="15.75" customHeight="1" x14ac:dyDescent="0.2">
      <c r="A710" s="41"/>
      <c r="B710" s="41"/>
      <c r="C710" s="41"/>
      <c r="D710" s="41"/>
      <c r="E710" s="41"/>
      <c r="H710" s="2"/>
    </row>
    <row r="711" spans="1:8" ht="15.75" customHeight="1" x14ac:dyDescent="0.2">
      <c r="A711" s="41"/>
      <c r="B711" s="41"/>
      <c r="C711" s="41"/>
      <c r="D711" s="41"/>
      <c r="E711" s="41"/>
      <c r="H711" s="2"/>
    </row>
    <row r="712" spans="1:8" ht="15.75" customHeight="1" x14ac:dyDescent="0.2">
      <c r="A712" s="41"/>
      <c r="B712" s="41"/>
      <c r="C712" s="41"/>
      <c r="D712" s="41"/>
      <c r="E712" s="41"/>
      <c r="H712" s="2"/>
    </row>
    <row r="713" spans="1:8" ht="15.75" customHeight="1" x14ac:dyDescent="0.2">
      <c r="A713" s="41"/>
      <c r="B713" s="41"/>
      <c r="C713" s="41"/>
      <c r="D713" s="41"/>
      <c r="E713" s="41"/>
      <c r="H713" s="2"/>
    </row>
    <row r="714" spans="1:8" ht="15.75" customHeight="1" x14ac:dyDescent="0.2">
      <c r="A714" s="41"/>
      <c r="B714" s="41"/>
      <c r="C714" s="41"/>
      <c r="D714" s="41"/>
      <c r="E714" s="41"/>
      <c r="H714" s="2"/>
    </row>
    <row r="715" spans="1:8" ht="15.75" customHeight="1" x14ac:dyDescent="0.2">
      <c r="A715" s="41"/>
      <c r="B715" s="41"/>
      <c r="C715" s="41"/>
      <c r="D715" s="41"/>
      <c r="E715" s="41"/>
      <c r="H715" s="2"/>
    </row>
    <row r="716" spans="1:8" ht="15.75" customHeight="1" x14ac:dyDescent="0.2">
      <c r="A716" s="41"/>
      <c r="B716" s="41"/>
      <c r="C716" s="41"/>
      <c r="D716" s="41"/>
      <c r="E716" s="41"/>
      <c r="H716" s="2"/>
    </row>
    <row r="717" spans="1:8" ht="15.75" customHeight="1" x14ac:dyDescent="0.2">
      <c r="A717" s="41"/>
      <c r="B717" s="41"/>
      <c r="C717" s="41"/>
      <c r="D717" s="41"/>
      <c r="E717" s="41"/>
      <c r="H717" s="2"/>
    </row>
    <row r="718" spans="1:8" ht="15.75" customHeight="1" x14ac:dyDescent="0.2">
      <c r="A718" s="41"/>
      <c r="B718" s="41"/>
      <c r="C718" s="41"/>
      <c r="D718" s="41"/>
      <c r="E718" s="41"/>
      <c r="H718" s="2"/>
    </row>
    <row r="719" spans="1:8" ht="15.75" customHeight="1" x14ac:dyDescent="0.2">
      <c r="A719" s="41"/>
      <c r="B719" s="41"/>
      <c r="C719" s="41"/>
      <c r="D719" s="41"/>
      <c r="E719" s="41"/>
      <c r="H719" s="2"/>
    </row>
    <row r="720" spans="1:8" ht="15.75" customHeight="1" x14ac:dyDescent="0.2">
      <c r="A720" s="41"/>
      <c r="B720" s="41"/>
      <c r="C720" s="41"/>
      <c r="D720" s="41"/>
      <c r="E720" s="41"/>
      <c r="H720" s="2"/>
    </row>
    <row r="721" spans="1:8" ht="15.75" customHeight="1" x14ac:dyDescent="0.2">
      <c r="A721" s="41"/>
      <c r="B721" s="41"/>
      <c r="C721" s="41"/>
      <c r="D721" s="41"/>
      <c r="E721" s="41"/>
      <c r="H721" s="2"/>
    </row>
    <row r="722" spans="1:8" ht="15.75" customHeight="1" x14ac:dyDescent="0.2">
      <c r="A722" s="41"/>
      <c r="B722" s="41"/>
      <c r="C722" s="41"/>
      <c r="D722" s="41"/>
      <c r="E722" s="41"/>
      <c r="H722" s="2"/>
    </row>
    <row r="723" spans="1:8" ht="15.75" customHeight="1" x14ac:dyDescent="0.2">
      <c r="A723" s="41"/>
      <c r="B723" s="41"/>
      <c r="C723" s="41"/>
      <c r="D723" s="41"/>
      <c r="E723" s="41"/>
      <c r="H723" s="2"/>
    </row>
    <row r="724" spans="1:8" ht="15.75" customHeight="1" x14ac:dyDescent="0.2">
      <c r="A724" s="41"/>
      <c r="B724" s="41"/>
      <c r="C724" s="41"/>
      <c r="D724" s="41"/>
      <c r="E724" s="41"/>
      <c r="H724" s="2"/>
    </row>
    <row r="725" spans="1:8" ht="15.75" customHeight="1" x14ac:dyDescent="0.2">
      <c r="A725" s="41"/>
      <c r="B725" s="41"/>
      <c r="C725" s="41"/>
      <c r="D725" s="41"/>
      <c r="E725" s="41"/>
      <c r="H725" s="2"/>
    </row>
    <row r="726" spans="1:8" ht="15.75" customHeight="1" x14ac:dyDescent="0.2">
      <c r="A726" s="41"/>
      <c r="B726" s="41"/>
      <c r="C726" s="41"/>
      <c r="D726" s="41"/>
      <c r="E726" s="41"/>
      <c r="H726" s="2"/>
    </row>
    <row r="727" spans="1:8" ht="15.75" customHeight="1" x14ac:dyDescent="0.2">
      <c r="A727" s="41"/>
      <c r="B727" s="41"/>
      <c r="C727" s="41"/>
      <c r="D727" s="41"/>
      <c r="E727" s="41"/>
      <c r="H727" s="2"/>
    </row>
    <row r="728" spans="1:8" ht="15.75" customHeight="1" x14ac:dyDescent="0.2">
      <c r="A728" s="41"/>
      <c r="B728" s="41"/>
      <c r="C728" s="41"/>
      <c r="D728" s="41"/>
      <c r="E728" s="41"/>
      <c r="H728" s="2"/>
    </row>
    <row r="729" spans="1:8" ht="15.75" customHeight="1" x14ac:dyDescent="0.2">
      <c r="A729" s="41"/>
      <c r="B729" s="41"/>
      <c r="C729" s="41"/>
      <c r="D729" s="41"/>
      <c r="E729" s="41"/>
      <c r="H729" s="2"/>
    </row>
    <row r="730" spans="1:8" ht="15.75" customHeight="1" x14ac:dyDescent="0.2">
      <c r="A730" s="41"/>
      <c r="B730" s="41"/>
      <c r="C730" s="41"/>
      <c r="D730" s="41"/>
      <c r="E730" s="41"/>
      <c r="H730" s="2"/>
    </row>
    <row r="731" spans="1:8" ht="15.75" customHeight="1" x14ac:dyDescent="0.2">
      <c r="A731" s="41"/>
      <c r="B731" s="41"/>
      <c r="C731" s="41"/>
      <c r="D731" s="41"/>
      <c r="E731" s="41"/>
      <c r="H731" s="2"/>
    </row>
    <row r="732" spans="1:8" ht="15.75" customHeight="1" x14ac:dyDescent="0.2">
      <c r="A732" s="41"/>
      <c r="B732" s="41"/>
      <c r="C732" s="41"/>
      <c r="D732" s="41"/>
      <c r="E732" s="41"/>
      <c r="H732" s="2"/>
    </row>
    <row r="733" spans="1:8" ht="15.75" customHeight="1" x14ac:dyDescent="0.2">
      <c r="A733" s="41"/>
      <c r="B733" s="41"/>
      <c r="C733" s="41"/>
      <c r="D733" s="41"/>
      <c r="E733" s="41"/>
      <c r="H733" s="2"/>
    </row>
    <row r="734" spans="1:8" ht="15.75" customHeight="1" x14ac:dyDescent="0.2">
      <c r="A734" s="41"/>
      <c r="B734" s="41"/>
      <c r="C734" s="41"/>
      <c r="D734" s="41"/>
      <c r="E734" s="41"/>
      <c r="H734" s="2"/>
    </row>
    <row r="735" spans="1:8" ht="15.75" customHeight="1" x14ac:dyDescent="0.2">
      <c r="A735" s="41"/>
      <c r="B735" s="41"/>
      <c r="C735" s="41"/>
      <c r="D735" s="41"/>
      <c r="E735" s="41"/>
      <c r="H735" s="2"/>
    </row>
    <row r="736" spans="1:8" ht="15.75" customHeight="1" x14ac:dyDescent="0.2">
      <c r="A736" s="41"/>
      <c r="B736" s="41"/>
      <c r="C736" s="41"/>
      <c r="D736" s="41"/>
      <c r="E736" s="41"/>
      <c r="H736" s="2"/>
    </row>
    <row r="737" spans="1:8" ht="15.75" customHeight="1" x14ac:dyDescent="0.2">
      <c r="A737" s="41"/>
      <c r="B737" s="41"/>
      <c r="C737" s="41"/>
      <c r="D737" s="41"/>
      <c r="E737" s="41"/>
      <c r="H737" s="2"/>
    </row>
    <row r="738" spans="1:8" ht="15.75" customHeight="1" x14ac:dyDescent="0.2">
      <c r="A738" s="41"/>
      <c r="B738" s="41"/>
      <c r="C738" s="41"/>
      <c r="D738" s="41"/>
      <c r="E738" s="41"/>
      <c r="H738" s="2"/>
    </row>
    <row r="739" spans="1:8" ht="15.75" customHeight="1" x14ac:dyDescent="0.2">
      <c r="A739" s="41"/>
      <c r="B739" s="41"/>
      <c r="C739" s="41"/>
      <c r="D739" s="41"/>
      <c r="E739" s="41"/>
      <c r="H739" s="2"/>
    </row>
    <row r="740" spans="1:8" ht="15.75" customHeight="1" x14ac:dyDescent="0.2">
      <c r="A740" s="41"/>
      <c r="B740" s="41"/>
      <c r="C740" s="41"/>
      <c r="D740" s="41"/>
      <c r="E740" s="41"/>
      <c r="H740" s="2"/>
    </row>
    <row r="741" spans="1:8" ht="15.75" customHeight="1" x14ac:dyDescent="0.2">
      <c r="A741" s="41"/>
      <c r="B741" s="41"/>
      <c r="C741" s="41"/>
      <c r="D741" s="41"/>
      <c r="E741" s="41"/>
      <c r="H741" s="2"/>
    </row>
    <row r="742" spans="1:8" ht="15.75" customHeight="1" x14ac:dyDescent="0.2">
      <c r="A742" s="41"/>
      <c r="B742" s="41"/>
      <c r="C742" s="41"/>
      <c r="D742" s="41"/>
      <c r="E742" s="41"/>
      <c r="H742" s="2"/>
    </row>
    <row r="743" spans="1:8" ht="15.75" customHeight="1" x14ac:dyDescent="0.2">
      <c r="A743" s="41"/>
      <c r="B743" s="41"/>
      <c r="C743" s="41"/>
      <c r="D743" s="41"/>
      <c r="E743" s="41"/>
      <c r="H743" s="2"/>
    </row>
    <row r="744" spans="1:8" ht="15.75" customHeight="1" x14ac:dyDescent="0.2">
      <c r="A744" s="41"/>
      <c r="B744" s="41"/>
      <c r="C744" s="41"/>
      <c r="D744" s="41"/>
      <c r="E744" s="41"/>
      <c r="H744" s="2"/>
    </row>
    <row r="745" spans="1:8" ht="15.75" customHeight="1" x14ac:dyDescent="0.2">
      <c r="A745" s="41"/>
      <c r="B745" s="41"/>
      <c r="C745" s="41"/>
      <c r="D745" s="41"/>
      <c r="E745" s="41"/>
      <c r="H745" s="2"/>
    </row>
    <row r="746" spans="1:8" ht="15.75" customHeight="1" x14ac:dyDescent="0.2">
      <c r="A746" s="41"/>
      <c r="B746" s="41"/>
      <c r="C746" s="41"/>
      <c r="D746" s="41"/>
      <c r="E746" s="41"/>
      <c r="H746" s="2"/>
    </row>
    <row r="747" spans="1:8" ht="15.75" customHeight="1" x14ac:dyDescent="0.2">
      <c r="A747" s="41"/>
      <c r="B747" s="41"/>
      <c r="C747" s="41"/>
      <c r="D747" s="41"/>
      <c r="E747" s="41"/>
      <c r="H747" s="2"/>
    </row>
    <row r="748" spans="1:8" ht="15.75" customHeight="1" x14ac:dyDescent="0.2">
      <c r="A748" s="41"/>
      <c r="B748" s="41"/>
      <c r="C748" s="41"/>
      <c r="D748" s="41"/>
      <c r="E748" s="41"/>
      <c r="H748" s="2"/>
    </row>
    <row r="749" spans="1:8" ht="15.75" customHeight="1" x14ac:dyDescent="0.2">
      <c r="A749" s="41"/>
      <c r="B749" s="41"/>
      <c r="C749" s="41"/>
      <c r="D749" s="41"/>
      <c r="E749" s="41"/>
      <c r="H749" s="2"/>
    </row>
    <row r="750" spans="1:8" ht="15.75" customHeight="1" x14ac:dyDescent="0.2">
      <c r="A750" s="41"/>
      <c r="B750" s="41"/>
      <c r="C750" s="41"/>
      <c r="D750" s="41"/>
      <c r="E750" s="41"/>
      <c r="H750" s="2"/>
    </row>
    <row r="751" spans="1:8" ht="15.75" customHeight="1" x14ac:dyDescent="0.2">
      <c r="A751" s="41"/>
      <c r="B751" s="41"/>
      <c r="C751" s="41"/>
      <c r="D751" s="41"/>
      <c r="E751" s="41"/>
      <c r="H751" s="2"/>
    </row>
    <row r="752" spans="1:8" ht="15.75" customHeight="1" x14ac:dyDescent="0.2">
      <c r="A752" s="41"/>
      <c r="B752" s="41"/>
      <c r="C752" s="41"/>
      <c r="D752" s="41"/>
      <c r="E752" s="41"/>
      <c r="H752" s="2"/>
    </row>
    <row r="753" spans="1:8" ht="15.75" customHeight="1" x14ac:dyDescent="0.2">
      <c r="A753" s="41"/>
      <c r="B753" s="41"/>
      <c r="C753" s="41"/>
      <c r="D753" s="41"/>
      <c r="E753" s="41"/>
      <c r="H753" s="2"/>
    </row>
    <row r="754" spans="1:8" ht="15.75" customHeight="1" x14ac:dyDescent="0.2">
      <c r="A754" s="41"/>
      <c r="B754" s="41"/>
      <c r="C754" s="41"/>
      <c r="D754" s="41"/>
      <c r="E754" s="41"/>
      <c r="H754" s="2"/>
    </row>
    <row r="755" spans="1:8" ht="15.75" customHeight="1" x14ac:dyDescent="0.2">
      <c r="A755" s="41"/>
      <c r="B755" s="41"/>
      <c r="C755" s="41"/>
      <c r="D755" s="41"/>
      <c r="E755" s="41"/>
      <c r="H755" s="2"/>
    </row>
    <row r="756" spans="1:8" ht="15.75" customHeight="1" x14ac:dyDescent="0.2">
      <c r="A756" s="41"/>
      <c r="B756" s="41"/>
      <c r="C756" s="41"/>
      <c r="D756" s="41"/>
      <c r="E756" s="41"/>
      <c r="H756" s="2"/>
    </row>
    <row r="757" spans="1:8" ht="15.75" customHeight="1" x14ac:dyDescent="0.2">
      <c r="A757" s="41"/>
      <c r="B757" s="41"/>
      <c r="C757" s="41"/>
      <c r="D757" s="41"/>
      <c r="E757" s="41"/>
      <c r="H757" s="2"/>
    </row>
    <row r="758" spans="1:8" ht="15.75" customHeight="1" x14ac:dyDescent="0.2">
      <c r="A758" s="41"/>
      <c r="B758" s="41"/>
      <c r="C758" s="41"/>
      <c r="D758" s="41"/>
      <c r="E758" s="41"/>
      <c r="H758" s="2"/>
    </row>
    <row r="759" spans="1:8" ht="15.75" customHeight="1" x14ac:dyDescent="0.2">
      <c r="A759" s="41"/>
      <c r="B759" s="41"/>
      <c r="C759" s="41"/>
      <c r="D759" s="41"/>
      <c r="E759" s="41"/>
      <c r="H759" s="2"/>
    </row>
    <row r="760" spans="1:8" ht="15.75" customHeight="1" x14ac:dyDescent="0.2">
      <c r="A760" s="41"/>
      <c r="B760" s="41"/>
      <c r="C760" s="41"/>
      <c r="D760" s="41"/>
      <c r="E760" s="41"/>
      <c r="H760" s="2"/>
    </row>
    <row r="761" spans="1:8" ht="15.75" customHeight="1" x14ac:dyDescent="0.2">
      <c r="A761" s="41"/>
      <c r="B761" s="41"/>
      <c r="C761" s="41"/>
      <c r="D761" s="41"/>
      <c r="E761" s="41"/>
      <c r="H761" s="2"/>
    </row>
    <row r="762" spans="1:8" ht="15.75" customHeight="1" x14ac:dyDescent="0.2">
      <c r="A762" s="41"/>
      <c r="B762" s="41"/>
      <c r="C762" s="41"/>
      <c r="D762" s="41"/>
      <c r="E762" s="41"/>
      <c r="H762" s="2"/>
    </row>
    <row r="763" spans="1:8" ht="15.75" customHeight="1" x14ac:dyDescent="0.2">
      <c r="A763" s="41"/>
      <c r="B763" s="41"/>
      <c r="C763" s="41"/>
      <c r="D763" s="41"/>
      <c r="E763" s="41"/>
      <c r="H763" s="2"/>
    </row>
    <row r="764" spans="1:8" ht="15.75" customHeight="1" x14ac:dyDescent="0.2">
      <c r="A764" s="41"/>
      <c r="B764" s="41"/>
      <c r="C764" s="41"/>
      <c r="D764" s="41"/>
      <c r="E764" s="41"/>
      <c r="H764" s="2"/>
    </row>
    <row r="765" spans="1:8" ht="15.75" customHeight="1" x14ac:dyDescent="0.2">
      <c r="A765" s="41"/>
      <c r="B765" s="41"/>
      <c r="C765" s="41"/>
      <c r="D765" s="41"/>
      <c r="E765" s="41"/>
      <c r="H765" s="2"/>
    </row>
    <row r="766" spans="1:8" ht="15.75" customHeight="1" x14ac:dyDescent="0.2">
      <c r="A766" s="41"/>
      <c r="B766" s="41"/>
      <c r="C766" s="41"/>
      <c r="D766" s="41"/>
      <c r="E766" s="41"/>
      <c r="H766" s="2"/>
    </row>
    <row r="767" spans="1:8" ht="15.75" customHeight="1" x14ac:dyDescent="0.2">
      <c r="A767" s="41"/>
      <c r="B767" s="41"/>
      <c r="C767" s="41"/>
      <c r="D767" s="41"/>
      <c r="E767" s="41"/>
      <c r="H767" s="2"/>
    </row>
    <row r="768" spans="1:8" ht="15.75" customHeight="1" x14ac:dyDescent="0.2">
      <c r="A768" s="41"/>
      <c r="B768" s="41"/>
      <c r="C768" s="41"/>
      <c r="D768" s="41"/>
      <c r="E768" s="41"/>
      <c r="H768" s="2"/>
    </row>
    <row r="769" spans="1:8" ht="15.75" customHeight="1" x14ac:dyDescent="0.2">
      <c r="A769" s="41"/>
      <c r="B769" s="41"/>
      <c r="C769" s="41"/>
      <c r="D769" s="41"/>
      <c r="E769" s="41"/>
      <c r="H769" s="2"/>
    </row>
    <row r="770" spans="1:8" ht="15.75" customHeight="1" x14ac:dyDescent="0.2">
      <c r="A770" s="41"/>
      <c r="B770" s="41"/>
      <c r="C770" s="41"/>
      <c r="D770" s="41"/>
      <c r="E770" s="41"/>
      <c r="H770" s="2"/>
    </row>
    <row r="771" spans="1:8" ht="15.75" customHeight="1" x14ac:dyDescent="0.2">
      <c r="A771" s="41"/>
      <c r="B771" s="41"/>
      <c r="C771" s="41"/>
      <c r="D771" s="41"/>
      <c r="E771" s="41"/>
      <c r="H771" s="2"/>
    </row>
    <row r="772" spans="1:8" ht="15.75" customHeight="1" x14ac:dyDescent="0.2">
      <c r="A772" s="41"/>
      <c r="B772" s="41"/>
      <c r="C772" s="41"/>
      <c r="D772" s="41"/>
      <c r="E772" s="41"/>
      <c r="H772" s="2"/>
    </row>
    <row r="773" spans="1:8" ht="15.75" customHeight="1" x14ac:dyDescent="0.2">
      <c r="A773" s="41"/>
      <c r="B773" s="41"/>
      <c r="C773" s="41"/>
      <c r="D773" s="41"/>
      <c r="E773" s="41"/>
      <c r="H773" s="2"/>
    </row>
    <row r="774" spans="1:8" ht="15.75" customHeight="1" x14ac:dyDescent="0.2">
      <c r="A774" s="41"/>
      <c r="B774" s="41"/>
      <c r="C774" s="41"/>
      <c r="D774" s="41"/>
      <c r="E774" s="41"/>
      <c r="H774" s="2"/>
    </row>
    <row r="775" spans="1:8" ht="15.75" customHeight="1" x14ac:dyDescent="0.2">
      <c r="A775" s="41"/>
      <c r="B775" s="41"/>
      <c r="C775" s="41"/>
      <c r="D775" s="41"/>
      <c r="E775" s="41"/>
      <c r="H775" s="2"/>
    </row>
    <row r="776" spans="1:8" ht="15.75" customHeight="1" x14ac:dyDescent="0.2">
      <c r="A776" s="41"/>
      <c r="B776" s="41"/>
      <c r="C776" s="41"/>
      <c r="D776" s="41"/>
      <c r="E776" s="41"/>
      <c r="H776" s="2"/>
    </row>
    <row r="777" spans="1:8" ht="15.75" customHeight="1" x14ac:dyDescent="0.2">
      <c r="A777" s="41"/>
      <c r="B777" s="41"/>
      <c r="C777" s="41"/>
      <c r="D777" s="41"/>
      <c r="E777" s="41"/>
      <c r="H777" s="2"/>
    </row>
    <row r="778" spans="1:8" ht="15.75" customHeight="1" x14ac:dyDescent="0.2">
      <c r="A778" s="41"/>
      <c r="B778" s="41"/>
      <c r="C778" s="41"/>
      <c r="D778" s="41"/>
      <c r="E778" s="41"/>
      <c r="H778" s="2"/>
    </row>
    <row r="779" spans="1:8" ht="15.75" customHeight="1" x14ac:dyDescent="0.2">
      <c r="A779" s="41"/>
      <c r="B779" s="41"/>
      <c r="C779" s="41"/>
      <c r="D779" s="41"/>
      <c r="E779" s="41"/>
      <c r="H779" s="2"/>
    </row>
    <row r="780" spans="1:8" ht="15.75" customHeight="1" x14ac:dyDescent="0.2">
      <c r="A780" s="41"/>
      <c r="B780" s="41"/>
      <c r="C780" s="41"/>
      <c r="D780" s="41"/>
      <c r="E780" s="41"/>
      <c r="H780" s="2"/>
    </row>
    <row r="781" spans="1:8" ht="15.75" customHeight="1" x14ac:dyDescent="0.2">
      <c r="A781" s="41"/>
      <c r="B781" s="41"/>
      <c r="C781" s="41"/>
      <c r="D781" s="41"/>
      <c r="E781" s="41"/>
      <c r="H781" s="2"/>
    </row>
    <row r="782" spans="1:8" ht="15.75" customHeight="1" x14ac:dyDescent="0.2">
      <c r="A782" s="41"/>
      <c r="B782" s="41"/>
      <c r="C782" s="41"/>
      <c r="D782" s="41"/>
      <c r="E782" s="41"/>
      <c r="H782" s="2"/>
    </row>
    <row r="783" spans="1:8" ht="15.75" customHeight="1" x14ac:dyDescent="0.2">
      <c r="A783" s="41"/>
      <c r="B783" s="41"/>
      <c r="C783" s="41"/>
      <c r="D783" s="41"/>
      <c r="E783" s="41"/>
      <c r="H783" s="2"/>
    </row>
    <row r="784" spans="1:8" ht="15.75" customHeight="1" x14ac:dyDescent="0.2">
      <c r="A784" s="41"/>
      <c r="B784" s="41"/>
      <c r="C784" s="41"/>
      <c r="D784" s="41"/>
      <c r="E784" s="41"/>
      <c r="H784" s="2"/>
    </row>
    <row r="785" spans="1:8" ht="15.75" customHeight="1" x14ac:dyDescent="0.2">
      <c r="A785" s="41"/>
      <c r="B785" s="41"/>
      <c r="C785" s="41"/>
      <c r="D785" s="41"/>
      <c r="E785" s="41"/>
      <c r="H785" s="2"/>
    </row>
    <row r="786" spans="1:8" ht="15.75" customHeight="1" x14ac:dyDescent="0.2">
      <c r="A786" s="41"/>
      <c r="B786" s="41"/>
      <c r="C786" s="41"/>
      <c r="D786" s="41"/>
      <c r="E786" s="41"/>
      <c r="H786" s="2"/>
    </row>
    <row r="787" spans="1:8" ht="15.75" customHeight="1" x14ac:dyDescent="0.2">
      <c r="A787" s="41"/>
      <c r="B787" s="41"/>
      <c r="C787" s="41"/>
      <c r="D787" s="41"/>
      <c r="E787" s="41"/>
      <c r="H787" s="2"/>
    </row>
    <row r="788" spans="1:8" ht="15.75" customHeight="1" x14ac:dyDescent="0.2">
      <c r="A788" s="41"/>
      <c r="B788" s="41"/>
      <c r="C788" s="41"/>
      <c r="D788" s="41"/>
      <c r="E788" s="41"/>
      <c r="H788" s="2"/>
    </row>
    <row r="789" spans="1:8" ht="15.75" customHeight="1" x14ac:dyDescent="0.2">
      <c r="A789" s="41"/>
      <c r="B789" s="41"/>
      <c r="C789" s="41"/>
      <c r="D789" s="41"/>
      <c r="E789" s="41"/>
      <c r="H789" s="2"/>
    </row>
    <row r="790" spans="1:8" ht="15.75" customHeight="1" x14ac:dyDescent="0.2">
      <c r="A790" s="41"/>
      <c r="B790" s="41"/>
      <c r="C790" s="41"/>
      <c r="D790" s="41"/>
      <c r="E790" s="41"/>
      <c r="H790" s="2"/>
    </row>
    <row r="791" spans="1:8" ht="15.75" customHeight="1" x14ac:dyDescent="0.2">
      <c r="A791" s="41"/>
      <c r="B791" s="41"/>
      <c r="C791" s="41"/>
      <c r="D791" s="41"/>
      <c r="E791" s="41"/>
      <c r="H791" s="2"/>
    </row>
    <row r="792" spans="1:8" ht="15.75" customHeight="1" x14ac:dyDescent="0.2">
      <c r="A792" s="41"/>
      <c r="B792" s="41"/>
      <c r="C792" s="41"/>
      <c r="D792" s="41"/>
      <c r="E792" s="41"/>
      <c r="H792" s="2"/>
    </row>
    <row r="793" spans="1:8" ht="15.75" customHeight="1" x14ac:dyDescent="0.2">
      <c r="A793" s="41"/>
      <c r="B793" s="41"/>
      <c r="C793" s="41"/>
      <c r="D793" s="41"/>
      <c r="E793" s="41"/>
      <c r="H793" s="2"/>
    </row>
    <row r="794" spans="1:8" ht="15.75" customHeight="1" x14ac:dyDescent="0.2">
      <c r="A794" s="41"/>
      <c r="B794" s="41"/>
      <c r="C794" s="41"/>
      <c r="D794" s="41"/>
      <c r="E794" s="41"/>
      <c r="H794" s="2"/>
    </row>
    <row r="795" spans="1:8" ht="15.75" customHeight="1" x14ac:dyDescent="0.2">
      <c r="A795" s="41"/>
      <c r="B795" s="41"/>
      <c r="C795" s="41"/>
      <c r="D795" s="41"/>
      <c r="E795" s="41"/>
      <c r="H795" s="2"/>
    </row>
    <row r="796" spans="1:8" ht="15.75" customHeight="1" x14ac:dyDescent="0.2">
      <c r="A796" s="41"/>
      <c r="B796" s="41"/>
      <c r="C796" s="41"/>
      <c r="D796" s="41"/>
      <c r="E796" s="41"/>
      <c r="H796" s="2"/>
    </row>
    <row r="797" spans="1:8" ht="15.75" customHeight="1" x14ac:dyDescent="0.2">
      <c r="A797" s="41"/>
      <c r="B797" s="41"/>
      <c r="C797" s="41"/>
      <c r="D797" s="41"/>
      <c r="E797" s="41"/>
      <c r="H797" s="2"/>
    </row>
    <row r="798" spans="1:8" ht="15.75" customHeight="1" x14ac:dyDescent="0.2">
      <c r="A798" s="41"/>
      <c r="B798" s="41"/>
      <c r="C798" s="41"/>
      <c r="D798" s="41"/>
      <c r="E798" s="41"/>
      <c r="H798" s="2"/>
    </row>
    <row r="799" spans="1:8" ht="15.75" customHeight="1" x14ac:dyDescent="0.2">
      <c r="A799" s="41"/>
      <c r="B799" s="41"/>
      <c r="C799" s="41"/>
      <c r="D799" s="41"/>
      <c r="E799" s="41"/>
      <c r="H799" s="2"/>
    </row>
    <row r="800" spans="1:8" ht="15.75" customHeight="1" x14ac:dyDescent="0.2">
      <c r="A800" s="41"/>
      <c r="B800" s="41"/>
      <c r="C800" s="41"/>
      <c r="D800" s="41"/>
      <c r="E800" s="41"/>
      <c r="H800" s="2"/>
    </row>
    <row r="801" spans="1:8" ht="15.75" customHeight="1" x14ac:dyDescent="0.2">
      <c r="A801" s="41"/>
      <c r="B801" s="41"/>
      <c r="C801" s="41"/>
      <c r="D801" s="41"/>
      <c r="E801" s="41"/>
      <c r="H801" s="2"/>
    </row>
    <row r="802" spans="1:8" ht="15.75" customHeight="1" x14ac:dyDescent="0.2">
      <c r="A802" s="41"/>
      <c r="B802" s="41"/>
      <c r="C802" s="41"/>
      <c r="D802" s="41"/>
      <c r="E802" s="41"/>
      <c r="H802" s="2"/>
    </row>
    <row r="803" spans="1:8" ht="15.75" customHeight="1" x14ac:dyDescent="0.2">
      <c r="A803" s="41"/>
      <c r="B803" s="41"/>
      <c r="C803" s="41"/>
      <c r="D803" s="41"/>
      <c r="E803" s="41"/>
      <c r="H803" s="2"/>
    </row>
    <row r="804" spans="1:8" ht="15.75" customHeight="1" x14ac:dyDescent="0.2">
      <c r="A804" s="41"/>
      <c r="B804" s="41"/>
      <c r="C804" s="41"/>
      <c r="D804" s="41"/>
      <c r="E804" s="41"/>
      <c r="H804" s="2"/>
    </row>
    <row r="805" spans="1:8" ht="15.75" customHeight="1" x14ac:dyDescent="0.2">
      <c r="A805" s="41"/>
      <c r="B805" s="41"/>
      <c r="C805" s="41"/>
      <c r="D805" s="41"/>
      <c r="E805" s="41"/>
      <c r="H805" s="2"/>
    </row>
    <row r="806" spans="1:8" ht="15.75" customHeight="1" x14ac:dyDescent="0.2">
      <c r="A806" s="41"/>
      <c r="B806" s="41"/>
      <c r="C806" s="41"/>
      <c r="D806" s="41"/>
      <c r="E806" s="41"/>
      <c r="H806" s="2"/>
    </row>
    <row r="807" spans="1:8" ht="15.75" customHeight="1" x14ac:dyDescent="0.2">
      <c r="A807" s="41"/>
      <c r="B807" s="41"/>
      <c r="C807" s="41"/>
      <c r="D807" s="41"/>
      <c r="E807" s="41"/>
      <c r="H807" s="2"/>
    </row>
    <row r="808" spans="1:8" ht="15.75" customHeight="1" x14ac:dyDescent="0.2">
      <c r="A808" s="41"/>
      <c r="B808" s="41"/>
      <c r="C808" s="41"/>
      <c r="D808" s="41"/>
      <c r="E808" s="41"/>
      <c r="H808" s="2"/>
    </row>
    <row r="809" spans="1:8" ht="15.75" customHeight="1" x14ac:dyDescent="0.2">
      <c r="A809" s="41"/>
      <c r="B809" s="41"/>
      <c r="C809" s="41"/>
      <c r="D809" s="41"/>
      <c r="E809" s="41"/>
      <c r="H809" s="2"/>
    </row>
    <row r="810" spans="1:8" ht="15.75" customHeight="1" x14ac:dyDescent="0.2">
      <c r="A810" s="41"/>
      <c r="B810" s="41"/>
      <c r="C810" s="41"/>
      <c r="D810" s="41"/>
      <c r="E810" s="41"/>
      <c r="H810" s="2"/>
    </row>
    <row r="811" spans="1:8" ht="15.75" customHeight="1" x14ac:dyDescent="0.2">
      <c r="A811" s="41"/>
      <c r="B811" s="41"/>
      <c r="C811" s="41"/>
      <c r="D811" s="41"/>
      <c r="E811" s="41"/>
      <c r="H811" s="2"/>
    </row>
    <row r="812" spans="1:8" ht="15.75" customHeight="1" x14ac:dyDescent="0.2">
      <c r="A812" s="41"/>
      <c r="B812" s="41"/>
      <c r="C812" s="41"/>
      <c r="D812" s="41"/>
      <c r="E812" s="41"/>
      <c r="H812" s="2"/>
    </row>
    <row r="813" spans="1:8" ht="15.75" customHeight="1" x14ac:dyDescent="0.2">
      <c r="A813" s="41"/>
      <c r="B813" s="41"/>
      <c r="C813" s="41"/>
      <c r="D813" s="41"/>
      <c r="E813" s="41"/>
      <c r="H813" s="2"/>
    </row>
    <row r="814" spans="1:8" ht="15.75" customHeight="1" x14ac:dyDescent="0.2">
      <c r="A814" s="41"/>
      <c r="B814" s="41"/>
      <c r="C814" s="41"/>
      <c r="D814" s="41"/>
      <c r="E814" s="41"/>
      <c r="H814" s="2"/>
    </row>
    <row r="815" spans="1:8" ht="15.75" customHeight="1" x14ac:dyDescent="0.2">
      <c r="A815" s="41"/>
      <c r="B815" s="41"/>
      <c r="C815" s="41"/>
      <c r="D815" s="41"/>
      <c r="E815" s="41"/>
      <c r="H815" s="2"/>
    </row>
    <row r="816" spans="1:8" ht="15.75" customHeight="1" x14ac:dyDescent="0.2">
      <c r="A816" s="41"/>
      <c r="B816" s="41"/>
      <c r="C816" s="41"/>
      <c r="D816" s="41"/>
      <c r="E816" s="41"/>
      <c r="H816" s="2"/>
    </row>
    <row r="817" spans="1:8" ht="15.75" customHeight="1" x14ac:dyDescent="0.2">
      <c r="A817" s="41"/>
      <c r="B817" s="41"/>
      <c r="C817" s="41"/>
      <c r="D817" s="41"/>
      <c r="E817" s="41"/>
      <c r="H817" s="2"/>
    </row>
    <row r="818" spans="1:8" ht="15.75" customHeight="1" x14ac:dyDescent="0.2">
      <c r="A818" s="41"/>
      <c r="B818" s="41"/>
      <c r="C818" s="41"/>
      <c r="D818" s="41"/>
      <c r="E818" s="41"/>
      <c r="H818" s="2"/>
    </row>
    <row r="819" spans="1:8" ht="15.75" customHeight="1" x14ac:dyDescent="0.2">
      <c r="A819" s="41"/>
      <c r="B819" s="41"/>
      <c r="C819" s="41"/>
      <c r="D819" s="41"/>
      <c r="E819" s="41"/>
      <c r="H819" s="2"/>
    </row>
    <row r="820" spans="1:8" ht="15.75" customHeight="1" x14ac:dyDescent="0.2">
      <c r="A820" s="41"/>
      <c r="B820" s="41"/>
      <c r="C820" s="41"/>
      <c r="D820" s="41"/>
      <c r="E820" s="41"/>
      <c r="H820" s="2"/>
    </row>
    <row r="821" spans="1:8" ht="15.75" customHeight="1" x14ac:dyDescent="0.2">
      <c r="A821" s="41"/>
      <c r="B821" s="41"/>
      <c r="C821" s="41"/>
      <c r="D821" s="41"/>
      <c r="E821" s="41"/>
      <c r="H821" s="2"/>
    </row>
    <row r="822" spans="1:8" ht="15.75" customHeight="1" x14ac:dyDescent="0.2">
      <c r="A822" s="41"/>
      <c r="B822" s="41"/>
      <c r="C822" s="41"/>
      <c r="D822" s="41"/>
      <c r="E822" s="41"/>
      <c r="H822" s="2"/>
    </row>
    <row r="823" spans="1:8" ht="15.75" customHeight="1" x14ac:dyDescent="0.2">
      <c r="A823" s="41"/>
      <c r="B823" s="41"/>
      <c r="C823" s="41"/>
      <c r="D823" s="41"/>
      <c r="E823" s="41"/>
      <c r="H823" s="2"/>
    </row>
    <row r="824" spans="1:8" ht="15.75" customHeight="1" x14ac:dyDescent="0.2">
      <c r="A824" s="41"/>
      <c r="B824" s="41"/>
      <c r="C824" s="41"/>
      <c r="D824" s="41"/>
      <c r="E824" s="41"/>
      <c r="H824" s="2"/>
    </row>
    <row r="825" spans="1:8" ht="15.75" customHeight="1" x14ac:dyDescent="0.2">
      <c r="A825" s="41"/>
      <c r="B825" s="41"/>
      <c r="C825" s="41"/>
      <c r="D825" s="41"/>
      <c r="E825" s="41"/>
      <c r="H825" s="2"/>
    </row>
    <row r="826" spans="1:8" ht="15.75" customHeight="1" x14ac:dyDescent="0.2">
      <c r="A826" s="41"/>
      <c r="B826" s="41"/>
      <c r="C826" s="41"/>
      <c r="D826" s="41"/>
      <c r="E826" s="41"/>
      <c r="H826" s="2"/>
    </row>
    <row r="827" spans="1:8" ht="15.75" customHeight="1" x14ac:dyDescent="0.2">
      <c r="A827" s="41"/>
      <c r="B827" s="41"/>
      <c r="C827" s="41"/>
      <c r="D827" s="41"/>
      <c r="E827" s="41"/>
      <c r="H827" s="2"/>
    </row>
    <row r="828" spans="1:8" ht="15.75" customHeight="1" x14ac:dyDescent="0.2">
      <c r="A828" s="41"/>
      <c r="B828" s="41"/>
      <c r="C828" s="41"/>
      <c r="D828" s="41"/>
      <c r="E828" s="41"/>
      <c r="H828" s="2"/>
    </row>
    <row r="829" spans="1:8" ht="15.75" customHeight="1" x14ac:dyDescent="0.2">
      <c r="A829" s="41"/>
      <c r="B829" s="41"/>
      <c r="C829" s="41"/>
      <c r="D829" s="41"/>
      <c r="E829" s="41"/>
      <c r="H829" s="2"/>
    </row>
    <row r="830" spans="1:8" ht="15.75" customHeight="1" x14ac:dyDescent="0.2">
      <c r="A830" s="41"/>
      <c r="B830" s="41"/>
      <c r="C830" s="41"/>
      <c r="D830" s="41"/>
      <c r="E830" s="41"/>
      <c r="H830" s="2"/>
    </row>
    <row r="831" spans="1:8" ht="15.75" customHeight="1" x14ac:dyDescent="0.2">
      <c r="A831" s="41"/>
      <c r="B831" s="41"/>
      <c r="C831" s="41"/>
      <c r="D831" s="41"/>
      <c r="E831" s="41"/>
      <c r="H831" s="2"/>
    </row>
    <row r="832" spans="1:8" ht="15.75" customHeight="1" x14ac:dyDescent="0.2">
      <c r="A832" s="41"/>
      <c r="B832" s="41"/>
      <c r="C832" s="41"/>
      <c r="D832" s="41"/>
      <c r="E832" s="41"/>
      <c r="H832" s="2"/>
    </row>
    <row r="833" spans="1:8" ht="15.75" customHeight="1" x14ac:dyDescent="0.2">
      <c r="A833" s="41"/>
      <c r="B833" s="41"/>
      <c r="C833" s="41"/>
      <c r="D833" s="41"/>
      <c r="E833" s="41"/>
      <c r="H833" s="2"/>
    </row>
    <row r="834" spans="1:8" ht="15.75" customHeight="1" x14ac:dyDescent="0.2">
      <c r="A834" s="41"/>
      <c r="B834" s="41"/>
      <c r="C834" s="41"/>
      <c r="D834" s="41"/>
      <c r="E834" s="41"/>
      <c r="H834" s="2"/>
    </row>
    <row r="835" spans="1:8" ht="15.75" customHeight="1" x14ac:dyDescent="0.2">
      <c r="A835" s="41"/>
      <c r="B835" s="41"/>
      <c r="C835" s="41"/>
      <c r="D835" s="41"/>
      <c r="E835" s="41"/>
      <c r="H835" s="2"/>
    </row>
    <row r="836" spans="1:8" ht="15.75" customHeight="1" x14ac:dyDescent="0.2">
      <c r="A836" s="41"/>
      <c r="B836" s="41"/>
      <c r="C836" s="41"/>
      <c r="D836" s="41"/>
      <c r="E836" s="41"/>
      <c r="H836" s="2"/>
    </row>
    <row r="837" spans="1:8" ht="15.75" customHeight="1" x14ac:dyDescent="0.2">
      <c r="A837" s="41"/>
      <c r="B837" s="41"/>
      <c r="C837" s="41"/>
      <c r="D837" s="41"/>
      <c r="E837" s="41"/>
      <c r="H837" s="2"/>
    </row>
    <row r="838" spans="1:8" ht="15.75" customHeight="1" x14ac:dyDescent="0.2">
      <c r="A838" s="41"/>
      <c r="B838" s="41"/>
      <c r="C838" s="41"/>
      <c r="D838" s="41"/>
      <c r="E838" s="41"/>
      <c r="H838" s="2"/>
    </row>
    <row r="839" spans="1:8" ht="15.75" customHeight="1" x14ac:dyDescent="0.2">
      <c r="A839" s="41"/>
      <c r="B839" s="41"/>
      <c r="C839" s="41"/>
      <c r="D839" s="41"/>
      <c r="E839" s="41"/>
      <c r="H839" s="2"/>
    </row>
    <row r="840" spans="1:8" ht="15.75" customHeight="1" x14ac:dyDescent="0.2">
      <c r="A840" s="41"/>
      <c r="B840" s="41"/>
      <c r="C840" s="41"/>
      <c r="D840" s="41"/>
      <c r="E840" s="41"/>
      <c r="H840" s="2"/>
    </row>
    <row r="841" spans="1:8" ht="15.75" customHeight="1" x14ac:dyDescent="0.2">
      <c r="A841" s="41"/>
      <c r="B841" s="41"/>
      <c r="C841" s="41"/>
      <c r="D841" s="41"/>
      <c r="E841" s="41"/>
      <c r="H841" s="2"/>
    </row>
    <row r="842" spans="1:8" ht="15.75" customHeight="1" x14ac:dyDescent="0.2">
      <c r="A842" s="41"/>
      <c r="B842" s="41"/>
      <c r="C842" s="41"/>
      <c r="D842" s="41"/>
      <c r="E842" s="41"/>
      <c r="H842" s="2"/>
    </row>
    <row r="843" spans="1:8" ht="15.75" customHeight="1" x14ac:dyDescent="0.2">
      <c r="A843" s="41"/>
      <c r="B843" s="41"/>
      <c r="C843" s="41"/>
      <c r="D843" s="41"/>
      <c r="E843" s="41"/>
      <c r="H843" s="2"/>
    </row>
    <row r="844" spans="1:8" ht="15.75" customHeight="1" x14ac:dyDescent="0.2">
      <c r="A844" s="41"/>
      <c r="B844" s="41"/>
      <c r="C844" s="41"/>
      <c r="D844" s="41"/>
      <c r="E844" s="41"/>
      <c r="H844" s="2"/>
    </row>
    <row r="845" spans="1:8" ht="15.75" customHeight="1" x14ac:dyDescent="0.2">
      <c r="A845" s="41"/>
      <c r="B845" s="41"/>
      <c r="C845" s="41"/>
      <c r="D845" s="41"/>
      <c r="E845" s="41"/>
      <c r="H845" s="2"/>
    </row>
    <row r="846" spans="1:8" ht="15.75" customHeight="1" x14ac:dyDescent="0.2">
      <c r="A846" s="41"/>
      <c r="B846" s="41"/>
      <c r="C846" s="41"/>
      <c r="D846" s="41"/>
      <c r="E846" s="41"/>
      <c r="H846" s="2"/>
    </row>
    <row r="847" spans="1:8" ht="15.75" customHeight="1" x14ac:dyDescent="0.2">
      <c r="A847" s="41"/>
      <c r="B847" s="41"/>
      <c r="C847" s="41"/>
      <c r="D847" s="41"/>
      <c r="E847" s="41"/>
      <c r="H847" s="2"/>
    </row>
    <row r="848" spans="1:8" ht="15.75" customHeight="1" x14ac:dyDescent="0.2">
      <c r="A848" s="41"/>
      <c r="B848" s="41"/>
      <c r="C848" s="41"/>
      <c r="D848" s="41"/>
      <c r="E848" s="41"/>
      <c r="H848" s="2"/>
    </row>
    <row r="849" spans="1:8" ht="15.75" customHeight="1" x14ac:dyDescent="0.2">
      <c r="A849" s="41"/>
      <c r="B849" s="41"/>
      <c r="C849" s="41"/>
      <c r="D849" s="41"/>
      <c r="E849" s="41"/>
      <c r="H849" s="2"/>
    </row>
    <row r="850" spans="1:8" ht="15.75" customHeight="1" x14ac:dyDescent="0.2">
      <c r="A850" s="41"/>
      <c r="B850" s="41"/>
      <c r="C850" s="41"/>
      <c r="D850" s="41"/>
      <c r="E850" s="41"/>
      <c r="H850" s="2"/>
    </row>
    <row r="851" spans="1:8" ht="15.75" customHeight="1" x14ac:dyDescent="0.2">
      <c r="A851" s="41"/>
      <c r="B851" s="41"/>
      <c r="C851" s="41"/>
      <c r="D851" s="41"/>
      <c r="E851" s="41"/>
      <c r="H851" s="2"/>
    </row>
    <row r="852" spans="1:8" ht="15.75" customHeight="1" x14ac:dyDescent="0.2">
      <c r="A852" s="41"/>
      <c r="B852" s="41"/>
      <c r="C852" s="41"/>
      <c r="D852" s="41"/>
      <c r="E852" s="41"/>
      <c r="H852" s="2"/>
    </row>
    <row r="853" spans="1:8" ht="15.75" customHeight="1" x14ac:dyDescent="0.2">
      <c r="A853" s="41"/>
      <c r="B853" s="41"/>
      <c r="C853" s="41"/>
      <c r="D853" s="41"/>
      <c r="E853" s="41"/>
      <c r="H853" s="2"/>
    </row>
    <row r="854" spans="1:8" ht="15.75" customHeight="1" x14ac:dyDescent="0.2">
      <c r="A854" s="41"/>
      <c r="B854" s="41"/>
      <c r="C854" s="41"/>
      <c r="D854" s="41"/>
      <c r="E854" s="41"/>
      <c r="H854" s="2"/>
    </row>
    <row r="855" spans="1:8" ht="15.75" customHeight="1" x14ac:dyDescent="0.2">
      <c r="A855" s="41"/>
      <c r="B855" s="41"/>
      <c r="C855" s="41"/>
      <c r="D855" s="41"/>
      <c r="E855" s="41"/>
      <c r="H855" s="2"/>
    </row>
    <row r="856" spans="1:8" ht="15.75" customHeight="1" x14ac:dyDescent="0.2">
      <c r="A856" s="41"/>
      <c r="B856" s="41"/>
      <c r="C856" s="41"/>
      <c r="D856" s="41"/>
      <c r="E856" s="41"/>
      <c r="H856" s="2"/>
    </row>
    <row r="857" spans="1:8" ht="15.75" customHeight="1" x14ac:dyDescent="0.2">
      <c r="A857" s="41"/>
      <c r="B857" s="41"/>
      <c r="C857" s="41"/>
      <c r="D857" s="41"/>
      <c r="E857" s="41"/>
      <c r="H857" s="2"/>
    </row>
    <row r="858" spans="1:8" ht="15.75" customHeight="1" x14ac:dyDescent="0.2">
      <c r="A858" s="41"/>
      <c r="B858" s="41"/>
      <c r="C858" s="41"/>
      <c r="D858" s="41"/>
      <c r="E858" s="41"/>
      <c r="H858" s="2"/>
    </row>
    <row r="859" spans="1:8" ht="15.75" customHeight="1" x14ac:dyDescent="0.2">
      <c r="A859" s="41"/>
      <c r="B859" s="41"/>
      <c r="C859" s="41"/>
      <c r="D859" s="41"/>
      <c r="E859" s="41"/>
      <c r="H859" s="2"/>
    </row>
    <row r="860" spans="1:8" ht="15.75" customHeight="1" x14ac:dyDescent="0.2">
      <c r="A860" s="41"/>
      <c r="B860" s="41"/>
      <c r="C860" s="41"/>
      <c r="D860" s="41"/>
      <c r="E860" s="41"/>
      <c r="H860" s="2"/>
    </row>
    <row r="861" spans="1:8" ht="15.75" customHeight="1" x14ac:dyDescent="0.2">
      <c r="A861" s="41"/>
      <c r="B861" s="41"/>
      <c r="C861" s="41"/>
      <c r="D861" s="41"/>
      <c r="E861" s="41"/>
      <c r="H861" s="2"/>
    </row>
    <row r="862" spans="1:8" ht="15.75" customHeight="1" x14ac:dyDescent="0.2">
      <c r="A862" s="41"/>
      <c r="B862" s="41"/>
      <c r="C862" s="41"/>
      <c r="D862" s="41"/>
      <c r="E862" s="41"/>
      <c r="H862" s="2"/>
    </row>
    <row r="863" spans="1:8" ht="15.75" customHeight="1" x14ac:dyDescent="0.2">
      <c r="A863" s="41"/>
      <c r="B863" s="41"/>
      <c r="C863" s="41"/>
      <c r="D863" s="41"/>
      <c r="E863" s="41"/>
      <c r="H863" s="2"/>
    </row>
    <row r="864" spans="1:8" ht="15.75" customHeight="1" x14ac:dyDescent="0.2">
      <c r="A864" s="41"/>
      <c r="B864" s="41"/>
      <c r="C864" s="41"/>
      <c r="D864" s="41"/>
      <c r="E864" s="41"/>
      <c r="H864" s="2"/>
    </row>
    <row r="865" spans="1:8" ht="15.75" customHeight="1" x14ac:dyDescent="0.2">
      <c r="A865" s="41"/>
      <c r="B865" s="41"/>
      <c r="C865" s="41"/>
      <c r="D865" s="41"/>
      <c r="E865" s="41"/>
      <c r="H865" s="2"/>
    </row>
    <row r="866" spans="1:8" ht="15.75" customHeight="1" x14ac:dyDescent="0.2">
      <c r="A866" s="41"/>
      <c r="B866" s="41"/>
      <c r="C866" s="41"/>
      <c r="D866" s="41"/>
      <c r="E866" s="41"/>
      <c r="H866" s="2"/>
    </row>
    <row r="867" spans="1:8" ht="15.75" customHeight="1" x14ac:dyDescent="0.2">
      <c r="A867" s="41"/>
      <c r="B867" s="41"/>
      <c r="C867" s="41"/>
      <c r="D867" s="41"/>
      <c r="E867" s="41"/>
      <c r="H867" s="2"/>
    </row>
    <row r="868" spans="1:8" ht="15.75" customHeight="1" x14ac:dyDescent="0.2">
      <c r="A868" s="41"/>
      <c r="B868" s="41"/>
      <c r="C868" s="41"/>
      <c r="D868" s="41"/>
      <c r="E868" s="41"/>
      <c r="H868" s="2"/>
    </row>
    <row r="869" spans="1:8" ht="15.75" customHeight="1" x14ac:dyDescent="0.2">
      <c r="A869" s="41"/>
      <c r="B869" s="41"/>
      <c r="C869" s="41"/>
      <c r="D869" s="41"/>
      <c r="E869" s="41"/>
      <c r="H869" s="2"/>
    </row>
    <row r="870" spans="1:8" ht="15.75" customHeight="1" x14ac:dyDescent="0.2">
      <c r="A870" s="41"/>
      <c r="B870" s="41"/>
      <c r="C870" s="41"/>
      <c r="D870" s="41"/>
      <c r="E870" s="41"/>
      <c r="H870" s="2"/>
    </row>
    <row r="871" spans="1:8" ht="15.75" customHeight="1" x14ac:dyDescent="0.2">
      <c r="A871" s="41"/>
      <c r="B871" s="41"/>
      <c r="C871" s="41"/>
      <c r="D871" s="41"/>
      <c r="E871" s="41"/>
      <c r="H871" s="2"/>
    </row>
    <row r="872" spans="1:8" ht="15.75" customHeight="1" x14ac:dyDescent="0.2">
      <c r="A872" s="41"/>
      <c r="B872" s="41"/>
      <c r="C872" s="41"/>
      <c r="D872" s="41"/>
      <c r="E872" s="41"/>
      <c r="H872" s="2"/>
    </row>
    <row r="873" spans="1:8" ht="15.75" customHeight="1" x14ac:dyDescent="0.2">
      <c r="A873" s="41"/>
      <c r="B873" s="41"/>
      <c r="C873" s="41"/>
      <c r="D873" s="41"/>
      <c r="E873" s="41"/>
      <c r="H873" s="2"/>
    </row>
    <row r="874" spans="1:8" ht="15.75" customHeight="1" x14ac:dyDescent="0.2">
      <c r="A874" s="41"/>
      <c r="B874" s="41"/>
      <c r="C874" s="41"/>
      <c r="D874" s="41"/>
      <c r="E874" s="41"/>
      <c r="H874" s="2"/>
    </row>
    <row r="875" spans="1:8" ht="15.75" customHeight="1" x14ac:dyDescent="0.2">
      <c r="A875" s="41"/>
      <c r="B875" s="41"/>
      <c r="C875" s="41"/>
      <c r="D875" s="41"/>
      <c r="E875" s="41"/>
      <c r="H875" s="2"/>
    </row>
    <row r="876" spans="1:8" ht="15.75" customHeight="1" x14ac:dyDescent="0.2">
      <c r="A876" s="41"/>
      <c r="B876" s="41"/>
      <c r="C876" s="41"/>
      <c r="D876" s="41"/>
      <c r="E876" s="41"/>
      <c r="H876" s="2"/>
    </row>
    <row r="877" spans="1:8" ht="15.75" customHeight="1" x14ac:dyDescent="0.2">
      <c r="A877" s="41"/>
      <c r="B877" s="41"/>
      <c r="C877" s="41"/>
      <c r="D877" s="41"/>
      <c r="E877" s="41"/>
      <c r="H877" s="2"/>
    </row>
    <row r="878" spans="1:8" ht="15.75" customHeight="1" x14ac:dyDescent="0.2">
      <c r="A878" s="41"/>
      <c r="B878" s="41"/>
      <c r="C878" s="41"/>
      <c r="D878" s="41"/>
      <c r="E878" s="41"/>
      <c r="H878" s="2"/>
    </row>
    <row r="879" spans="1:8" ht="15.75" customHeight="1" x14ac:dyDescent="0.2">
      <c r="A879" s="41"/>
      <c r="B879" s="41"/>
      <c r="C879" s="41"/>
      <c r="D879" s="41"/>
      <c r="E879" s="41"/>
      <c r="H879" s="2"/>
    </row>
    <row r="880" spans="1:8" ht="15.75" customHeight="1" x14ac:dyDescent="0.2">
      <c r="A880" s="41"/>
      <c r="B880" s="41"/>
      <c r="C880" s="41"/>
      <c r="D880" s="41"/>
      <c r="E880" s="41"/>
      <c r="H880" s="2"/>
    </row>
    <row r="881" spans="1:8" ht="15.75" customHeight="1" x14ac:dyDescent="0.2">
      <c r="A881" s="41"/>
      <c r="B881" s="41"/>
      <c r="C881" s="41"/>
      <c r="D881" s="41"/>
      <c r="E881" s="41"/>
      <c r="H881" s="2"/>
    </row>
    <row r="882" spans="1:8" ht="15.75" customHeight="1" x14ac:dyDescent="0.2">
      <c r="A882" s="41"/>
      <c r="B882" s="41"/>
      <c r="C882" s="41"/>
      <c r="D882" s="41"/>
      <c r="E882" s="41"/>
      <c r="H882" s="2"/>
    </row>
    <row r="883" spans="1:8" ht="15.75" customHeight="1" x14ac:dyDescent="0.2">
      <c r="A883" s="41"/>
      <c r="B883" s="41"/>
      <c r="C883" s="41"/>
      <c r="D883" s="41"/>
      <c r="E883" s="41"/>
      <c r="H883" s="2"/>
    </row>
    <row r="884" spans="1:8" ht="15.75" customHeight="1" x14ac:dyDescent="0.2">
      <c r="A884" s="41"/>
      <c r="B884" s="41"/>
      <c r="C884" s="41"/>
      <c r="D884" s="41"/>
      <c r="E884" s="41"/>
      <c r="H884" s="2"/>
    </row>
    <row r="885" spans="1:8" ht="15.75" customHeight="1" x14ac:dyDescent="0.2">
      <c r="A885" s="41"/>
      <c r="B885" s="41"/>
      <c r="C885" s="41"/>
      <c r="D885" s="41"/>
      <c r="E885" s="41"/>
      <c r="H885" s="2"/>
    </row>
    <row r="886" spans="1:8" ht="15.75" customHeight="1" x14ac:dyDescent="0.2">
      <c r="A886" s="41"/>
      <c r="B886" s="41"/>
      <c r="C886" s="41"/>
      <c r="D886" s="41"/>
      <c r="E886" s="41"/>
      <c r="H886" s="2"/>
    </row>
    <row r="887" spans="1:8" ht="15.75" customHeight="1" x14ac:dyDescent="0.2">
      <c r="A887" s="41"/>
      <c r="B887" s="41"/>
      <c r="C887" s="41"/>
      <c r="D887" s="41"/>
      <c r="E887" s="41"/>
      <c r="H887" s="2"/>
    </row>
    <row r="888" spans="1:8" ht="15.75" customHeight="1" x14ac:dyDescent="0.2">
      <c r="A888" s="41"/>
      <c r="B888" s="41"/>
      <c r="C888" s="41"/>
      <c r="D888" s="41"/>
      <c r="E888" s="41"/>
      <c r="H888" s="2"/>
    </row>
    <row r="889" spans="1:8" ht="15.75" customHeight="1" x14ac:dyDescent="0.2">
      <c r="A889" s="41"/>
      <c r="B889" s="41"/>
      <c r="C889" s="41"/>
      <c r="D889" s="41"/>
      <c r="E889" s="41"/>
      <c r="H889" s="2"/>
    </row>
    <row r="890" spans="1:8" ht="15.75" customHeight="1" x14ac:dyDescent="0.2">
      <c r="A890" s="41"/>
      <c r="B890" s="41"/>
      <c r="C890" s="41"/>
      <c r="D890" s="41"/>
      <c r="E890" s="41"/>
      <c r="H890" s="2"/>
    </row>
    <row r="891" spans="1:8" ht="15.75" customHeight="1" x14ac:dyDescent="0.2">
      <c r="A891" s="41"/>
      <c r="B891" s="41"/>
      <c r="C891" s="41"/>
      <c r="D891" s="41"/>
      <c r="E891" s="41"/>
      <c r="H891" s="2"/>
    </row>
    <row r="892" spans="1:8" ht="15.75" customHeight="1" x14ac:dyDescent="0.2">
      <c r="A892" s="41"/>
      <c r="B892" s="41"/>
      <c r="C892" s="41"/>
      <c r="D892" s="41"/>
      <c r="E892" s="41"/>
      <c r="H892" s="2"/>
    </row>
    <row r="893" spans="1:8" ht="15.75" customHeight="1" x14ac:dyDescent="0.2">
      <c r="A893" s="41"/>
      <c r="B893" s="41"/>
      <c r="C893" s="41"/>
      <c r="D893" s="41"/>
      <c r="E893" s="41"/>
      <c r="H893" s="2"/>
    </row>
    <row r="894" spans="1:8" ht="15.75" customHeight="1" x14ac:dyDescent="0.2">
      <c r="A894" s="41"/>
      <c r="B894" s="41"/>
      <c r="C894" s="41"/>
      <c r="D894" s="41"/>
      <c r="E894" s="41"/>
      <c r="H894" s="2"/>
    </row>
    <row r="895" spans="1:8" ht="15.75" customHeight="1" x14ac:dyDescent="0.2">
      <c r="A895" s="41"/>
      <c r="B895" s="41"/>
      <c r="C895" s="41"/>
      <c r="D895" s="41"/>
      <c r="E895" s="41"/>
      <c r="H895" s="2"/>
    </row>
    <row r="896" spans="1:8" ht="15.75" customHeight="1" x14ac:dyDescent="0.2">
      <c r="A896" s="41"/>
      <c r="B896" s="41"/>
      <c r="C896" s="41"/>
      <c r="D896" s="41"/>
      <c r="E896" s="41"/>
      <c r="H896" s="2"/>
    </row>
    <row r="897" spans="1:8" ht="15.75" customHeight="1" x14ac:dyDescent="0.2">
      <c r="A897" s="41"/>
      <c r="B897" s="41"/>
      <c r="C897" s="41"/>
      <c r="D897" s="41"/>
      <c r="E897" s="41"/>
      <c r="H897" s="2"/>
    </row>
    <row r="898" spans="1:8" ht="15.75" customHeight="1" x14ac:dyDescent="0.2">
      <c r="A898" s="41"/>
      <c r="B898" s="41"/>
      <c r="C898" s="41"/>
      <c r="D898" s="41"/>
      <c r="E898" s="41"/>
      <c r="H898" s="2"/>
    </row>
    <row r="899" spans="1:8" ht="15.75" customHeight="1" x14ac:dyDescent="0.2">
      <c r="A899" s="41"/>
      <c r="B899" s="41"/>
      <c r="C899" s="41"/>
      <c r="D899" s="41"/>
      <c r="E899" s="41"/>
      <c r="H899" s="2"/>
    </row>
    <row r="900" spans="1:8" ht="15.75" customHeight="1" x14ac:dyDescent="0.2">
      <c r="A900" s="41"/>
      <c r="B900" s="41"/>
      <c r="C900" s="41"/>
      <c r="D900" s="41"/>
      <c r="E900" s="41"/>
      <c r="H900" s="2"/>
    </row>
    <row r="901" spans="1:8" ht="15.75" customHeight="1" x14ac:dyDescent="0.2">
      <c r="A901" s="41"/>
      <c r="B901" s="41"/>
      <c r="C901" s="41"/>
      <c r="D901" s="41"/>
      <c r="E901" s="41"/>
      <c r="H901" s="2"/>
    </row>
    <row r="902" spans="1:8" ht="15.75" customHeight="1" x14ac:dyDescent="0.2">
      <c r="A902" s="41"/>
      <c r="B902" s="41"/>
      <c r="C902" s="41"/>
      <c r="D902" s="41"/>
      <c r="E902" s="41"/>
      <c r="H902" s="2"/>
    </row>
    <row r="903" spans="1:8" ht="15.75" customHeight="1" x14ac:dyDescent="0.2">
      <c r="A903" s="41"/>
      <c r="B903" s="41"/>
      <c r="C903" s="41"/>
      <c r="D903" s="41"/>
      <c r="E903" s="41"/>
      <c r="H903" s="2"/>
    </row>
    <row r="904" spans="1:8" ht="15.75" customHeight="1" x14ac:dyDescent="0.2">
      <c r="A904" s="41"/>
      <c r="B904" s="41"/>
      <c r="C904" s="41"/>
      <c r="D904" s="41"/>
      <c r="E904" s="41"/>
      <c r="H904" s="2"/>
    </row>
    <row r="905" spans="1:8" ht="15.75" customHeight="1" x14ac:dyDescent="0.2">
      <c r="A905" s="41"/>
      <c r="B905" s="41"/>
      <c r="C905" s="41"/>
      <c r="D905" s="41"/>
      <c r="E905" s="41"/>
      <c r="H905" s="2"/>
    </row>
    <row r="906" spans="1:8" ht="15.75" customHeight="1" x14ac:dyDescent="0.2">
      <c r="A906" s="41"/>
      <c r="B906" s="41"/>
      <c r="C906" s="41"/>
      <c r="D906" s="41"/>
      <c r="E906" s="41"/>
      <c r="H906" s="2"/>
    </row>
    <row r="907" spans="1:8" ht="15.75" customHeight="1" x14ac:dyDescent="0.2">
      <c r="A907" s="41"/>
      <c r="B907" s="41"/>
      <c r="C907" s="41"/>
      <c r="D907" s="41"/>
      <c r="E907" s="41"/>
      <c r="H907" s="2"/>
    </row>
    <row r="908" spans="1:8" ht="15.75" customHeight="1" x14ac:dyDescent="0.2">
      <c r="A908" s="41"/>
      <c r="B908" s="41"/>
      <c r="C908" s="41"/>
      <c r="D908" s="41"/>
      <c r="E908" s="41"/>
      <c r="H908" s="2"/>
    </row>
    <row r="909" spans="1:8" ht="15.75" customHeight="1" x14ac:dyDescent="0.2">
      <c r="A909" s="41"/>
      <c r="B909" s="41"/>
      <c r="C909" s="41"/>
      <c r="D909" s="41"/>
      <c r="E909" s="41"/>
      <c r="H909" s="2"/>
    </row>
    <row r="910" spans="1:8" ht="15.75" customHeight="1" x14ac:dyDescent="0.2">
      <c r="A910" s="41"/>
      <c r="B910" s="41"/>
      <c r="C910" s="41"/>
      <c r="D910" s="41"/>
      <c r="E910" s="41"/>
      <c r="H910" s="2"/>
    </row>
    <row r="911" spans="1:8" ht="15.75" customHeight="1" x14ac:dyDescent="0.2">
      <c r="A911" s="41"/>
      <c r="B911" s="41"/>
      <c r="C911" s="41"/>
      <c r="D911" s="41"/>
      <c r="E911" s="41"/>
      <c r="H911" s="2"/>
    </row>
    <row r="912" spans="1:8" ht="15.75" customHeight="1" x14ac:dyDescent="0.2">
      <c r="A912" s="41"/>
      <c r="B912" s="41"/>
      <c r="C912" s="41"/>
      <c r="D912" s="41"/>
      <c r="E912" s="41"/>
      <c r="H912" s="2"/>
    </row>
    <row r="913" spans="1:8" ht="15.75" customHeight="1" x14ac:dyDescent="0.2">
      <c r="A913" s="41"/>
      <c r="B913" s="41"/>
      <c r="C913" s="41"/>
      <c r="D913" s="41"/>
      <c r="E913" s="41"/>
      <c r="H913" s="2"/>
    </row>
    <row r="914" spans="1:8" ht="15.75" customHeight="1" x14ac:dyDescent="0.2">
      <c r="A914" s="41"/>
      <c r="B914" s="41"/>
      <c r="C914" s="41"/>
      <c r="D914" s="41"/>
      <c r="E914" s="41"/>
      <c r="H914" s="2"/>
    </row>
    <row r="915" spans="1:8" ht="15.75" customHeight="1" x14ac:dyDescent="0.2">
      <c r="A915" s="41"/>
      <c r="B915" s="41"/>
      <c r="C915" s="41"/>
      <c r="D915" s="41"/>
      <c r="E915" s="41"/>
      <c r="H915" s="2"/>
    </row>
    <row r="916" spans="1:8" ht="15.75" customHeight="1" x14ac:dyDescent="0.2">
      <c r="A916" s="41"/>
      <c r="B916" s="41"/>
      <c r="C916" s="41"/>
      <c r="D916" s="41"/>
      <c r="E916" s="41"/>
      <c r="H916" s="2"/>
    </row>
    <row r="917" spans="1:8" ht="15.75" customHeight="1" x14ac:dyDescent="0.2">
      <c r="A917" s="41"/>
      <c r="B917" s="41"/>
      <c r="C917" s="41"/>
      <c r="D917" s="41"/>
      <c r="E917" s="41"/>
      <c r="H917" s="2"/>
    </row>
    <row r="918" spans="1:8" ht="15.75" customHeight="1" x14ac:dyDescent="0.2">
      <c r="A918" s="41"/>
      <c r="B918" s="41"/>
      <c r="C918" s="41"/>
      <c r="D918" s="41"/>
      <c r="E918" s="41"/>
      <c r="H918" s="2"/>
    </row>
    <row r="919" spans="1:8" ht="15.75" customHeight="1" x14ac:dyDescent="0.2">
      <c r="A919" s="41"/>
      <c r="B919" s="41"/>
      <c r="C919" s="41"/>
      <c r="D919" s="41"/>
      <c r="E919" s="41"/>
      <c r="H919" s="2"/>
    </row>
    <row r="920" spans="1:8" ht="15.75" customHeight="1" x14ac:dyDescent="0.2">
      <c r="A920" s="41"/>
      <c r="B920" s="41"/>
      <c r="C920" s="41"/>
      <c r="D920" s="41"/>
      <c r="E920" s="41"/>
      <c r="H920" s="2"/>
    </row>
    <row r="921" spans="1:8" ht="15.75" customHeight="1" x14ac:dyDescent="0.2">
      <c r="A921" s="41"/>
      <c r="B921" s="41"/>
      <c r="C921" s="41"/>
      <c r="D921" s="41"/>
      <c r="E921" s="41"/>
      <c r="H921" s="2"/>
    </row>
    <row r="922" spans="1:8" ht="15.75" customHeight="1" x14ac:dyDescent="0.2">
      <c r="A922" s="41"/>
      <c r="B922" s="41"/>
      <c r="C922" s="41"/>
      <c r="D922" s="41"/>
      <c r="E922" s="41"/>
      <c r="H922" s="2"/>
    </row>
    <row r="923" spans="1:8" ht="15.75" customHeight="1" x14ac:dyDescent="0.2">
      <c r="A923" s="41"/>
      <c r="B923" s="41"/>
      <c r="C923" s="41"/>
      <c r="D923" s="41"/>
      <c r="E923" s="41"/>
      <c r="H923" s="2"/>
    </row>
    <row r="924" spans="1:8" ht="15.75" customHeight="1" x14ac:dyDescent="0.2">
      <c r="A924" s="41"/>
      <c r="B924" s="41"/>
      <c r="C924" s="41"/>
      <c r="D924" s="41"/>
      <c r="E924" s="41"/>
      <c r="H924" s="2"/>
    </row>
    <row r="925" spans="1:8" ht="15.75" customHeight="1" x14ac:dyDescent="0.2">
      <c r="A925" s="41"/>
      <c r="B925" s="41"/>
      <c r="C925" s="41"/>
      <c r="D925" s="41"/>
      <c r="E925" s="41"/>
      <c r="H925" s="2"/>
    </row>
    <row r="926" spans="1:8" ht="15.75" customHeight="1" x14ac:dyDescent="0.2">
      <c r="A926" s="41"/>
      <c r="B926" s="41"/>
      <c r="C926" s="41"/>
      <c r="D926" s="41"/>
      <c r="E926" s="41"/>
      <c r="H926" s="2"/>
    </row>
    <row r="927" spans="1:8" ht="15.75" customHeight="1" x14ac:dyDescent="0.2">
      <c r="A927" s="41"/>
      <c r="B927" s="41"/>
      <c r="C927" s="41"/>
      <c r="D927" s="41"/>
      <c r="E927" s="41"/>
      <c r="H927" s="2"/>
    </row>
    <row r="928" spans="1:8" ht="15.75" customHeight="1" x14ac:dyDescent="0.2">
      <c r="A928" s="41"/>
      <c r="B928" s="41"/>
      <c r="C928" s="41"/>
      <c r="D928" s="41"/>
      <c r="E928" s="41"/>
      <c r="H928" s="2"/>
    </row>
    <row r="929" spans="1:8" ht="15.75" customHeight="1" x14ac:dyDescent="0.2">
      <c r="A929" s="41"/>
      <c r="B929" s="41"/>
      <c r="C929" s="41"/>
      <c r="D929" s="41"/>
      <c r="E929" s="41"/>
      <c r="H929" s="2"/>
    </row>
    <row r="930" spans="1:8" ht="15.75" customHeight="1" x14ac:dyDescent="0.2">
      <c r="A930" s="41"/>
      <c r="B930" s="41"/>
      <c r="C930" s="41"/>
      <c r="D930" s="41"/>
      <c r="E930" s="41"/>
      <c r="H930" s="2"/>
    </row>
    <row r="931" spans="1:8" ht="15.75" customHeight="1" x14ac:dyDescent="0.2">
      <c r="A931" s="41"/>
      <c r="B931" s="41"/>
      <c r="C931" s="41"/>
      <c r="D931" s="41"/>
      <c r="E931" s="41"/>
      <c r="H931" s="2"/>
    </row>
    <row r="932" spans="1:8" ht="15.75" customHeight="1" x14ac:dyDescent="0.2">
      <c r="A932" s="41"/>
      <c r="B932" s="41"/>
      <c r="C932" s="41"/>
      <c r="D932" s="41"/>
      <c r="E932" s="41"/>
      <c r="H932" s="2"/>
    </row>
    <row r="933" spans="1:8" ht="15.75" customHeight="1" x14ac:dyDescent="0.2">
      <c r="A933" s="41"/>
      <c r="B933" s="41"/>
      <c r="C933" s="41"/>
      <c r="D933" s="41"/>
      <c r="E933" s="41"/>
      <c r="H933" s="2"/>
    </row>
    <row r="934" spans="1:8" ht="15.75" customHeight="1" x14ac:dyDescent="0.2">
      <c r="A934" s="41"/>
      <c r="B934" s="41"/>
      <c r="C934" s="41"/>
      <c r="D934" s="41"/>
      <c r="E934" s="41"/>
      <c r="H934" s="2"/>
    </row>
    <row r="935" spans="1:8" ht="15.75" customHeight="1" x14ac:dyDescent="0.2">
      <c r="A935" s="41"/>
      <c r="B935" s="41"/>
      <c r="C935" s="41"/>
      <c r="D935" s="41"/>
      <c r="E935" s="41"/>
      <c r="H935" s="2"/>
    </row>
    <row r="936" spans="1:8" ht="15.75" customHeight="1" x14ac:dyDescent="0.2">
      <c r="A936" s="41"/>
      <c r="B936" s="41"/>
      <c r="C936" s="41"/>
      <c r="D936" s="41"/>
      <c r="E936" s="41"/>
      <c r="H936" s="2"/>
    </row>
    <row r="937" spans="1:8" ht="15.75" customHeight="1" x14ac:dyDescent="0.2">
      <c r="A937" s="41"/>
      <c r="B937" s="41"/>
      <c r="C937" s="41"/>
      <c r="D937" s="41"/>
      <c r="E937" s="41"/>
      <c r="H937" s="2"/>
    </row>
    <row r="938" spans="1:8" ht="15.75" customHeight="1" x14ac:dyDescent="0.2">
      <c r="A938" s="41"/>
      <c r="B938" s="41"/>
      <c r="C938" s="41"/>
      <c r="D938" s="41"/>
      <c r="E938" s="41"/>
      <c r="H938" s="2"/>
    </row>
    <row r="939" spans="1:8" ht="15.75" customHeight="1" x14ac:dyDescent="0.2">
      <c r="A939" s="41"/>
      <c r="B939" s="41"/>
      <c r="C939" s="41"/>
      <c r="D939" s="41"/>
      <c r="E939" s="41"/>
      <c r="H939" s="2"/>
    </row>
    <row r="940" spans="1:8" ht="15.75" customHeight="1" x14ac:dyDescent="0.2">
      <c r="A940" s="41"/>
      <c r="B940" s="41"/>
      <c r="C940" s="41"/>
      <c r="D940" s="41"/>
      <c r="E940" s="41"/>
      <c r="H940" s="2"/>
    </row>
    <row r="941" spans="1:8" ht="15.75" customHeight="1" x14ac:dyDescent="0.2">
      <c r="A941" s="41"/>
      <c r="B941" s="41"/>
      <c r="C941" s="41"/>
      <c r="D941" s="41"/>
      <c r="E941" s="41"/>
      <c r="H941" s="2"/>
    </row>
    <row r="942" spans="1:8" ht="15.75" customHeight="1" x14ac:dyDescent="0.2">
      <c r="A942" s="41"/>
      <c r="B942" s="41"/>
      <c r="C942" s="41"/>
      <c r="D942" s="41"/>
      <c r="E942" s="41"/>
      <c r="H942" s="2"/>
    </row>
    <row r="943" spans="1:8" ht="15.75" customHeight="1" x14ac:dyDescent="0.2">
      <c r="A943" s="41"/>
      <c r="B943" s="41"/>
      <c r="C943" s="41"/>
      <c r="D943" s="41"/>
      <c r="E943" s="41"/>
      <c r="H943" s="2"/>
    </row>
    <row r="944" spans="1:8" ht="15.75" customHeight="1" x14ac:dyDescent="0.2">
      <c r="A944" s="41"/>
      <c r="B944" s="41"/>
      <c r="C944" s="41"/>
      <c r="D944" s="41"/>
      <c r="E944" s="41"/>
      <c r="H944" s="2"/>
    </row>
    <row r="945" spans="1:8" ht="15.75" customHeight="1" x14ac:dyDescent="0.2">
      <c r="A945" s="41"/>
      <c r="B945" s="41"/>
      <c r="C945" s="41"/>
      <c r="D945" s="41"/>
      <c r="E945" s="41"/>
      <c r="H945" s="2"/>
    </row>
    <row r="946" spans="1:8" ht="15.75" customHeight="1" x14ac:dyDescent="0.2">
      <c r="A946" s="41"/>
      <c r="B946" s="41"/>
      <c r="C946" s="41"/>
      <c r="D946" s="41"/>
      <c r="E946" s="41"/>
      <c r="H946" s="2"/>
    </row>
    <row r="947" spans="1:8" ht="15.75" customHeight="1" x14ac:dyDescent="0.2">
      <c r="A947" s="41"/>
      <c r="B947" s="41"/>
      <c r="C947" s="41"/>
      <c r="D947" s="41"/>
      <c r="E947" s="41"/>
      <c r="H947" s="2"/>
    </row>
    <row r="948" spans="1:8" ht="15.75" customHeight="1" x14ac:dyDescent="0.2">
      <c r="A948" s="41"/>
      <c r="B948" s="41"/>
      <c r="C948" s="41"/>
      <c r="D948" s="41"/>
      <c r="E948" s="41"/>
      <c r="H948" s="2"/>
    </row>
    <row r="949" spans="1:8" ht="15.75" customHeight="1" x14ac:dyDescent="0.2">
      <c r="A949" s="41"/>
      <c r="B949" s="41"/>
      <c r="C949" s="41"/>
      <c r="D949" s="41"/>
      <c r="E949" s="41"/>
      <c r="H949" s="2"/>
    </row>
    <row r="950" spans="1:8" ht="15.75" customHeight="1" x14ac:dyDescent="0.2">
      <c r="A950" s="41"/>
      <c r="B950" s="41"/>
      <c r="C950" s="41"/>
      <c r="D950" s="41"/>
      <c r="E950" s="41"/>
      <c r="H950" s="2"/>
    </row>
    <row r="951" spans="1:8" ht="15.75" customHeight="1" x14ac:dyDescent="0.2">
      <c r="A951" s="41"/>
      <c r="B951" s="41"/>
      <c r="C951" s="41"/>
      <c r="D951" s="41"/>
      <c r="E951" s="41"/>
      <c r="H951" s="2"/>
    </row>
    <row r="952" spans="1:8" ht="15.75" customHeight="1" x14ac:dyDescent="0.2">
      <c r="A952" s="41"/>
      <c r="B952" s="41"/>
      <c r="C952" s="41"/>
      <c r="D952" s="41"/>
      <c r="E952" s="41"/>
      <c r="H952" s="2"/>
    </row>
    <row r="953" spans="1:8" ht="15.75" customHeight="1" x14ac:dyDescent="0.2">
      <c r="A953" s="41"/>
      <c r="B953" s="41"/>
      <c r="C953" s="41"/>
      <c r="D953" s="41"/>
      <c r="E953" s="41"/>
      <c r="H953" s="2"/>
    </row>
    <row r="954" spans="1:8" ht="15.75" customHeight="1" x14ac:dyDescent="0.2">
      <c r="A954" s="41"/>
      <c r="B954" s="41"/>
      <c r="C954" s="41"/>
      <c r="D954" s="41"/>
      <c r="E954" s="41"/>
      <c r="H954" s="2"/>
    </row>
    <row r="955" spans="1:8" ht="15.75" customHeight="1" x14ac:dyDescent="0.2">
      <c r="A955" s="41"/>
      <c r="B955" s="41"/>
      <c r="C955" s="41"/>
      <c r="D955" s="41"/>
      <c r="E955" s="41"/>
      <c r="H955" s="2"/>
    </row>
    <row r="956" spans="1:8" ht="15.75" customHeight="1" x14ac:dyDescent="0.2">
      <c r="A956" s="41"/>
      <c r="B956" s="41"/>
      <c r="C956" s="41"/>
      <c r="D956" s="41"/>
      <c r="E956" s="41"/>
      <c r="H956" s="2"/>
    </row>
    <row r="957" spans="1:8" ht="15.75" customHeight="1" x14ac:dyDescent="0.2">
      <c r="A957" s="41"/>
      <c r="B957" s="41"/>
      <c r="C957" s="41"/>
      <c r="D957" s="41"/>
      <c r="E957" s="41"/>
      <c r="H957" s="2"/>
    </row>
    <row r="958" spans="1:8" ht="15.75" customHeight="1" x14ac:dyDescent="0.2">
      <c r="A958" s="41"/>
      <c r="B958" s="41"/>
      <c r="C958" s="41"/>
      <c r="D958" s="41"/>
      <c r="E958" s="41"/>
      <c r="H958" s="2"/>
    </row>
    <row r="959" spans="1:8" ht="15.75" customHeight="1" x14ac:dyDescent="0.2">
      <c r="A959" s="41"/>
      <c r="B959" s="41"/>
      <c r="C959" s="41"/>
      <c r="D959" s="41"/>
      <c r="E959" s="41"/>
      <c r="H959" s="2"/>
    </row>
    <row r="960" spans="1:8" ht="15.75" customHeight="1" x14ac:dyDescent="0.2">
      <c r="A960" s="41"/>
      <c r="B960" s="41"/>
      <c r="C960" s="41"/>
      <c r="D960" s="41"/>
      <c r="E960" s="41"/>
      <c r="H960" s="2"/>
    </row>
    <row r="961" spans="1:8" ht="15.75" customHeight="1" x14ac:dyDescent="0.2">
      <c r="A961" s="41"/>
      <c r="B961" s="41"/>
      <c r="C961" s="41"/>
      <c r="D961" s="41"/>
      <c r="E961" s="41"/>
      <c r="H961" s="2"/>
    </row>
    <row r="962" spans="1:8" ht="15.75" customHeight="1" x14ac:dyDescent="0.2">
      <c r="A962" s="41"/>
      <c r="B962" s="41"/>
      <c r="C962" s="41"/>
      <c r="D962" s="41"/>
      <c r="E962" s="41"/>
      <c r="H962" s="2"/>
    </row>
    <row r="963" spans="1:8" ht="15.75" customHeight="1" x14ac:dyDescent="0.2">
      <c r="A963" s="41"/>
      <c r="B963" s="41"/>
      <c r="C963" s="41"/>
      <c r="D963" s="41"/>
      <c r="E963" s="41"/>
      <c r="H963" s="2"/>
    </row>
    <row r="964" spans="1:8" ht="15.75" customHeight="1" x14ac:dyDescent="0.2">
      <c r="A964" s="41"/>
      <c r="B964" s="41"/>
      <c r="C964" s="41"/>
      <c r="D964" s="41"/>
      <c r="E964" s="41"/>
      <c r="H964" s="2"/>
    </row>
    <row r="965" spans="1:8" ht="15.75" customHeight="1" x14ac:dyDescent="0.2">
      <c r="A965" s="41"/>
      <c r="B965" s="41"/>
      <c r="C965" s="41"/>
      <c r="D965" s="41"/>
      <c r="E965" s="41"/>
      <c r="H965" s="2"/>
    </row>
    <row r="966" spans="1:8" ht="15.75" customHeight="1" x14ac:dyDescent="0.2">
      <c r="A966" s="41"/>
      <c r="B966" s="41"/>
      <c r="C966" s="41"/>
      <c r="D966" s="41"/>
      <c r="E966" s="41"/>
      <c r="H966" s="2"/>
    </row>
    <row r="967" spans="1:8" ht="15.75" customHeight="1" x14ac:dyDescent="0.2">
      <c r="A967" s="41"/>
      <c r="B967" s="41"/>
      <c r="C967" s="41"/>
      <c r="D967" s="41"/>
      <c r="E967" s="41"/>
      <c r="H967" s="2"/>
    </row>
    <row r="968" spans="1:8" ht="15.75" customHeight="1" x14ac:dyDescent="0.2">
      <c r="A968" s="41"/>
      <c r="B968" s="41"/>
      <c r="C968" s="41"/>
      <c r="D968" s="41"/>
      <c r="E968" s="41"/>
      <c r="H968" s="2"/>
    </row>
    <row r="969" spans="1:8" ht="15.75" customHeight="1" x14ac:dyDescent="0.2">
      <c r="A969" s="41"/>
      <c r="B969" s="41"/>
      <c r="C969" s="41"/>
      <c r="D969" s="41"/>
      <c r="E969" s="41"/>
      <c r="H969" s="2"/>
    </row>
    <row r="970" spans="1:8" ht="15.75" customHeight="1" x14ac:dyDescent="0.2">
      <c r="A970" s="41"/>
      <c r="B970" s="41"/>
      <c r="C970" s="41"/>
      <c r="D970" s="41"/>
      <c r="E970" s="41"/>
      <c r="H970" s="2"/>
    </row>
    <row r="971" spans="1:8" ht="15.75" customHeight="1" x14ac:dyDescent="0.2">
      <c r="A971" s="41"/>
      <c r="B971" s="41"/>
      <c r="C971" s="41"/>
      <c r="D971" s="41"/>
      <c r="E971" s="41"/>
      <c r="H971" s="2"/>
    </row>
    <row r="972" spans="1:8" ht="15.75" customHeight="1" x14ac:dyDescent="0.2">
      <c r="A972" s="41"/>
      <c r="B972" s="41"/>
      <c r="C972" s="41"/>
      <c r="D972" s="41"/>
      <c r="E972" s="41"/>
      <c r="H972" s="2"/>
    </row>
    <row r="973" spans="1:8" ht="15.75" customHeight="1" x14ac:dyDescent="0.2">
      <c r="A973" s="41"/>
      <c r="B973" s="41"/>
      <c r="C973" s="41"/>
      <c r="D973" s="41"/>
      <c r="E973" s="41"/>
      <c r="H973" s="2"/>
    </row>
    <row r="974" spans="1:8" ht="15.75" customHeight="1" x14ac:dyDescent="0.2">
      <c r="A974" s="41"/>
      <c r="B974" s="41"/>
      <c r="C974" s="41"/>
      <c r="D974" s="41"/>
      <c r="E974" s="41"/>
      <c r="H974" s="2"/>
    </row>
    <row r="975" spans="1:8" ht="15.75" customHeight="1" x14ac:dyDescent="0.2">
      <c r="A975" s="41"/>
      <c r="B975" s="41"/>
      <c r="C975" s="41"/>
      <c r="D975" s="41"/>
      <c r="E975" s="41"/>
      <c r="H975" s="2"/>
    </row>
    <row r="976" spans="1:8" ht="15.75" customHeight="1" x14ac:dyDescent="0.2">
      <c r="A976" s="41"/>
      <c r="B976" s="41"/>
      <c r="C976" s="41"/>
      <c r="D976" s="41"/>
      <c r="E976" s="41"/>
      <c r="H976" s="2"/>
    </row>
    <row r="977" spans="1:8" ht="15.75" customHeight="1" x14ac:dyDescent="0.2">
      <c r="A977" s="41"/>
      <c r="B977" s="41"/>
      <c r="C977" s="41"/>
      <c r="D977" s="41"/>
      <c r="E977" s="41"/>
      <c r="H977" s="2"/>
    </row>
    <row r="978" spans="1:8" ht="15.75" customHeight="1" x14ac:dyDescent="0.2">
      <c r="A978" s="41"/>
      <c r="B978" s="41"/>
      <c r="C978" s="41"/>
      <c r="D978" s="41"/>
      <c r="E978" s="41"/>
      <c r="H978" s="2"/>
    </row>
    <row r="979" spans="1:8" ht="15.75" customHeight="1" x14ac:dyDescent="0.2">
      <c r="A979" s="41"/>
      <c r="B979" s="41"/>
      <c r="C979" s="41"/>
      <c r="D979" s="41"/>
      <c r="E979" s="41"/>
      <c r="H979" s="2"/>
    </row>
    <row r="980" spans="1:8" ht="15.75" customHeight="1" x14ac:dyDescent="0.2">
      <c r="A980" s="41"/>
      <c r="B980" s="41"/>
      <c r="C980" s="41"/>
      <c r="D980" s="41"/>
      <c r="E980" s="41"/>
      <c r="H980" s="2"/>
    </row>
    <row r="981" spans="1:8" ht="15.75" customHeight="1" x14ac:dyDescent="0.2">
      <c r="A981" s="41"/>
      <c r="B981" s="41"/>
      <c r="C981" s="41"/>
      <c r="D981" s="41"/>
      <c r="E981" s="41"/>
      <c r="H981" s="2"/>
    </row>
    <row r="982" spans="1:8" ht="15.75" customHeight="1" x14ac:dyDescent="0.2">
      <c r="A982" s="41"/>
      <c r="B982" s="41"/>
      <c r="C982" s="41"/>
      <c r="D982" s="41"/>
      <c r="E982" s="41"/>
      <c r="H982" s="2"/>
    </row>
    <row r="983" spans="1:8" ht="15.75" customHeight="1" x14ac:dyDescent="0.2">
      <c r="A983" s="41"/>
      <c r="B983" s="41"/>
      <c r="C983" s="41"/>
      <c r="D983" s="41"/>
      <c r="E983" s="41"/>
      <c r="H983" s="2"/>
    </row>
    <row r="984" spans="1:8" ht="15.75" customHeight="1" x14ac:dyDescent="0.2">
      <c r="A984" s="41"/>
      <c r="B984" s="41"/>
      <c r="C984" s="41"/>
      <c r="D984" s="41"/>
      <c r="E984" s="41"/>
      <c r="H984" s="2"/>
    </row>
    <row r="985" spans="1:8" ht="15.75" customHeight="1" x14ac:dyDescent="0.2">
      <c r="A985" s="41"/>
      <c r="B985" s="41"/>
      <c r="C985" s="41"/>
      <c r="D985" s="41"/>
      <c r="E985" s="41"/>
      <c r="H985" s="2"/>
    </row>
    <row r="986" spans="1:8" ht="15.75" customHeight="1" x14ac:dyDescent="0.2">
      <c r="A986" s="41"/>
      <c r="B986" s="41"/>
      <c r="C986" s="41"/>
      <c r="D986" s="41"/>
      <c r="E986" s="41"/>
      <c r="H986" s="2"/>
    </row>
    <row r="987" spans="1:8" ht="15.75" customHeight="1" x14ac:dyDescent="0.2">
      <c r="A987" s="41"/>
      <c r="B987" s="41"/>
      <c r="C987" s="41"/>
      <c r="D987" s="41"/>
      <c r="E987" s="41"/>
      <c r="H987" s="2"/>
    </row>
    <row r="988" spans="1:8" ht="15.75" customHeight="1" x14ac:dyDescent="0.2">
      <c r="A988" s="41"/>
      <c r="B988" s="41"/>
      <c r="C988" s="41"/>
      <c r="D988" s="41"/>
      <c r="E988" s="41"/>
      <c r="H988" s="2"/>
    </row>
    <row r="989" spans="1:8" ht="15.75" customHeight="1" x14ac:dyDescent="0.2">
      <c r="A989" s="41"/>
      <c r="B989" s="41"/>
      <c r="C989" s="41"/>
      <c r="D989" s="41"/>
      <c r="E989" s="41"/>
      <c r="H989" s="2"/>
    </row>
    <row r="990" spans="1:8" ht="15.75" customHeight="1" x14ac:dyDescent="0.2">
      <c r="A990" s="41"/>
      <c r="B990" s="41"/>
      <c r="C990" s="41"/>
      <c r="D990" s="41"/>
      <c r="E990" s="41"/>
      <c r="H990" s="2"/>
    </row>
    <row r="991" spans="1:8" ht="15.75" customHeight="1" x14ac:dyDescent="0.2">
      <c r="A991" s="41"/>
      <c r="B991" s="41"/>
      <c r="C991" s="41"/>
      <c r="D991" s="41"/>
      <c r="E991" s="41"/>
      <c r="H991" s="2"/>
    </row>
    <row r="992" spans="1:8" ht="15.75" customHeight="1" x14ac:dyDescent="0.2">
      <c r="A992" s="41"/>
      <c r="B992" s="41"/>
      <c r="C992" s="41"/>
      <c r="D992" s="41"/>
      <c r="E992" s="41"/>
      <c r="H992" s="2"/>
    </row>
    <row r="993" spans="1:8" ht="15.75" customHeight="1" x14ac:dyDescent="0.2">
      <c r="A993" s="41"/>
      <c r="B993" s="41"/>
      <c r="C993" s="41"/>
      <c r="D993" s="41"/>
      <c r="E993" s="41"/>
      <c r="H993" s="2"/>
    </row>
    <row r="994" spans="1:8" ht="15.75" customHeight="1" x14ac:dyDescent="0.2">
      <c r="A994" s="41"/>
      <c r="B994" s="41"/>
      <c r="C994" s="41"/>
      <c r="D994" s="41"/>
      <c r="E994" s="41"/>
      <c r="H994" s="2"/>
    </row>
    <row r="995" spans="1:8" ht="15.75" customHeight="1" x14ac:dyDescent="0.2">
      <c r="A995" s="41"/>
      <c r="B995" s="41"/>
      <c r="C995" s="41"/>
      <c r="D995" s="41"/>
      <c r="E995" s="41"/>
      <c r="H995" s="2"/>
    </row>
    <row r="996" spans="1:8" ht="15.75" customHeight="1" x14ac:dyDescent="0.2">
      <c r="A996" s="41"/>
      <c r="B996" s="41"/>
      <c r="C996" s="41"/>
      <c r="D996" s="41"/>
      <c r="E996" s="41"/>
      <c r="H996" s="2"/>
    </row>
    <row r="997" spans="1:8" ht="15.75" customHeight="1" x14ac:dyDescent="0.2">
      <c r="A997" s="41"/>
      <c r="B997" s="41"/>
      <c r="C997" s="41"/>
      <c r="D997" s="41"/>
      <c r="E997" s="41"/>
      <c r="H997" s="2"/>
    </row>
    <row r="998" spans="1:8" ht="15.75" customHeight="1" x14ac:dyDescent="0.2">
      <c r="A998" s="41"/>
      <c r="B998" s="41"/>
      <c r="C998" s="41"/>
      <c r="D998" s="41"/>
      <c r="E998" s="41"/>
      <c r="H998" s="2"/>
    </row>
    <row r="999" spans="1:8" ht="15.75" customHeight="1" x14ac:dyDescent="0.2">
      <c r="H999" s="2"/>
    </row>
    <row r="1000" spans="1:8" ht="15.75" customHeight="1" x14ac:dyDescent="0.2">
      <c r="H1000" s="2"/>
    </row>
    <row r="1001" spans="1:8" ht="15.75" customHeight="1" x14ac:dyDescent="0.2">
      <c r="H1001" s="2"/>
    </row>
    <row r="1002" spans="1:8" ht="15.75" customHeight="1" x14ac:dyDescent="0.2">
      <c r="H1002" s="2"/>
    </row>
    <row r="1003" spans="1:8" ht="15.75" customHeight="1" x14ac:dyDescent="0.2">
      <c r="H1003" s="2"/>
    </row>
    <row r="1004" spans="1:8" ht="15.75" customHeight="1" x14ac:dyDescent="0.2">
      <c r="H1004" s="2"/>
    </row>
  </sheetData>
  <pageMargins left="0.511811024" right="0.511811024" top="0.78740157499999996" bottom="0.78740157499999996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CA8196D-BD2B-BC45-BDD8-5D56FC47C910}">
            <xm:f>OR(AND($F9&lt;&gt;"",ISNA(MATCH($F9,Naturezas!$B$3:$B$32,0))),AND($F9="",COUNTA($A9:$E9,$G9:$H9)&gt;0))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F9:F504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869A-39C7-194C-9618-4E2B43B72D22}">
  <dimension ref="A1"/>
  <sheetViews>
    <sheetView workbookViewId="0">
      <selection activeCell="D38" sqref="D38"/>
    </sheetView>
  </sheetViews>
  <sheetFormatPr baseColWidth="10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F059-67C5-3A41-B464-25C60F37A0F2}">
  <dimension ref="A1:F32"/>
  <sheetViews>
    <sheetView tabSelected="1" workbookViewId="0">
      <selection activeCell="F32" sqref="F32"/>
    </sheetView>
  </sheetViews>
  <sheetFormatPr baseColWidth="10" defaultRowHeight="15" x14ac:dyDescent="0.2"/>
  <cols>
    <col min="1" max="1" width="23" customWidth="1"/>
    <col min="2" max="2" width="10.6640625" customWidth="1"/>
    <col min="3" max="3" width="7.5" customWidth="1"/>
    <col min="4" max="5" width="13.6640625" customWidth="1"/>
    <col min="6" max="6" width="70.83203125" bestFit="1" customWidth="1"/>
  </cols>
  <sheetData>
    <row r="1" spans="1:6" ht="24" x14ac:dyDescent="0.3">
      <c r="A1" s="30" t="s">
        <v>82</v>
      </c>
      <c r="B1" s="3"/>
      <c r="C1" s="3"/>
      <c r="D1" s="3"/>
      <c r="E1" s="3"/>
    </row>
    <row r="2" spans="1:6" x14ac:dyDescent="0.2">
      <c r="A2" s="21" t="s">
        <v>4</v>
      </c>
      <c r="B2" s="21" t="s">
        <v>4</v>
      </c>
      <c r="C2" s="21" t="s">
        <v>9</v>
      </c>
      <c r="D2" s="21" t="s">
        <v>80</v>
      </c>
      <c r="E2" s="21" t="s">
        <v>80</v>
      </c>
      <c r="F2" s="21" t="s">
        <v>93</v>
      </c>
    </row>
    <row r="3" spans="1:6" x14ac:dyDescent="0.2">
      <c r="A3" s="20" t="s">
        <v>14</v>
      </c>
      <c r="B3" s="20" t="s">
        <v>15</v>
      </c>
      <c r="C3" s="20" t="s">
        <v>16</v>
      </c>
      <c r="D3" s="20" t="s">
        <v>17</v>
      </c>
      <c r="E3" s="20" t="s">
        <v>18</v>
      </c>
      <c r="F3" s="20" t="s">
        <v>97</v>
      </c>
    </row>
    <row r="4" spans="1:6" x14ac:dyDescent="0.2">
      <c r="A4" s="8" t="s">
        <v>19</v>
      </c>
      <c r="B4" s="8" t="s">
        <v>20</v>
      </c>
      <c r="C4" s="7" t="s">
        <v>16</v>
      </c>
      <c r="D4" s="7" t="s">
        <v>17</v>
      </c>
      <c r="E4" s="7" t="s">
        <v>18</v>
      </c>
      <c r="F4" s="7"/>
    </row>
    <row r="5" spans="1:6" x14ac:dyDescent="0.2">
      <c r="A5" s="8" t="s">
        <v>21</v>
      </c>
      <c r="B5" s="8" t="s">
        <v>22</v>
      </c>
      <c r="C5" s="7" t="s">
        <v>16</v>
      </c>
      <c r="D5" s="7" t="s">
        <v>17</v>
      </c>
      <c r="E5" s="7" t="s">
        <v>18</v>
      </c>
      <c r="F5" s="7"/>
    </row>
    <row r="6" spans="1:6" x14ac:dyDescent="0.2">
      <c r="A6" s="8" t="s">
        <v>23</v>
      </c>
      <c r="B6" s="8" t="s">
        <v>24</v>
      </c>
      <c r="C6" s="8" t="s">
        <v>25</v>
      </c>
      <c r="D6" s="8" t="s">
        <v>26</v>
      </c>
      <c r="E6" s="8" t="s">
        <v>18</v>
      </c>
      <c r="F6" s="8"/>
    </row>
    <row r="7" spans="1:6" x14ac:dyDescent="0.2">
      <c r="A7" s="8" t="s">
        <v>27</v>
      </c>
      <c r="B7" s="8" t="s">
        <v>28</v>
      </c>
      <c r="C7" s="8" t="s">
        <v>25</v>
      </c>
      <c r="D7" s="8" t="s">
        <v>26</v>
      </c>
      <c r="E7" s="8" t="s">
        <v>18</v>
      </c>
      <c r="F7" s="8" t="s">
        <v>96</v>
      </c>
    </row>
    <row r="8" spans="1:6" x14ac:dyDescent="0.2">
      <c r="A8" s="8" t="s">
        <v>29</v>
      </c>
      <c r="B8" s="8" t="s">
        <v>30</v>
      </c>
      <c r="C8" s="8" t="s">
        <v>25</v>
      </c>
      <c r="D8" s="8" t="s">
        <v>26</v>
      </c>
      <c r="E8" s="8" t="s">
        <v>18</v>
      </c>
      <c r="F8" s="8" t="s">
        <v>95</v>
      </c>
    </row>
    <row r="9" spans="1:6" x14ac:dyDescent="0.2">
      <c r="A9" s="8" t="s">
        <v>31</v>
      </c>
      <c r="B9" s="8" t="s">
        <v>32</v>
      </c>
      <c r="C9" s="8" t="s">
        <v>25</v>
      </c>
      <c r="D9" s="8" t="s">
        <v>26</v>
      </c>
      <c r="E9" s="8" t="s">
        <v>18</v>
      </c>
      <c r="F9" s="8" t="s">
        <v>94</v>
      </c>
    </row>
    <row r="10" spans="1:6" x14ac:dyDescent="0.2">
      <c r="A10" s="8" t="s">
        <v>33</v>
      </c>
      <c r="B10" s="8" t="s">
        <v>34</v>
      </c>
      <c r="C10" s="8" t="s">
        <v>25</v>
      </c>
      <c r="D10" s="8" t="s">
        <v>26</v>
      </c>
      <c r="E10" s="8" t="s">
        <v>18</v>
      </c>
      <c r="F10" s="8" t="s">
        <v>98</v>
      </c>
    </row>
    <row r="11" spans="1:6" x14ac:dyDescent="0.2">
      <c r="A11" s="8" t="s">
        <v>35</v>
      </c>
      <c r="B11" s="8" t="s">
        <v>36</v>
      </c>
      <c r="C11" s="8" t="s">
        <v>25</v>
      </c>
      <c r="D11" s="8" t="s">
        <v>26</v>
      </c>
      <c r="E11" s="8" t="s">
        <v>18</v>
      </c>
      <c r="F11" s="8"/>
    </row>
    <row r="12" spans="1:6" x14ac:dyDescent="0.2">
      <c r="A12" s="8" t="s">
        <v>37</v>
      </c>
      <c r="B12" s="8" t="s">
        <v>38</v>
      </c>
      <c r="C12" s="8" t="s">
        <v>25</v>
      </c>
      <c r="D12" s="8" t="s">
        <v>26</v>
      </c>
      <c r="E12" s="8" t="s">
        <v>18</v>
      </c>
      <c r="F12" s="8" t="s">
        <v>99</v>
      </c>
    </row>
    <row r="13" spans="1:6" x14ac:dyDescent="0.2">
      <c r="A13" s="8" t="s">
        <v>39</v>
      </c>
      <c r="B13" s="8" t="s">
        <v>40</v>
      </c>
      <c r="C13" s="8" t="s">
        <v>25</v>
      </c>
      <c r="D13" s="8" t="s">
        <v>26</v>
      </c>
      <c r="E13" s="8" t="s">
        <v>18</v>
      </c>
      <c r="F13" s="8"/>
    </row>
    <row r="14" spans="1:6" x14ac:dyDescent="0.2">
      <c r="A14" s="8" t="s">
        <v>41</v>
      </c>
      <c r="B14" s="8" t="s">
        <v>42</v>
      </c>
      <c r="C14" s="8" t="s">
        <v>25</v>
      </c>
      <c r="D14" s="8" t="s">
        <v>26</v>
      </c>
      <c r="E14" s="8" t="s">
        <v>18</v>
      </c>
      <c r="F14" s="8" t="s">
        <v>110</v>
      </c>
    </row>
    <row r="15" spans="1:6" x14ac:dyDescent="0.2">
      <c r="A15" s="8" t="s">
        <v>43</v>
      </c>
      <c r="B15" s="8" t="s">
        <v>44</v>
      </c>
      <c r="C15" s="8" t="s">
        <v>25</v>
      </c>
      <c r="D15" s="8" t="s">
        <v>26</v>
      </c>
      <c r="E15" s="8" t="s">
        <v>18</v>
      </c>
      <c r="F15" s="8"/>
    </row>
    <row r="16" spans="1:6" x14ac:dyDescent="0.2">
      <c r="A16" s="8" t="s">
        <v>45</v>
      </c>
      <c r="B16" s="8" t="s">
        <v>46</v>
      </c>
      <c r="C16" s="8" t="s">
        <v>25</v>
      </c>
      <c r="D16" s="8" t="s">
        <v>26</v>
      </c>
      <c r="E16" s="8" t="s">
        <v>18</v>
      </c>
      <c r="F16" s="8" t="s">
        <v>109</v>
      </c>
    </row>
    <row r="17" spans="1:6" x14ac:dyDescent="0.2">
      <c r="A17" s="7" t="s">
        <v>47</v>
      </c>
      <c r="B17" s="7" t="s">
        <v>48</v>
      </c>
      <c r="C17" s="7" t="s">
        <v>16</v>
      </c>
      <c r="D17" s="7" t="s">
        <v>17</v>
      </c>
      <c r="E17" s="7" t="s">
        <v>49</v>
      </c>
      <c r="F17" s="7"/>
    </row>
    <row r="18" spans="1:6" x14ac:dyDescent="0.2">
      <c r="A18" s="8" t="s">
        <v>50</v>
      </c>
      <c r="B18" s="8" t="s">
        <v>51</v>
      </c>
      <c r="C18" s="7" t="s">
        <v>16</v>
      </c>
      <c r="D18" s="7" t="s">
        <v>17</v>
      </c>
      <c r="E18" s="7" t="s">
        <v>49</v>
      </c>
      <c r="F18" s="7"/>
    </row>
    <row r="19" spans="1:6" x14ac:dyDescent="0.2">
      <c r="A19" s="8" t="s">
        <v>52</v>
      </c>
      <c r="B19" s="8" t="s">
        <v>53</v>
      </c>
      <c r="C19" s="7" t="s">
        <v>16</v>
      </c>
      <c r="D19" s="7" t="s">
        <v>17</v>
      </c>
      <c r="E19" s="7" t="s">
        <v>49</v>
      </c>
      <c r="F19" s="7"/>
    </row>
    <row r="20" spans="1:6" x14ac:dyDescent="0.2">
      <c r="A20" s="8" t="s">
        <v>54</v>
      </c>
      <c r="B20" s="8" t="s">
        <v>55</v>
      </c>
      <c r="C20" s="8" t="s">
        <v>25</v>
      </c>
      <c r="D20" s="8" t="s">
        <v>26</v>
      </c>
      <c r="E20" s="8" t="s">
        <v>49</v>
      </c>
      <c r="F20" s="8"/>
    </row>
    <row r="21" spans="1:6" x14ac:dyDescent="0.2">
      <c r="A21" s="8" t="s">
        <v>56</v>
      </c>
      <c r="B21" s="8" t="s">
        <v>57</v>
      </c>
      <c r="C21" s="8" t="s">
        <v>25</v>
      </c>
      <c r="D21" s="8" t="s">
        <v>26</v>
      </c>
      <c r="E21" s="8" t="s">
        <v>49</v>
      </c>
      <c r="F21" s="8" t="s">
        <v>100</v>
      </c>
    </row>
    <row r="22" spans="1:6" x14ac:dyDescent="0.2">
      <c r="A22" s="8" t="s">
        <v>58</v>
      </c>
      <c r="B22" s="8" t="s">
        <v>59</v>
      </c>
      <c r="C22" s="8" t="s">
        <v>25</v>
      </c>
      <c r="D22" s="8" t="s">
        <v>26</v>
      </c>
      <c r="E22" s="8" t="s">
        <v>49</v>
      </c>
      <c r="F22" s="8" t="s">
        <v>101</v>
      </c>
    </row>
    <row r="23" spans="1:6" x14ac:dyDescent="0.2">
      <c r="A23" s="8" t="s">
        <v>60</v>
      </c>
      <c r="B23" s="8" t="s">
        <v>61</v>
      </c>
      <c r="C23" s="8" t="s">
        <v>25</v>
      </c>
      <c r="D23" s="8" t="s">
        <v>26</v>
      </c>
      <c r="E23" s="8" t="s">
        <v>49</v>
      </c>
      <c r="F23" s="8"/>
    </row>
    <row r="24" spans="1:6" x14ac:dyDescent="0.2">
      <c r="A24" s="8" t="s">
        <v>62</v>
      </c>
      <c r="B24" s="8" t="s">
        <v>63</v>
      </c>
      <c r="C24" s="8" t="s">
        <v>25</v>
      </c>
      <c r="D24" s="8" t="s">
        <v>26</v>
      </c>
      <c r="E24" s="8" t="s">
        <v>49</v>
      </c>
      <c r="F24" s="8" t="s">
        <v>102</v>
      </c>
    </row>
    <row r="25" spans="1:6" x14ac:dyDescent="0.2">
      <c r="A25" s="8" t="s">
        <v>64</v>
      </c>
      <c r="B25" s="8" t="s">
        <v>65</v>
      </c>
      <c r="C25" s="8" t="s">
        <v>25</v>
      </c>
      <c r="D25" s="8" t="s">
        <v>26</v>
      </c>
      <c r="E25" s="8" t="s">
        <v>49</v>
      </c>
      <c r="F25" s="8" t="s">
        <v>103</v>
      </c>
    </row>
    <row r="26" spans="1:6" x14ac:dyDescent="0.2">
      <c r="A26" s="8" t="s">
        <v>66</v>
      </c>
      <c r="B26" s="8" t="s">
        <v>67</v>
      </c>
      <c r="C26" s="8" t="s">
        <v>25</v>
      </c>
      <c r="D26" s="8" t="s">
        <v>26</v>
      </c>
      <c r="E26" s="8" t="s">
        <v>49</v>
      </c>
      <c r="F26" s="8" t="s">
        <v>104</v>
      </c>
    </row>
    <row r="27" spans="1:6" x14ac:dyDescent="0.2">
      <c r="A27" s="8" t="s">
        <v>68</v>
      </c>
      <c r="B27" s="8" t="s">
        <v>69</v>
      </c>
      <c r="C27" s="8" t="s">
        <v>25</v>
      </c>
      <c r="D27" s="8" t="s">
        <v>26</v>
      </c>
      <c r="E27" s="8" t="s">
        <v>49</v>
      </c>
      <c r="F27" s="8" t="s">
        <v>105</v>
      </c>
    </row>
    <row r="28" spans="1:6" x14ac:dyDescent="0.2">
      <c r="A28" s="8" t="s">
        <v>70</v>
      </c>
      <c r="B28" s="8" t="s">
        <v>71</v>
      </c>
      <c r="C28" s="8" t="s">
        <v>25</v>
      </c>
      <c r="D28" s="8" t="s">
        <v>26</v>
      </c>
      <c r="E28" s="8" t="s">
        <v>49</v>
      </c>
      <c r="F28" s="8" t="s">
        <v>106</v>
      </c>
    </row>
    <row r="29" spans="1:6" x14ac:dyDescent="0.2">
      <c r="A29" s="8" t="s">
        <v>72</v>
      </c>
      <c r="B29" s="8" t="s">
        <v>73</v>
      </c>
      <c r="C29" s="8" t="s">
        <v>25</v>
      </c>
      <c r="D29" s="8" t="s">
        <v>26</v>
      </c>
      <c r="E29" s="8" t="s">
        <v>49</v>
      </c>
      <c r="F29" s="8" t="s">
        <v>108</v>
      </c>
    </row>
    <row r="30" spans="1:6" x14ac:dyDescent="0.2">
      <c r="A30" s="8" t="s">
        <v>41</v>
      </c>
      <c r="B30" s="8" t="s">
        <v>42</v>
      </c>
      <c r="C30" s="8" t="s">
        <v>25</v>
      </c>
      <c r="D30" s="8" t="s">
        <v>26</v>
      </c>
      <c r="E30" s="8" t="s">
        <v>49</v>
      </c>
      <c r="F30" s="8"/>
    </row>
    <row r="31" spans="1:6" x14ac:dyDescent="0.2">
      <c r="A31" s="8" t="s">
        <v>74</v>
      </c>
      <c r="B31" s="8" t="s">
        <v>75</v>
      </c>
      <c r="C31" s="8" t="s">
        <v>25</v>
      </c>
      <c r="D31" s="8" t="s">
        <v>26</v>
      </c>
      <c r="E31" s="8" t="s">
        <v>49</v>
      </c>
      <c r="F31" s="8"/>
    </row>
    <row r="32" spans="1:6" x14ac:dyDescent="0.2">
      <c r="A32" s="8" t="s">
        <v>76</v>
      </c>
      <c r="B32" s="8" t="s">
        <v>77</v>
      </c>
      <c r="C32" s="8" t="s">
        <v>25</v>
      </c>
      <c r="D32" s="8" t="s">
        <v>26</v>
      </c>
      <c r="E32" s="8" t="s">
        <v>49</v>
      </c>
      <c r="F32" s="8" t="s">
        <v>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Extrato</vt:lpstr>
      <vt:lpstr>Dicionario</vt:lpstr>
      <vt:lpstr>Naturezas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Santos</cp:lastModifiedBy>
  <dcterms:created xsi:type="dcterms:W3CDTF">2026-06-29T20:40:49Z</dcterms:created>
  <dcterms:modified xsi:type="dcterms:W3CDTF">2026-08-15T18:00:14Z</dcterms:modified>
  <cp:category/>
</cp:coreProperties>
</file>